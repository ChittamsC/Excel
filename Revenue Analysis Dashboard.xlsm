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1.xml" ContentType="application/vnd.ms-excel.slicer+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C:\Users\Christian\Documents\Interactive-Excel-Dashboard-_-Sample-Data-_-ExcelFind.com-\"/>
    </mc:Choice>
  </mc:AlternateContent>
  <xr:revisionPtr revIDLastSave="0" documentId="8_{D03E2255-A750-420D-8E76-2B5C278BD7F2}" xr6:coauthVersionLast="47" xr6:coauthVersionMax="47" xr10:uidLastSave="{00000000-0000-0000-0000-000000000000}"/>
  <bookViews>
    <workbookView xWindow="-110" yWindow="-110" windowWidth="19420" windowHeight="11020" firstSheet="3" activeTab="6" xr2:uid="{5CF14924-0AAC-B244-98F0-E6BCC37CE28F}"/>
  </bookViews>
  <sheets>
    <sheet name="Sales Data" sheetId="1" r:id="rId1"/>
    <sheet name="Company_Revenue" sheetId="3" r:id="rId2"/>
    <sheet name="Yearly_Revenue" sheetId="5" r:id="rId3"/>
    <sheet name="Sales_Made" sheetId="4" r:id="rId4"/>
    <sheet name="Product_Revenue" sheetId="6" r:id="rId5"/>
    <sheet name="State_Revenue" sheetId="8" r:id="rId6"/>
    <sheet name="Dashboard" sheetId="9" r:id="rId7"/>
  </sheets>
  <definedNames>
    <definedName name="_xlchart.v5.0" hidden="1">State_Revenue!$A$7</definedName>
    <definedName name="_xlchart.v5.1" hidden="1">State_Revenue!$A$8</definedName>
    <definedName name="_xlchart.v5.2" hidden="1">State_Revenue!$B$7:$F$7</definedName>
    <definedName name="_xlchart.v5.3" hidden="1">State_Revenue!$B$8:$F$8</definedName>
    <definedName name="_xlchart.v5.4" hidden="1">State_Revenue!$A$7</definedName>
    <definedName name="_xlchart.v5.5" hidden="1">State_Revenue!$A$8</definedName>
    <definedName name="_xlchart.v5.6" hidden="1">State_Revenue!$B$7:$F$7</definedName>
    <definedName name="_xlchart.v5.7" hidden="1">State_Revenue!$B$8:$F$8</definedName>
    <definedName name="Slicer_Region">#N/A</definedName>
    <definedName name="Slicer_Years">#N/A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8" l="1"/>
  <c r="E8" i="8"/>
  <c r="D8" i="8"/>
  <c r="B8" i="8"/>
</calcChain>
</file>

<file path=xl/sharedStrings.xml><?xml version="1.0" encoding="utf-8"?>
<sst xmlns="http://schemas.openxmlformats.org/spreadsheetml/2006/main" count="10092" uniqueCount="2067">
  <si>
    <t>Order ID</t>
  </si>
  <si>
    <t>Date</t>
  </si>
  <si>
    <t>Customer ID</t>
  </si>
  <si>
    <t>Customer Name</t>
  </si>
  <si>
    <t>Sales Person</t>
  </si>
  <si>
    <t>Region</t>
  </si>
  <si>
    <t>Item</t>
  </si>
  <si>
    <t>Price</t>
  </si>
  <si>
    <t>Quantity</t>
  </si>
  <si>
    <t>Revenue</t>
  </si>
  <si>
    <t>0001</t>
  </si>
  <si>
    <t>Company K</t>
  </si>
  <si>
    <t>Michael Fox</t>
  </si>
  <si>
    <t>New Mexico</t>
  </si>
  <si>
    <t>Item 2</t>
  </si>
  <si>
    <t>0002</t>
  </si>
  <si>
    <t>Company A</t>
  </si>
  <si>
    <t>Anna Weber</t>
  </si>
  <si>
    <t>Texas</t>
  </si>
  <si>
    <t>Item 5</t>
  </si>
  <si>
    <t>0003</t>
  </si>
  <si>
    <t>Company I</t>
  </si>
  <si>
    <t>Kim Fishman</t>
  </si>
  <si>
    <t>California</t>
  </si>
  <si>
    <t>Item 4</t>
  </si>
  <si>
    <t>0004</t>
  </si>
  <si>
    <t>Company R</t>
  </si>
  <si>
    <t>Oscar Knox</t>
  </si>
  <si>
    <t>Arizona</t>
  </si>
  <si>
    <t>0005</t>
  </si>
  <si>
    <t>Company P</t>
  </si>
  <si>
    <t>Item 3</t>
  </si>
  <si>
    <t>0006</t>
  </si>
  <si>
    <t>Company M</t>
  </si>
  <si>
    <t>0007</t>
  </si>
  <si>
    <t>Company Q</t>
  </si>
  <si>
    <t>Andrew James</t>
  </si>
  <si>
    <t>0008</t>
  </si>
  <si>
    <t>Company N</t>
  </si>
  <si>
    <t>0009</t>
  </si>
  <si>
    <t>Company T</t>
  </si>
  <si>
    <t>Item 1</t>
  </si>
  <si>
    <t>0010</t>
  </si>
  <si>
    <t>Company C</t>
  </si>
  <si>
    <t>0011</t>
  </si>
  <si>
    <t>Company H</t>
  </si>
  <si>
    <t>Laura Larsen</t>
  </si>
  <si>
    <t>0012</t>
  </si>
  <si>
    <t>Company F</t>
  </si>
  <si>
    <t>0013</t>
  </si>
  <si>
    <t>0014</t>
  </si>
  <si>
    <t>Company D</t>
  </si>
  <si>
    <t>0015</t>
  </si>
  <si>
    <t>0016</t>
  </si>
  <si>
    <t>0017</t>
  </si>
  <si>
    <t>0018</t>
  </si>
  <si>
    <t>Company S</t>
  </si>
  <si>
    <t>0019</t>
  </si>
  <si>
    <t>Company J</t>
  </si>
  <si>
    <t>0020</t>
  </si>
  <si>
    <t>Company E</t>
  </si>
  <si>
    <t>0021</t>
  </si>
  <si>
    <t>0022</t>
  </si>
  <si>
    <t>Anne Lee</t>
  </si>
  <si>
    <t>0023</t>
  </si>
  <si>
    <t>0024</t>
  </si>
  <si>
    <t>Company L</t>
  </si>
  <si>
    <t>0025</t>
  </si>
  <si>
    <t>Ben Wallace</t>
  </si>
  <si>
    <t>0026</t>
  </si>
  <si>
    <t>0027</t>
  </si>
  <si>
    <t>0028</t>
  </si>
  <si>
    <t>0029</t>
  </si>
  <si>
    <t>0030</t>
  </si>
  <si>
    <t>0031</t>
  </si>
  <si>
    <t>0032</t>
  </si>
  <si>
    <t>0033</t>
  </si>
  <si>
    <t>0034</t>
  </si>
  <si>
    <t>0035</t>
  </si>
  <si>
    <t>0036</t>
  </si>
  <si>
    <t>0037</t>
  </si>
  <si>
    <t>0038</t>
  </si>
  <si>
    <t>0039</t>
  </si>
  <si>
    <t>0040</t>
  </si>
  <si>
    <t>0041</t>
  </si>
  <si>
    <t>0042</t>
  </si>
  <si>
    <t>0043</t>
  </si>
  <si>
    <t>0044</t>
  </si>
  <si>
    <t>Company G</t>
  </si>
  <si>
    <t>0045</t>
  </si>
  <si>
    <t>0046</t>
  </si>
  <si>
    <t>0047</t>
  </si>
  <si>
    <t>0048</t>
  </si>
  <si>
    <t>0049</t>
  </si>
  <si>
    <t>0050</t>
  </si>
  <si>
    <t>0051</t>
  </si>
  <si>
    <t>0052</t>
  </si>
  <si>
    <t>0053</t>
  </si>
  <si>
    <t>0054</t>
  </si>
  <si>
    <t>0055</t>
  </si>
  <si>
    <t>0056</t>
  </si>
  <si>
    <t>0057</t>
  </si>
  <si>
    <t>0058</t>
  </si>
  <si>
    <t>0059</t>
  </si>
  <si>
    <t>0060</t>
  </si>
  <si>
    <t>0061</t>
  </si>
  <si>
    <t>Company B</t>
  </si>
  <si>
    <t>0062</t>
  </si>
  <si>
    <t>0063</t>
  </si>
  <si>
    <t>0064</t>
  </si>
  <si>
    <t>0065</t>
  </si>
  <si>
    <t>0066</t>
  </si>
  <si>
    <t>0067</t>
  </si>
  <si>
    <t>0068</t>
  </si>
  <si>
    <t>0069</t>
  </si>
  <si>
    <t>0070</t>
  </si>
  <si>
    <t>0071</t>
  </si>
  <si>
    <t>0072</t>
  </si>
  <si>
    <t>Company O</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</si>
  <si>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</si>
  <si>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</si>
  <si>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</si>
  <si>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</si>
  <si>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</si>
  <si>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</si>
  <si>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</si>
  <si>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</si>
  <si>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</si>
  <si>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</si>
  <si>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</si>
  <si>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</si>
  <si>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</si>
  <si>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</si>
  <si>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</si>
  <si>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</si>
  <si>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</si>
  <si>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</si>
  <si>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</si>
  <si>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</si>
  <si>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</si>
  <si>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</si>
  <si>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</si>
  <si>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</si>
  <si>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</si>
  <si>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</si>
  <si>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</si>
  <si>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</si>
  <si>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</si>
  <si>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</si>
  <si>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</si>
  <si>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</si>
  <si>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</si>
  <si>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</si>
  <si>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</si>
  <si>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</si>
  <si>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</si>
  <si>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</si>
  <si>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</si>
  <si>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</si>
  <si>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</si>
  <si>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</si>
  <si>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</si>
  <si>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</si>
  <si>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</si>
  <si>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</si>
  <si>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</si>
  <si>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</si>
  <si>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</si>
  <si>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</si>
  <si>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</si>
  <si>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</si>
  <si>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</si>
  <si>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</si>
  <si>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</si>
  <si>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</si>
  <si>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</si>
  <si>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</si>
  <si>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</si>
  <si>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</si>
  <si>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</si>
  <si>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</si>
  <si>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</si>
  <si>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</si>
  <si>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</si>
  <si>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</si>
  <si>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</si>
  <si>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</si>
  <si>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</si>
  <si>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</si>
  <si>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</si>
  <si>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</si>
  <si>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</si>
  <si>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</si>
  <si>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</si>
  <si>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</si>
  <si>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</si>
  <si>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</si>
  <si>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</si>
  <si>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</si>
  <si>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</si>
  <si>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</si>
  <si>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</si>
  <si>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</si>
  <si>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</si>
  <si>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</si>
  <si>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</si>
  <si>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</si>
  <si>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</si>
  <si>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</si>
  <si>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</si>
  <si>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</si>
  <si>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</si>
  <si>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</si>
  <si>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</si>
  <si>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</si>
  <si>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</si>
  <si>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</si>
  <si>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</si>
  <si>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</si>
  <si>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</si>
  <si>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</si>
  <si>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</si>
  <si>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</si>
  <si>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</si>
  <si>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</si>
  <si>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</si>
  <si>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</si>
  <si>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</si>
  <si>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</si>
  <si>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</si>
  <si>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</si>
  <si>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</si>
  <si>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</si>
  <si>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</si>
  <si>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</si>
  <si>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</si>
  <si>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</si>
  <si>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</si>
  <si>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</si>
  <si>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</si>
  <si>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</si>
  <si>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</si>
  <si>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</si>
  <si>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</si>
  <si>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</si>
  <si>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</si>
  <si>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</si>
  <si>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</si>
  <si>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</si>
  <si>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</si>
  <si>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</si>
  <si>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</si>
  <si>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</si>
  <si>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</si>
  <si>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</si>
  <si>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</si>
  <si>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</si>
  <si>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</si>
  <si>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</si>
  <si>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</si>
  <si>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</si>
  <si>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</si>
  <si>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</si>
  <si>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</si>
  <si>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</si>
  <si>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</si>
  <si>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</si>
  <si>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</si>
  <si>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</si>
  <si>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</si>
  <si>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</si>
  <si>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</si>
  <si>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</si>
  <si>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</si>
  <si>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</si>
  <si>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</si>
  <si>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</si>
  <si>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</si>
  <si>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</si>
  <si>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</si>
  <si>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</si>
  <si>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</si>
  <si>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</si>
  <si>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</si>
  <si>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</si>
  <si>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</si>
  <si>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</si>
  <si>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</si>
  <si>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</si>
  <si>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</si>
  <si>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</si>
  <si>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</si>
  <si>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</si>
  <si>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</si>
  <si>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</si>
  <si>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</si>
  <si>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</si>
  <si>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</si>
  <si>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</si>
  <si>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</si>
  <si>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</si>
  <si>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</si>
  <si>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</si>
  <si>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</si>
  <si>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</si>
  <si>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</si>
  <si>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</si>
  <si>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</si>
  <si>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</si>
  <si>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</si>
  <si>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</si>
  <si>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</si>
  <si>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</si>
  <si>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</si>
  <si>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</si>
  <si>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</si>
  <si>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</si>
  <si>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</si>
  <si>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</si>
  <si>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</si>
  <si>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</si>
  <si>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</si>
  <si>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</si>
  <si>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</si>
  <si>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</si>
  <si>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</si>
  <si>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</si>
  <si>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</si>
  <si>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</si>
  <si>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</si>
  <si>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</si>
  <si>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</si>
  <si>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</si>
  <si>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</si>
  <si>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</si>
  <si>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</si>
  <si>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</si>
  <si>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</si>
  <si>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</si>
  <si>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</si>
  <si>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</si>
  <si>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</si>
  <si>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</si>
  <si>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</si>
  <si>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</si>
  <si>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</si>
  <si>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</si>
  <si>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</si>
  <si>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</si>
  <si>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</si>
  <si>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</si>
  <si>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</si>
  <si>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</si>
  <si>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</si>
  <si>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</si>
  <si>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</si>
  <si>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</si>
  <si>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</si>
  <si>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</si>
  <si>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</si>
  <si>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</si>
  <si>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</si>
  <si>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</si>
  <si>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</si>
  <si>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</si>
  <si>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</si>
  <si>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</si>
  <si>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</si>
  <si>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</si>
  <si>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</si>
  <si>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</si>
  <si>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</si>
  <si>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</si>
  <si>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</si>
  <si>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</si>
  <si>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</si>
  <si>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</si>
  <si>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</si>
  <si>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</si>
  <si>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</si>
  <si>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</si>
  <si>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</si>
  <si>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</si>
  <si>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</si>
  <si>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</si>
  <si>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</si>
  <si>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</si>
  <si>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</si>
  <si>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</si>
  <si>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</si>
  <si>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</si>
  <si>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</si>
  <si>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</si>
  <si>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</si>
  <si>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</si>
  <si>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</si>
  <si>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</si>
  <si>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</si>
  <si>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</si>
  <si>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</si>
  <si>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</si>
  <si>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</si>
  <si>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</si>
  <si>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</si>
  <si>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</si>
  <si>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</si>
  <si>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</si>
  <si>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</si>
  <si>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</si>
  <si>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</si>
  <si>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</si>
  <si>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</si>
  <si>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</si>
  <si>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</si>
  <si>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</si>
  <si>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</si>
  <si>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</si>
  <si>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</si>
  <si>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</si>
  <si>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</si>
  <si>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</si>
  <si>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</si>
  <si>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</si>
  <si>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</si>
  <si>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</si>
  <si>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</si>
  <si>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</si>
  <si>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</si>
  <si>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</si>
  <si>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</si>
  <si>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</si>
  <si>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</si>
  <si>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</si>
  <si>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</si>
  <si>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</si>
  <si>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</si>
  <si>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</si>
  <si>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</si>
  <si>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</si>
  <si>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</si>
  <si>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</si>
  <si>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</si>
  <si>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</si>
  <si>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</si>
  <si>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</si>
  <si>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</si>
  <si>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</si>
  <si>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</si>
  <si>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</si>
  <si>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</si>
  <si>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</si>
  <si>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</si>
  <si>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</si>
  <si>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</si>
  <si>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</si>
  <si>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</si>
  <si>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</si>
  <si>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</si>
  <si>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</si>
  <si>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</si>
  <si>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</si>
  <si>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</si>
  <si>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</si>
  <si>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</si>
  <si>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</si>
  <si>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</si>
  <si>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</si>
  <si>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</si>
  <si>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</si>
  <si>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</si>
  <si>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</si>
  <si>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</si>
  <si>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</si>
  <si>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</si>
  <si>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</si>
  <si>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</si>
  <si>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</si>
  <si>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</si>
  <si>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</si>
  <si>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</si>
  <si>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</si>
  <si>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</si>
  <si>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</si>
  <si>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</si>
  <si>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</si>
  <si>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</si>
  <si>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</si>
  <si>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</si>
  <si>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</si>
  <si>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</si>
  <si>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</si>
  <si>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</si>
  <si>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</si>
  <si>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</si>
  <si>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</si>
  <si>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</si>
  <si>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</si>
  <si>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</si>
  <si>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</si>
  <si>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</si>
  <si>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</si>
  <si>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</si>
  <si>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</si>
  <si>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</si>
  <si>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</si>
  <si>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</si>
  <si>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</si>
  <si>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</si>
  <si>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</si>
  <si>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</si>
  <si>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</si>
  <si>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</si>
  <si>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</si>
  <si>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</si>
  <si>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</si>
  <si>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</si>
  <si>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</si>
  <si>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</si>
  <si>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</si>
  <si>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</si>
  <si>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</si>
  <si>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</si>
  <si>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</si>
  <si>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</si>
  <si>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</si>
  <si>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</si>
  <si>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</si>
  <si>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</si>
  <si>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</si>
  <si>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</si>
  <si>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</si>
  <si>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</si>
  <si>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</si>
  <si>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</si>
  <si>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</si>
  <si>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</si>
  <si>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</si>
  <si>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</si>
  <si>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</si>
  <si>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</si>
  <si>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</si>
  <si>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</si>
  <si>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</si>
  <si>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</si>
  <si>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</si>
  <si>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</si>
  <si>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</si>
  <si>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</si>
  <si>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</si>
  <si>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</si>
  <si>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</si>
  <si>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</si>
  <si>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</si>
  <si>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</si>
  <si>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</si>
  <si>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</si>
  <si>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</si>
  <si>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</si>
  <si>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</si>
  <si>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</si>
  <si>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</si>
  <si>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</si>
  <si>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</si>
  <si>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</si>
  <si>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</si>
  <si>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</si>
  <si>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</si>
  <si>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</si>
  <si>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</si>
  <si>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</si>
  <si>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</si>
  <si>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</si>
  <si>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</si>
  <si>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</si>
  <si>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</si>
  <si>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</si>
  <si>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</si>
  <si>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</si>
  <si>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</si>
  <si>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</si>
  <si>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</si>
  <si>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</si>
  <si>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</si>
  <si>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</si>
  <si>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</si>
  <si>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</si>
  <si>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</si>
  <si>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</si>
  <si>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</si>
  <si>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</si>
  <si>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</si>
  <si>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</si>
  <si>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</si>
  <si>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</si>
  <si>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</si>
  <si>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</si>
  <si>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</si>
  <si>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</si>
  <si>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</si>
  <si>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</si>
  <si>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</si>
  <si>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</si>
  <si>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</si>
  <si>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</si>
  <si>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</si>
  <si>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</si>
  <si>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</si>
  <si>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</si>
  <si>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</si>
  <si>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</si>
  <si>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</si>
  <si>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</si>
  <si>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</si>
  <si>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</si>
  <si>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</si>
  <si>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</si>
  <si>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</si>
  <si>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</si>
  <si>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</si>
  <si>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</si>
  <si>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</si>
  <si>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</si>
  <si>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</si>
  <si>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</si>
  <si>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</si>
  <si>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</si>
  <si>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</si>
  <si>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</si>
  <si>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</si>
  <si>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</si>
  <si>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</si>
  <si>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</si>
  <si>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</si>
  <si>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</si>
  <si>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</si>
  <si>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</si>
  <si>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</si>
  <si>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</si>
  <si>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</si>
  <si>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</si>
  <si>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</si>
  <si>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</si>
  <si>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</si>
  <si>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</si>
  <si>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</si>
  <si>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</si>
  <si>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</si>
  <si>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</si>
  <si>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</si>
  <si>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</si>
  <si>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</si>
  <si>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</si>
  <si>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</si>
  <si>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</si>
  <si>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</si>
  <si>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</si>
  <si>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</si>
  <si>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</si>
  <si>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</si>
  <si>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</si>
  <si>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</si>
  <si>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</si>
  <si>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</si>
  <si>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</si>
  <si>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</si>
  <si>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</si>
  <si>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</si>
  <si>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</si>
  <si>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</si>
  <si>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</si>
  <si>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</si>
  <si>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</si>
  <si>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</si>
  <si>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</si>
  <si>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</si>
  <si>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</si>
  <si>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</si>
  <si>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</si>
  <si>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</si>
  <si>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</si>
  <si>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</si>
  <si>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</si>
  <si>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</si>
  <si>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</si>
  <si>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</si>
  <si>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</si>
  <si>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</si>
  <si>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</si>
  <si>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</si>
  <si>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</si>
  <si>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</si>
  <si>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</si>
  <si>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</si>
  <si>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</si>
  <si>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</si>
  <si>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</si>
  <si>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</si>
  <si>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</si>
  <si>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</si>
  <si>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</si>
  <si>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</si>
  <si>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</si>
  <si>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</si>
  <si>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</si>
  <si>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</si>
  <si>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</si>
  <si>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</si>
  <si>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</si>
  <si>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</si>
  <si>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</si>
  <si>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</si>
  <si>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</si>
  <si>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</si>
  <si>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</si>
  <si>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</si>
  <si>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</si>
  <si>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</si>
  <si>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</si>
  <si>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</si>
  <si>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</si>
  <si>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</si>
  <si>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</si>
  <si>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</si>
  <si>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</si>
  <si>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</si>
  <si>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</si>
  <si>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</si>
  <si>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</si>
  <si>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</si>
  <si>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</si>
  <si>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</si>
  <si>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</si>
  <si>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</si>
  <si>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</si>
  <si>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</si>
  <si>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</si>
  <si>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</si>
  <si>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</si>
  <si>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</si>
  <si>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</si>
  <si>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</si>
  <si>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</si>
  <si>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</si>
  <si>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</si>
  <si>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</si>
  <si>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</si>
  <si>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</si>
  <si>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</si>
  <si>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</si>
  <si>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</si>
  <si>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</si>
  <si>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</si>
  <si>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</si>
  <si>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</si>
  <si>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</si>
  <si>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</si>
  <si>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</si>
  <si>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</si>
  <si>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</si>
  <si>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</si>
  <si>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</si>
  <si>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</si>
  <si>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</si>
  <si>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</si>
  <si>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</si>
  <si>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</si>
  <si>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</si>
  <si>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</si>
  <si>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</si>
  <si>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</si>
  <si>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</si>
  <si>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</si>
  <si>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</si>
  <si>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</si>
  <si>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</si>
  <si>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</si>
  <si>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</si>
  <si>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</si>
  <si>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</si>
  <si>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</si>
  <si>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</si>
  <si>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</si>
  <si>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</si>
  <si>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</si>
  <si>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</si>
  <si>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</si>
  <si>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</si>
  <si>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</si>
  <si>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</si>
  <si>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</si>
  <si>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</si>
  <si>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</si>
  <si>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</si>
  <si>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</si>
  <si>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</si>
  <si>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</si>
  <si>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</si>
  <si>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</si>
  <si>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</si>
  <si>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</si>
  <si>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</si>
  <si>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</si>
  <si>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</si>
  <si>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</si>
  <si>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</si>
  <si>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</si>
  <si>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</si>
  <si>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</si>
  <si>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</si>
  <si>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</si>
  <si>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</si>
  <si>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</si>
  <si>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</si>
  <si>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</si>
  <si>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</si>
  <si>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</si>
  <si>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</si>
  <si>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</si>
  <si>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</si>
  <si>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</si>
  <si>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</si>
  <si>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</si>
  <si>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</si>
  <si>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</si>
  <si>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</si>
  <si>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</si>
  <si>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</si>
  <si>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</si>
  <si>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</si>
  <si>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</si>
  <si>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</si>
  <si>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</si>
  <si>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</si>
  <si>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</si>
  <si>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</si>
  <si>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</si>
  <si>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</si>
  <si>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</si>
  <si>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</si>
  <si>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</si>
  <si>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</si>
  <si>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</si>
  <si>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</si>
  <si>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</si>
  <si>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</si>
  <si>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</si>
  <si>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</si>
  <si>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</si>
  <si>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</si>
  <si>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</si>
  <si>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</si>
  <si>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</si>
  <si>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</si>
  <si>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</si>
  <si>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</si>
  <si>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</si>
  <si>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</si>
  <si>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</si>
  <si>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</si>
  <si>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</si>
  <si>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</si>
  <si>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</si>
  <si>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</si>
  <si>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</si>
  <si>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</si>
  <si>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</si>
  <si>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</si>
  <si>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</si>
  <si>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</si>
  <si>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</si>
  <si>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</si>
  <si>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</si>
  <si>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</si>
  <si>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</si>
  <si>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</si>
  <si>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</si>
  <si>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</si>
  <si>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</si>
  <si>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</si>
  <si>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</si>
  <si>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</si>
  <si>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</si>
  <si>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</si>
  <si>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</si>
  <si>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</si>
  <si>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</si>
  <si>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</si>
  <si>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</si>
  <si>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</si>
  <si>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</si>
  <si>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</si>
  <si>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</si>
  <si>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</si>
  <si>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</si>
  <si>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</si>
  <si>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</si>
  <si>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</si>
  <si>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</si>
  <si>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</si>
  <si>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</si>
  <si>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</si>
  <si>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</si>
  <si>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</si>
  <si>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</si>
  <si>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</si>
  <si>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</si>
  <si>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</si>
  <si>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</si>
  <si>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</si>
  <si>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</si>
  <si>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</si>
  <si>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</si>
  <si>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</si>
  <si>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</si>
  <si>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</si>
  <si>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</si>
  <si>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</si>
  <si>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</si>
  <si>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</si>
  <si>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</si>
  <si>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</si>
  <si>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</si>
  <si>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</si>
  <si>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</si>
  <si>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</si>
  <si>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</si>
  <si>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</si>
  <si>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</si>
  <si>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</si>
  <si>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</si>
  <si>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</si>
  <si>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</si>
  <si>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</si>
  <si>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</si>
  <si>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</si>
  <si>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</si>
  <si>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</si>
  <si>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</si>
  <si>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</si>
  <si>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</si>
  <si>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</si>
  <si>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</si>
  <si>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</si>
  <si>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</si>
  <si>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</si>
  <si>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</si>
  <si>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</si>
  <si>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</si>
  <si>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</si>
  <si>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</si>
  <si>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</si>
  <si>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</si>
  <si>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</si>
  <si>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</si>
  <si>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</si>
  <si>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</si>
  <si>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</si>
  <si>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</si>
  <si>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</si>
  <si>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</si>
  <si>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</si>
  <si>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</si>
  <si>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</si>
  <si>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</si>
  <si>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</si>
  <si>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</si>
  <si>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</si>
  <si>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</si>
  <si>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</si>
  <si>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</si>
  <si>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</si>
  <si>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</si>
  <si>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</si>
  <si>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</si>
  <si>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</si>
  <si>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</si>
  <si>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</si>
  <si>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</si>
  <si>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</si>
  <si>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</si>
  <si>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</si>
  <si>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</si>
  <si>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</si>
  <si>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</si>
  <si>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</si>
  <si>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</si>
  <si>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</si>
  <si>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</si>
  <si>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</si>
  <si>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</si>
  <si>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</si>
  <si>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</si>
  <si>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</si>
  <si>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</si>
  <si>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</si>
  <si>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</si>
  <si>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</si>
  <si>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</si>
  <si>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</si>
  <si>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</si>
  <si>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</si>
  <si>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</si>
  <si>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</si>
  <si>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</si>
  <si>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</si>
  <si>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</si>
  <si>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</si>
  <si>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</si>
  <si>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</si>
  <si>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</si>
  <si>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</si>
  <si>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</si>
  <si>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</si>
  <si>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</si>
  <si>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</si>
  <si>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</si>
  <si>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</si>
  <si>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</si>
  <si>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</si>
  <si>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</si>
  <si>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</si>
  <si>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</si>
  <si>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</si>
  <si>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</si>
  <si>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</si>
  <si>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</si>
  <si>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</si>
  <si>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</si>
  <si>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</si>
  <si>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</si>
  <si>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</si>
  <si>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</si>
  <si>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</si>
  <si>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</si>
  <si>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</si>
  <si>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</si>
  <si>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</si>
  <si>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</si>
  <si>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</si>
  <si>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</si>
  <si>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</si>
  <si>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</si>
  <si>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</si>
  <si>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</si>
  <si>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</si>
  <si>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</si>
  <si>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</si>
  <si>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</si>
  <si>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</si>
  <si>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</si>
  <si>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</si>
  <si>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</si>
  <si>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</si>
  <si>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</si>
  <si>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</si>
  <si>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</si>
  <si>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</si>
  <si>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</si>
  <si>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</si>
  <si>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</si>
  <si>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</si>
  <si>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</si>
  <si>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</si>
  <si>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</si>
  <si>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</si>
  <si>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</si>
  <si>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</si>
  <si>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</si>
  <si>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</si>
  <si>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</si>
  <si>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</si>
  <si>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</si>
  <si>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</si>
  <si>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</si>
  <si>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</si>
  <si>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</si>
  <si>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</si>
  <si>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</si>
  <si>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</si>
  <si>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</si>
  <si>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</si>
  <si>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</si>
  <si>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</si>
  <si>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</si>
  <si>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</si>
  <si>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</si>
  <si>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</si>
  <si>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</si>
  <si>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</si>
  <si>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</si>
  <si>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</si>
  <si>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</si>
  <si>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</si>
  <si>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</si>
  <si>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</si>
  <si>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</si>
  <si>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</si>
  <si>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</si>
  <si>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</si>
  <si>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</si>
  <si>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</si>
  <si>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</si>
  <si>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</si>
  <si>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</si>
  <si>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</si>
  <si>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</si>
  <si>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</si>
  <si>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</si>
  <si>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</si>
  <si>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</si>
  <si>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</si>
  <si>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</si>
  <si>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</si>
  <si>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</si>
  <si>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</si>
  <si>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</si>
  <si>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</si>
  <si>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</si>
  <si>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</si>
  <si>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</si>
  <si>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</si>
  <si>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</si>
  <si>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</si>
  <si>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</si>
  <si>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</si>
  <si>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</si>
  <si>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</si>
  <si>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</si>
  <si>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</si>
  <si>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</si>
  <si>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</si>
  <si>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</si>
  <si>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</si>
  <si>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</si>
  <si>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</si>
  <si>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</si>
  <si>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</si>
  <si>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</si>
  <si>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</si>
  <si>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</si>
  <si>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</si>
  <si>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</si>
  <si>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</si>
  <si>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</si>
  <si>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</si>
  <si>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</si>
  <si>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</si>
  <si>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</si>
  <si>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</si>
  <si>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</si>
  <si>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</si>
  <si>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</si>
  <si>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</si>
  <si>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</si>
  <si>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</si>
  <si>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</si>
  <si>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</si>
  <si>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</si>
  <si>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</si>
  <si>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</si>
  <si>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</si>
  <si>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</si>
  <si>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</si>
  <si>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</si>
  <si>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</si>
  <si>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</si>
  <si>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</si>
  <si>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</si>
  <si>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</si>
  <si>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</si>
  <si>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</si>
  <si>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</si>
  <si>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</si>
  <si>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</si>
  <si>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</si>
  <si>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</si>
  <si>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</si>
  <si>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</si>
  <si>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</si>
  <si>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</si>
  <si>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</si>
  <si>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</si>
  <si>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</si>
  <si>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</si>
  <si>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</si>
  <si>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</si>
  <si>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</si>
  <si>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</si>
  <si>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</si>
  <si>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</si>
  <si>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</si>
  <si>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</si>
  <si>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</si>
  <si>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</si>
  <si>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</si>
  <si>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</si>
  <si>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</si>
  <si>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</si>
  <si>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</si>
  <si>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</si>
  <si>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</si>
  <si>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</si>
  <si>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</si>
  <si>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</si>
  <si>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</si>
  <si>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</si>
  <si>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</si>
  <si>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</si>
  <si>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</si>
  <si>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</si>
  <si>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</si>
  <si>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</si>
  <si>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</si>
  <si>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</si>
  <si>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</si>
  <si>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</si>
  <si>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</si>
  <si>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</si>
  <si>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</si>
  <si>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</si>
  <si>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</si>
  <si>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</si>
  <si>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</si>
  <si>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</si>
  <si>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</si>
  <si>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</si>
  <si>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</si>
  <si>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</si>
  <si>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</si>
  <si>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</si>
  <si>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</si>
  <si>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</si>
  <si>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</si>
  <si>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</si>
  <si>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</si>
  <si>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</si>
  <si>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</si>
  <si>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</si>
  <si>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</si>
  <si>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</si>
  <si>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</si>
  <si>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</si>
  <si>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</si>
  <si>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</si>
  <si>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</si>
  <si>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</si>
  <si>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</si>
  <si>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</si>
  <si>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</si>
  <si>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</si>
  <si>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</si>
  <si>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</si>
  <si>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</si>
  <si>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</si>
  <si>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</si>
  <si>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</si>
  <si>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</si>
  <si>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</si>
  <si>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</si>
  <si>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</si>
  <si>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</si>
  <si>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</si>
  <si>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</si>
  <si>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</si>
  <si>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</si>
  <si>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</si>
  <si>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</si>
  <si>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</si>
  <si>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</si>
  <si>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</si>
  <si>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</si>
  <si>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</si>
  <si>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</si>
  <si>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</si>
  <si>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</si>
  <si>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</si>
  <si>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</si>
  <si>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</si>
  <si>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</si>
  <si>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</si>
  <si>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</si>
  <si>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</si>
  <si>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</si>
  <si>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</si>
  <si>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</si>
  <si>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</si>
  <si>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</si>
  <si>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</si>
  <si>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</si>
  <si>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</si>
  <si>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</si>
  <si>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</si>
  <si>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</si>
  <si>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</si>
  <si>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</si>
  <si>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</si>
  <si>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</si>
  <si>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</si>
  <si>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</si>
  <si>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</si>
  <si>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</si>
  <si>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</si>
  <si>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</si>
  <si>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</si>
  <si>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</si>
  <si>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</si>
  <si>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</si>
  <si>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</si>
  <si>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</si>
  <si>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</si>
  <si>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</si>
  <si>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</si>
  <si>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</si>
  <si>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</si>
  <si>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</si>
  <si>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</si>
  <si>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</si>
  <si>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</si>
  <si>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</si>
  <si>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</si>
  <si>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</si>
  <si>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</si>
  <si>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</si>
  <si>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</si>
  <si>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</si>
  <si>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</si>
  <si>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</si>
  <si>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</si>
  <si>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</si>
  <si>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</si>
  <si>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</si>
  <si>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</si>
  <si>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</si>
  <si>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</si>
  <si>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</si>
  <si>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</si>
  <si>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</si>
  <si>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</si>
  <si>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</si>
  <si>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</si>
  <si>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</si>
  <si>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</si>
  <si>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</si>
  <si>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</si>
  <si>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</si>
  <si>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</si>
  <si>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</si>
  <si>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</si>
  <si>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</si>
  <si>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</si>
  <si>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</si>
  <si>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</si>
  <si>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</si>
  <si>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</si>
  <si>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</si>
  <si>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</si>
  <si>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</si>
  <si>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</si>
  <si>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</si>
  <si>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</si>
  <si>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</si>
  <si>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</si>
  <si>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</si>
  <si>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</si>
  <si>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</si>
  <si>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</si>
  <si>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</si>
  <si>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</si>
  <si>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</si>
  <si>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</si>
  <si>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</si>
  <si>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</si>
  <si>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</si>
  <si>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</si>
  <si>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</si>
  <si>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</si>
  <si>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</si>
  <si>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</si>
  <si>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</si>
  <si>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</si>
  <si>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</si>
  <si>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</si>
  <si>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</si>
  <si>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</si>
  <si>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</si>
  <si>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</si>
  <si>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</si>
  <si>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</si>
  <si>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</si>
  <si>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</si>
  <si>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</si>
  <si>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</si>
  <si>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</si>
  <si>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</si>
  <si>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</si>
  <si>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</si>
  <si>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</si>
  <si>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</si>
  <si>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</si>
  <si>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</si>
  <si>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</si>
  <si>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</si>
  <si>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</si>
  <si>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</si>
  <si>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</si>
  <si>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</si>
  <si>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</si>
  <si>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</si>
  <si>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</si>
  <si>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</si>
  <si>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</si>
  <si>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</si>
  <si>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</si>
  <si>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</si>
  <si>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</si>
  <si>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</si>
  <si>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</si>
  <si>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</si>
  <si>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</si>
  <si>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</si>
  <si>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</si>
  <si>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</si>
  <si>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</si>
  <si>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</si>
  <si>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</si>
  <si>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</si>
  <si>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</si>
  <si>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</si>
  <si>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</si>
  <si>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</si>
  <si>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</si>
  <si>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</si>
  <si>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</si>
  <si>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</si>
  <si>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</si>
  <si>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</si>
  <si>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</si>
  <si>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</si>
  <si>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</si>
  <si>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</si>
  <si>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</si>
  <si>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</si>
  <si>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</si>
  <si>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</si>
  <si>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</si>
  <si>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</si>
  <si>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</si>
  <si>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</si>
  <si>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</si>
  <si>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</si>
  <si>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</si>
  <si>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</si>
  <si>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</si>
  <si>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</si>
  <si>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</si>
  <si>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</si>
  <si>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</si>
  <si>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</si>
  <si>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</si>
  <si>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</si>
  <si>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</si>
  <si>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</si>
  <si>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</si>
  <si>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</si>
  <si>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</si>
  <si>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</si>
  <si>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</si>
  <si>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</si>
  <si>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</si>
  <si>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</si>
  <si>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</si>
  <si>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</si>
  <si>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</si>
  <si>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</si>
  <si>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</si>
  <si>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</si>
  <si>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</si>
  <si>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</si>
  <si>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</si>
  <si>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</si>
  <si>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</si>
  <si>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</si>
  <si>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</si>
  <si>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</si>
  <si>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</si>
  <si>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</si>
  <si>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</si>
  <si>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</si>
  <si>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</si>
  <si>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</si>
  <si>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</si>
  <si>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</si>
  <si>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</si>
  <si>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</si>
  <si>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</si>
  <si>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</si>
  <si>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</si>
  <si>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</si>
  <si>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</si>
  <si>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</si>
  <si>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</si>
  <si>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</si>
  <si>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</si>
  <si>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</si>
  <si>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</si>
  <si>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</si>
  <si>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</si>
  <si>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</si>
  <si>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</si>
  <si>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</si>
  <si>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</si>
  <si>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</si>
  <si>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</si>
  <si>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</si>
  <si>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</si>
  <si>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</si>
  <si>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</si>
  <si>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</si>
  <si>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</si>
  <si>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</si>
  <si>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</si>
  <si>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</si>
  <si>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</si>
  <si>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</si>
  <si>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</si>
  <si>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</si>
  <si>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</si>
  <si>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</si>
  <si>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</si>
  <si>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</si>
  <si>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</si>
  <si>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</si>
  <si>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</si>
  <si>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</si>
  <si>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</si>
  <si>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</si>
  <si>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</si>
  <si>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</si>
  <si>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</si>
  <si>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</si>
  <si>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</si>
  <si>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</si>
  <si>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</si>
  <si>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</si>
  <si>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</si>
  <si>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</si>
  <si>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</si>
  <si>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</si>
  <si>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</si>
  <si>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</si>
  <si>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</si>
  <si>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</si>
  <si>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</si>
  <si>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</si>
  <si>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</si>
  <si>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</si>
  <si>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</si>
  <si>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</si>
  <si>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</si>
  <si>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</si>
  <si>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</si>
  <si>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</si>
  <si>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</si>
  <si>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</si>
  <si>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</si>
  <si>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</si>
  <si>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</si>
  <si>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</si>
  <si>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</si>
  <si>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</si>
  <si>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</si>
  <si>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</si>
  <si>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</si>
  <si>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</si>
  <si>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</si>
  <si>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</si>
  <si>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</si>
  <si>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</si>
  <si>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</si>
  <si>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</si>
  <si>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</si>
  <si>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</si>
  <si>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</si>
  <si>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</si>
  <si>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</si>
  <si>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</si>
  <si>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</si>
  <si>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</si>
  <si>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</si>
  <si>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</si>
  <si>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</si>
  <si>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</si>
  <si>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</si>
  <si>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</si>
  <si>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</si>
  <si>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</si>
  <si>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</si>
  <si>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</si>
  <si>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</si>
  <si>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</si>
  <si>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</si>
  <si>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</si>
  <si>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</si>
  <si>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</si>
  <si>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</si>
  <si>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</si>
  <si>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</si>
  <si>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</si>
  <si>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</si>
  <si>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</si>
  <si>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</si>
  <si>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</si>
  <si>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</si>
  <si>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</si>
  <si>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</si>
  <si>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</si>
  <si>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</si>
  <si>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</si>
  <si>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</si>
  <si>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</si>
  <si>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</si>
  <si>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</si>
  <si>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</si>
  <si>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</si>
  <si>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</si>
  <si>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</si>
  <si>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</si>
  <si>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</si>
  <si>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</si>
  <si>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</si>
  <si>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</si>
  <si>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</si>
  <si>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</si>
  <si>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</si>
  <si>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</si>
  <si>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</si>
  <si>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</si>
  <si>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</si>
  <si>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</si>
  <si>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</si>
  <si>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</si>
  <si>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</si>
  <si>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</si>
  <si>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</si>
  <si>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</si>
  <si>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</si>
  <si>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</si>
  <si>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</si>
  <si>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</si>
  <si>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</si>
  <si>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</si>
  <si>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</si>
  <si>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</si>
  <si>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</si>
  <si>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</si>
  <si>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</si>
  <si>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</si>
  <si>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</si>
  <si>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</si>
  <si>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</si>
  <si>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</si>
  <si>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</si>
  <si>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</si>
  <si>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</si>
  <si>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</si>
  <si>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</si>
  <si>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</si>
  <si>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</si>
  <si>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</si>
  <si>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</si>
  <si>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</si>
  <si>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</si>
  <si>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</si>
  <si>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</si>
  <si>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</si>
  <si>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</si>
  <si>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</si>
  <si>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</si>
  <si>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</si>
  <si>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</si>
  <si>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</si>
  <si>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</si>
  <si>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</si>
  <si>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</si>
  <si>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</si>
  <si>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</si>
  <si>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</si>
  <si>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</si>
  <si>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</si>
  <si>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</si>
  <si>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</si>
  <si>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</si>
  <si>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</si>
  <si>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</si>
  <si>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</si>
  <si>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</si>
  <si>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</si>
  <si>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</si>
  <si>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</si>
  <si>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</si>
  <si>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</si>
  <si>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</si>
  <si>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</si>
  <si>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</si>
  <si>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</si>
  <si>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</si>
  <si>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</si>
  <si>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</si>
  <si>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</si>
  <si>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</si>
  <si>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</si>
  <si>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</si>
  <si>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</si>
  <si>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</si>
  <si>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</si>
  <si>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</si>
  <si>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</si>
  <si>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</si>
  <si>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</si>
  <si>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</si>
  <si>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</si>
  <si>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</si>
  <si>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</si>
  <si>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</si>
  <si>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</si>
  <si>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</si>
  <si>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</si>
  <si>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</si>
  <si>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</si>
  <si>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</si>
  <si>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</si>
  <si>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</si>
  <si>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</si>
  <si>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</si>
  <si>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</si>
  <si>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</si>
  <si>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</si>
  <si>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</si>
  <si>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</si>
  <si>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</si>
  <si>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</si>
  <si>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</si>
  <si>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</si>
  <si>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</si>
  <si>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</si>
  <si>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</si>
  <si>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</si>
  <si>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</si>
  <si>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</si>
  <si>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</si>
  <si>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</si>
  <si>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</si>
  <si>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</si>
  <si>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</si>
  <si>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</si>
  <si>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</si>
  <si>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</si>
  <si>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</si>
  <si>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</si>
  <si>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</si>
  <si>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</si>
  <si>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</si>
  <si>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</si>
  <si>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</si>
  <si>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</si>
  <si>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</si>
  <si>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</si>
  <si>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</si>
  <si>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</si>
  <si>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</si>
  <si>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</si>
  <si>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</si>
  <si>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</si>
  <si>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</si>
  <si>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</si>
  <si>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</si>
  <si>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</si>
  <si>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</si>
  <si>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</si>
  <si>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</si>
  <si>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</si>
  <si>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</si>
  <si>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</si>
  <si>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</si>
  <si>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</si>
  <si>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</si>
  <si>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</si>
  <si>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</si>
  <si>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</si>
  <si>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</si>
  <si>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</si>
  <si>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</si>
  <si>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</si>
  <si>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</si>
  <si>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</si>
  <si>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</si>
  <si>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</si>
  <si>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</si>
  <si>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</si>
  <si>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</si>
  <si>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</si>
  <si>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</si>
  <si>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</si>
  <si>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</si>
  <si>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</si>
  <si>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</si>
  <si>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</si>
  <si>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</si>
  <si>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</si>
  <si>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</si>
  <si>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</si>
  <si>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</si>
  <si>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</si>
  <si>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</si>
  <si>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</si>
  <si>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</si>
  <si>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</si>
  <si>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</si>
  <si>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</si>
  <si>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</si>
  <si>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</si>
  <si>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</si>
  <si>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</si>
  <si>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</si>
  <si>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</si>
  <si>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</si>
  <si>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</si>
  <si>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</si>
  <si>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</si>
  <si>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</si>
  <si>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</si>
  <si>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</si>
  <si>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</si>
  <si>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</si>
  <si>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</si>
  <si>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</si>
  <si>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</si>
  <si>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</si>
  <si>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</si>
  <si>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</si>
  <si>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</si>
  <si>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</si>
  <si>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</si>
  <si>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</si>
  <si>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</si>
  <si>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</si>
  <si>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</si>
  <si>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</si>
  <si>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</si>
  <si>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</si>
  <si>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</si>
  <si>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</si>
  <si>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</si>
  <si>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</si>
  <si>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</si>
  <si>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</si>
  <si>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</si>
  <si>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</si>
  <si>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</si>
  <si>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</si>
  <si>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</si>
  <si>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</si>
  <si>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</si>
  <si>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</si>
  <si>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</si>
  <si>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</si>
  <si>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</si>
  <si>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</si>
  <si>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</si>
  <si>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</si>
  <si>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</si>
  <si>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</si>
  <si>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</si>
  <si>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</si>
  <si>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</si>
  <si>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</si>
  <si>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</si>
  <si>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</si>
  <si>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</si>
  <si>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</si>
  <si>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</si>
  <si>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</si>
  <si>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</si>
  <si>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</si>
  <si>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</si>
  <si>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</si>
  <si>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</si>
  <si>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</si>
  <si>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</si>
  <si>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</si>
  <si>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</si>
  <si>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</si>
  <si>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</si>
  <si>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</si>
  <si>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</si>
  <si>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</si>
  <si>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</si>
  <si>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</si>
  <si>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</si>
  <si>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</si>
  <si>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</si>
  <si>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</si>
  <si>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</si>
  <si>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</si>
  <si>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</si>
  <si>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</si>
  <si>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</si>
  <si>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</si>
  <si>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</si>
  <si>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</si>
  <si>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</si>
  <si>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</si>
  <si>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</si>
  <si>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</si>
  <si>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</si>
  <si>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</si>
  <si>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</si>
  <si>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</si>
  <si>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</si>
  <si>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</si>
  <si>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</si>
  <si>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</si>
  <si>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</si>
  <si>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</si>
  <si>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</si>
  <si>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</si>
  <si>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</si>
  <si>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</si>
  <si>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</si>
  <si>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</si>
  <si>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</si>
  <si>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</si>
  <si>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</si>
  <si>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</si>
  <si>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</si>
  <si>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</si>
  <si>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</si>
  <si>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</si>
  <si>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</si>
  <si>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</si>
  <si>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</si>
  <si>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</si>
  <si>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</si>
  <si>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</si>
  <si>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</si>
  <si>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</si>
  <si>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</si>
  <si>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</si>
  <si>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</si>
  <si>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</si>
  <si>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</si>
  <si>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</si>
  <si>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</si>
  <si>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</si>
  <si>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</si>
  <si>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</si>
  <si>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</si>
  <si>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</si>
  <si>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</si>
  <si>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</si>
  <si>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</si>
  <si>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</si>
  <si>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</si>
  <si>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</si>
  <si>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</si>
  <si>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</si>
  <si>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</si>
  <si>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</si>
  <si>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</si>
  <si>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</si>
  <si>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</si>
  <si>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</si>
  <si>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</si>
  <si>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</si>
  <si>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</si>
  <si>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</si>
  <si>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</si>
  <si>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</si>
  <si>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</si>
  <si>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</si>
  <si>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</si>
  <si>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</si>
  <si>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</si>
  <si>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</si>
  <si>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</si>
  <si>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</si>
  <si>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</si>
  <si>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</si>
  <si>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</si>
  <si>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</si>
  <si>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</si>
  <si>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</si>
  <si>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</si>
  <si>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</si>
  <si>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</si>
  <si>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</si>
  <si>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</si>
  <si>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</si>
  <si>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</si>
  <si>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</si>
  <si>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</si>
  <si>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</si>
  <si>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</si>
  <si>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</si>
  <si>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</si>
  <si>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</si>
  <si>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</si>
  <si>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</si>
  <si>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</si>
  <si>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</si>
  <si>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</si>
  <si>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</si>
  <si>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</si>
  <si>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</si>
  <si>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</si>
  <si>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</si>
  <si>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</si>
  <si>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</si>
  <si>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</si>
  <si>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</si>
  <si>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</si>
  <si>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</si>
  <si>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</si>
  <si>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</si>
  <si>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</si>
  <si>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</si>
  <si>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</si>
  <si>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</si>
  <si>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</si>
  <si>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</si>
  <si>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</si>
  <si>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</si>
  <si>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</si>
  <si>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</si>
  <si>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</si>
  <si>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</si>
  <si>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</si>
  <si>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</si>
  <si>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</si>
  <si>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</si>
  <si>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</si>
  <si>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</si>
  <si>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</si>
  <si>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</si>
  <si>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</si>
  <si>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</si>
  <si>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</si>
  <si>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Row Labels</t>
  </si>
  <si>
    <t>Grand Total</t>
  </si>
  <si>
    <t>Column Labels</t>
  </si>
  <si>
    <t>Sum of Revenue</t>
  </si>
  <si>
    <t>'Sales Data'!$A$1:$J$2001</t>
  </si>
  <si>
    <t>2018</t>
  </si>
  <si>
    <t>Jan</t>
  </si>
  <si>
    <t>Feb</t>
  </si>
  <si>
    <t>Mar</t>
  </si>
  <si>
    <t>Apr</t>
  </si>
  <si>
    <t>May</t>
  </si>
  <si>
    <t>Jun</t>
  </si>
  <si>
    <t>Jul</t>
  </si>
  <si>
    <t>Aug</t>
  </si>
  <si>
    <t>Sep</t>
  </si>
  <si>
    <t>Oct</t>
  </si>
  <si>
    <t>Nov</t>
  </si>
  <si>
    <t>Dec</t>
  </si>
  <si>
    <t xml:space="preserve"> Revenue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</si>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</sst>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2"/>
      <color theme="1"/>
      <name val="Calibri"/>
      <family val="2"/>
      <scheme val="minor"/>
    </font>
    <font>
      <b/>
      <sz val="12"/>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4">
    <xf numFmtId="0" fontId="0" fillId="0" borderId="0" xfId="0"/>
    <xf numFmtId="49" fontId="1" fillId="0" borderId="0" xfId="0" applyNumberFormat="1" applyFont="1"/>
    <xf numFmtId="0" fontId="1" fillId="0" borderId="0" xfId="0" applyFont="1"/>
    <xf numFmtId="49"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1" fillId="2" borderId="1" xfId="0" applyFont="1" applyFill="1" applyBorder="1"/>
    <xf numFmtId="0" fontId="0" fillId="0" borderId="0" xfId="0" applyNumberFormat="1"/>
    <xf numFmtId="0" fontId="1" fillId="2" borderId="2" xfId="0" applyNumberFormat="1" applyFont="1" applyFill="1" applyBorder="1"/>
    <xf numFmtId="14" fontId="0" fillId="0" borderId="0" xfId="0" applyNumberFormat="1" applyAlignment="1">
      <alignment horizontal="left" indent="1"/>
    </xf>
    <xf numFmtId="0" fontId="1" fillId="2" borderId="2" xfId="0" applyFont="1" applyFill="1" applyBorder="1"/>
    <xf numFmtId="0" fontId="0" fillId="0" borderId="0" xfId="0" applyAlignment="1">
      <alignment horizontal="left" indent="1"/>
    </xf>
    <xf numFmtId="0" fontId="0" fillId="0" borderId="0" xfId="0" applyAlignment="1">
      <alignment horizontal="left" indent="2"/>
    </xf>
  </cellXfs>
  <cellStyles count="1">
    <cellStyle name="Normal" xfId="0" builtinId="0"/>
  </cellStyles>
  <dxfs count="2">
    <dxf>
      <font>
        <color theme="0"/>
      </font>
      <fill>
        <patternFill>
          <bgColor theme="1"/>
        </patternFill>
      </fill>
      <border>
        <bottom style="thin">
          <color theme="4"/>
        </bottom>
        <vertical/>
        <horizontal/>
      </border>
    </dxf>
    <dxf>
      <font>
        <color theme="0"/>
      </font>
      <fill>
        <patternFill>
          <bgColor theme="1"/>
        </patternFill>
      </fill>
      <border diagonalUp="0" diagonalDown="0">
        <left/>
        <right/>
        <top/>
        <bottom/>
        <vertical/>
        <horizontal/>
      </border>
    </dxf>
  </dxfs>
  <tableStyles count="1" defaultTableStyle="TableStyleMedium2" defaultPivotStyle="PivotStyleLight16">
    <tableStyle name="SlicerStyleDark1 2" pivot="0" table="0" count="10" xr9:uid="{9EF8F960-46A1-9449-ADD0-080A5CDFCA55}">
      <tableStyleElement type="wholeTable" dxfId="1"/>
      <tableStyleElement type="headerRow" dxfId="0"/>
    </tableStyle>
  </tableStyles>
  <colors>
    <mruColors>
      <color rgb="FF21734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Dashboard.xlsm]Company_Revenue!PivotTable1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265199560180719"/>
          <c:y val="0.15260034568849626"/>
          <c:w val="0.45666185505766116"/>
          <c:h val="0.77640163881953783"/>
        </c:manualLayout>
      </c:layout>
      <c:barChart>
        <c:barDir val="bar"/>
        <c:grouping val="clustered"/>
        <c:varyColors val="0"/>
        <c:ser>
          <c:idx val="0"/>
          <c:order val="0"/>
          <c:tx>
            <c:strRef>
              <c:f>Company_Revenue!$B$1:$B$2</c:f>
              <c:strCache>
                <c:ptCount val="1"/>
                <c:pt idx="0">
                  <c:v>Company 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Company_Revenue!$B$3:$B$4</c:f>
              <c:numCache>
                <c:formatCode>General</c:formatCode>
                <c:ptCount val="1"/>
                <c:pt idx="0">
                  <c:v>56412</c:v>
                </c:pt>
              </c:numCache>
            </c:numRef>
          </c:val>
          <c:extLst>
            <c:ext xmlns:c16="http://schemas.microsoft.com/office/drawing/2014/chart" uri="{C3380CC4-5D6E-409C-BE32-E72D297353CC}">
              <c16:uniqueId val="{00000000-128B-49AF-B251-E05BD9354E94}"/>
            </c:ext>
          </c:extLst>
        </c:ser>
        <c:ser>
          <c:idx val="1"/>
          <c:order val="1"/>
          <c:tx>
            <c:strRef>
              <c:f>Company_Revenue!$C$1:$C$2</c:f>
              <c:strCache>
                <c:ptCount val="1"/>
                <c:pt idx="0">
                  <c:v>Company 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Company_Revenue!$C$3:$C$4</c:f>
              <c:numCache>
                <c:formatCode>General</c:formatCode>
                <c:ptCount val="1"/>
                <c:pt idx="0">
                  <c:v>56126</c:v>
                </c:pt>
              </c:numCache>
            </c:numRef>
          </c:val>
          <c:extLst>
            <c:ext xmlns:c16="http://schemas.microsoft.com/office/drawing/2014/chart" uri="{C3380CC4-5D6E-409C-BE32-E72D297353CC}">
              <c16:uniqueId val="{00000014-E1BE-43DC-B59F-CCC63E4CBFA6}"/>
            </c:ext>
          </c:extLst>
        </c:ser>
        <c:ser>
          <c:idx val="2"/>
          <c:order val="2"/>
          <c:tx>
            <c:strRef>
              <c:f>Company_Revenue!$D$1:$D$2</c:f>
              <c:strCache>
                <c:ptCount val="1"/>
                <c:pt idx="0">
                  <c:v>Company 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Company_Revenue!$D$3:$D$4</c:f>
              <c:numCache>
                <c:formatCode>General</c:formatCode>
                <c:ptCount val="1"/>
                <c:pt idx="0">
                  <c:v>33943</c:v>
                </c:pt>
              </c:numCache>
            </c:numRef>
          </c:val>
          <c:extLst>
            <c:ext xmlns:c16="http://schemas.microsoft.com/office/drawing/2014/chart" uri="{C3380CC4-5D6E-409C-BE32-E72D297353CC}">
              <c16:uniqueId val="{00000015-E1BE-43DC-B59F-CCC63E4CBFA6}"/>
            </c:ext>
          </c:extLst>
        </c:ser>
        <c:ser>
          <c:idx val="3"/>
          <c:order val="3"/>
          <c:tx>
            <c:strRef>
              <c:f>Company_Revenue!$E$1:$E$2</c:f>
              <c:strCache>
                <c:ptCount val="1"/>
                <c:pt idx="0">
                  <c:v>Company 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Company_Revenue!$E$3:$E$4</c:f>
              <c:numCache>
                <c:formatCode>General</c:formatCode>
                <c:ptCount val="1"/>
                <c:pt idx="0">
                  <c:v>71600</c:v>
                </c:pt>
              </c:numCache>
            </c:numRef>
          </c:val>
          <c:extLst>
            <c:ext xmlns:c16="http://schemas.microsoft.com/office/drawing/2014/chart" uri="{C3380CC4-5D6E-409C-BE32-E72D297353CC}">
              <c16:uniqueId val="{00000016-E1BE-43DC-B59F-CCC63E4CBFA6}"/>
            </c:ext>
          </c:extLst>
        </c:ser>
        <c:ser>
          <c:idx val="4"/>
          <c:order val="4"/>
          <c:tx>
            <c:strRef>
              <c:f>Company_Revenue!$F$1:$F$2</c:f>
              <c:strCache>
                <c:ptCount val="1"/>
                <c:pt idx="0">
                  <c:v>Company 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Company_Revenue!$F$3:$F$4</c:f>
              <c:numCache>
                <c:formatCode>General</c:formatCode>
                <c:ptCount val="1"/>
                <c:pt idx="0">
                  <c:v>58988</c:v>
                </c:pt>
              </c:numCache>
            </c:numRef>
          </c:val>
          <c:extLst>
            <c:ext xmlns:c16="http://schemas.microsoft.com/office/drawing/2014/chart" uri="{C3380CC4-5D6E-409C-BE32-E72D297353CC}">
              <c16:uniqueId val="{00000017-E1BE-43DC-B59F-CCC63E4CBFA6}"/>
            </c:ext>
          </c:extLst>
        </c:ser>
        <c:ser>
          <c:idx val="5"/>
          <c:order val="5"/>
          <c:tx>
            <c:strRef>
              <c:f>Company_Revenue!$G$1:$G$2</c:f>
              <c:strCache>
                <c:ptCount val="1"/>
                <c:pt idx="0">
                  <c:v>Company F</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Company_Revenue!$G$3:$G$4</c:f>
              <c:numCache>
                <c:formatCode>General</c:formatCode>
                <c:ptCount val="1"/>
                <c:pt idx="0">
                  <c:v>63768</c:v>
                </c:pt>
              </c:numCache>
            </c:numRef>
          </c:val>
          <c:extLst>
            <c:ext xmlns:c16="http://schemas.microsoft.com/office/drawing/2014/chart" uri="{C3380CC4-5D6E-409C-BE32-E72D297353CC}">
              <c16:uniqueId val="{00000018-E1BE-43DC-B59F-CCC63E4CBFA6}"/>
            </c:ext>
          </c:extLst>
        </c:ser>
        <c:ser>
          <c:idx val="6"/>
          <c:order val="6"/>
          <c:tx>
            <c:strRef>
              <c:f>Company_Revenue!$H$1:$H$2</c:f>
              <c:strCache>
                <c:ptCount val="1"/>
                <c:pt idx="0">
                  <c:v>Company G</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Company_Revenue!$H$3:$H$4</c:f>
              <c:numCache>
                <c:formatCode>General</c:formatCode>
                <c:ptCount val="1"/>
                <c:pt idx="0">
                  <c:v>53198</c:v>
                </c:pt>
              </c:numCache>
            </c:numRef>
          </c:val>
          <c:extLst>
            <c:ext xmlns:c16="http://schemas.microsoft.com/office/drawing/2014/chart" uri="{C3380CC4-5D6E-409C-BE32-E72D297353CC}">
              <c16:uniqueId val="{00000019-E1BE-43DC-B59F-CCC63E4CBFA6}"/>
            </c:ext>
          </c:extLst>
        </c:ser>
        <c:ser>
          <c:idx val="7"/>
          <c:order val="7"/>
          <c:tx>
            <c:strRef>
              <c:f>Company_Revenue!$I$1:$I$2</c:f>
              <c:strCache>
                <c:ptCount val="1"/>
                <c:pt idx="0">
                  <c:v>Company H</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Company_Revenue!$I$3:$I$4</c:f>
              <c:numCache>
                <c:formatCode>General</c:formatCode>
                <c:ptCount val="1"/>
                <c:pt idx="0">
                  <c:v>56858</c:v>
                </c:pt>
              </c:numCache>
            </c:numRef>
          </c:val>
          <c:extLst>
            <c:ext xmlns:c16="http://schemas.microsoft.com/office/drawing/2014/chart" uri="{C3380CC4-5D6E-409C-BE32-E72D297353CC}">
              <c16:uniqueId val="{0000001A-E1BE-43DC-B59F-CCC63E4CBFA6}"/>
            </c:ext>
          </c:extLst>
        </c:ser>
        <c:ser>
          <c:idx val="8"/>
          <c:order val="8"/>
          <c:tx>
            <c:strRef>
              <c:f>Company_Revenue!$J$1:$J$2</c:f>
              <c:strCache>
                <c:ptCount val="1"/>
                <c:pt idx="0">
                  <c:v>Company I</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Company_Revenue!$J$3:$J$4</c:f>
              <c:numCache>
                <c:formatCode>General</c:formatCode>
                <c:ptCount val="1"/>
                <c:pt idx="0">
                  <c:v>62879</c:v>
                </c:pt>
              </c:numCache>
            </c:numRef>
          </c:val>
          <c:extLst>
            <c:ext xmlns:c16="http://schemas.microsoft.com/office/drawing/2014/chart" uri="{C3380CC4-5D6E-409C-BE32-E72D297353CC}">
              <c16:uniqueId val="{0000001B-E1BE-43DC-B59F-CCC63E4CBFA6}"/>
            </c:ext>
          </c:extLst>
        </c:ser>
        <c:ser>
          <c:idx val="9"/>
          <c:order val="9"/>
          <c:tx>
            <c:strRef>
              <c:f>Company_Revenue!$K$1:$K$2</c:f>
              <c:strCache>
                <c:ptCount val="1"/>
                <c:pt idx="0">
                  <c:v>Company J</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Company_Revenue!$K$3:$K$4</c:f>
              <c:numCache>
                <c:formatCode>General</c:formatCode>
                <c:ptCount val="1"/>
                <c:pt idx="0">
                  <c:v>66479</c:v>
                </c:pt>
              </c:numCache>
            </c:numRef>
          </c:val>
          <c:extLst>
            <c:ext xmlns:c16="http://schemas.microsoft.com/office/drawing/2014/chart" uri="{C3380CC4-5D6E-409C-BE32-E72D297353CC}">
              <c16:uniqueId val="{0000001C-E1BE-43DC-B59F-CCC63E4CBFA6}"/>
            </c:ext>
          </c:extLst>
        </c:ser>
        <c:ser>
          <c:idx val="10"/>
          <c:order val="10"/>
          <c:tx>
            <c:strRef>
              <c:f>Company_Revenue!$L$1:$L$2</c:f>
              <c:strCache>
                <c:ptCount val="1"/>
                <c:pt idx="0">
                  <c:v>Company K</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Company_Revenue!$L$3:$L$4</c:f>
              <c:numCache>
                <c:formatCode>General</c:formatCode>
                <c:ptCount val="1"/>
                <c:pt idx="0">
                  <c:v>46286</c:v>
                </c:pt>
              </c:numCache>
            </c:numRef>
          </c:val>
          <c:extLst>
            <c:ext xmlns:c16="http://schemas.microsoft.com/office/drawing/2014/chart" uri="{C3380CC4-5D6E-409C-BE32-E72D297353CC}">
              <c16:uniqueId val="{0000001D-E1BE-43DC-B59F-CCC63E4CBFA6}"/>
            </c:ext>
          </c:extLst>
        </c:ser>
        <c:ser>
          <c:idx val="11"/>
          <c:order val="11"/>
          <c:tx>
            <c:strRef>
              <c:f>Company_Revenue!$M$1:$M$2</c:f>
              <c:strCache>
                <c:ptCount val="1"/>
                <c:pt idx="0">
                  <c:v>Company L</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Company_Revenue!$M$3:$M$4</c:f>
              <c:numCache>
                <c:formatCode>General</c:formatCode>
                <c:ptCount val="1"/>
                <c:pt idx="0">
                  <c:v>52031</c:v>
                </c:pt>
              </c:numCache>
            </c:numRef>
          </c:val>
          <c:extLst>
            <c:ext xmlns:c16="http://schemas.microsoft.com/office/drawing/2014/chart" uri="{C3380CC4-5D6E-409C-BE32-E72D297353CC}">
              <c16:uniqueId val="{0000001E-E1BE-43DC-B59F-CCC63E4CBFA6}"/>
            </c:ext>
          </c:extLst>
        </c:ser>
        <c:ser>
          <c:idx val="12"/>
          <c:order val="12"/>
          <c:tx>
            <c:strRef>
              <c:f>Company_Revenue!$N$1:$N$2</c:f>
              <c:strCache>
                <c:ptCount val="1"/>
                <c:pt idx="0">
                  <c:v>Company M</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Company_Revenue!$N$3:$N$4</c:f>
              <c:numCache>
                <c:formatCode>General</c:formatCode>
                <c:ptCount val="1"/>
                <c:pt idx="0">
                  <c:v>66617</c:v>
                </c:pt>
              </c:numCache>
            </c:numRef>
          </c:val>
          <c:extLst>
            <c:ext xmlns:c16="http://schemas.microsoft.com/office/drawing/2014/chart" uri="{C3380CC4-5D6E-409C-BE32-E72D297353CC}">
              <c16:uniqueId val="{0000001F-E1BE-43DC-B59F-CCC63E4CBFA6}"/>
            </c:ext>
          </c:extLst>
        </c:ser>
        <c:ser>
          <c:idx val="13"/>
          <c:order val="13"/>
          <c:tx>
            <c:strRef>
              <c:f>Company_Revenue!$O$1:$O$2</c:f>
              <c:strCache>
                <c:ptCount val="1"/>
                <c:pt idx="0">
                  <c:v>Company N</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Company_Revenue!$O$3:$O$4</c:f>
              <c:numCache>
                <c:formatCode>General</c:formatCode>
                <c:ptCount val="1"/>
                <c:pt idx="0">
                  <c:v>71546</c:v>
                </c:pt>
              </c:numCache>
            </c:numRef>
          </c:val>
          <c:extLst>
            <c:ext xmlns:c16="http://schemas.microsoft.com/office/drawing/2014/chart" uri="{C3380CC4-5D6E-409C-BE32-E72D297353CC}">
              <c16:uniqueId val="{00000020-E1BE-43DC-B59F-CCC63E4CBFA6}"/>
            </c:ext>
          </c:extLst>
        </c:ser>
        <c:ser>
          <c:idx val="14"/>
          <c:order val="14"/>
          <c:tx>
            <c:strRef>
              <c:f>Company_Revenue!$P$1:$P$2</c:f>
              <c:strCache>
                <c:ptCount val="1"/>
                <c:pt idx="0">
                  <c:v>Company O</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Company_Revenue!$P$3:$P$4</c:f>
              <c:numCache>
                <c:formatCode>General</c:formatCode>
                <c:ptCount val="1"/>
                <c:pt idx="0">
                  <c:v>45776</c:v>
                </c:pt>
              </c:numCache>
            </c:numRef>
          </c:val>
          <c:extLst>
            <c:ext xmlns:c16="http://schemas.microsoft.com/office/drawing/2014/chart" uri="{C3380CC4-5D6E-409C-BE32-E72D297353CC}">
              <c16:uniqueId val="{00000021-E1BE-43DC-B59F-CCC63E4CBFA6}"/>
            </c:ext>
          </c:extLst>
        </c:ser>
        <c:ser>
          <c:idx val="15"/>
          <c:order val="15"/>
          <c:tx>
            <c:strRef>
              <c:f>Company_Revenue!$Q$1:$Q$2</c:f>
              <c:strCache>
                <c:ptCount val="1"/>
                <c:pt idx="0">
                  <c:v>Company P</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Company_Revenue!$Q$3:$Q$4</c:f>
              <c:numCache>
                <c:formatCode>General</c:formatCode>
                <c:ptCount val="1"/>
                <c:pt idx="0">
                  <c:v>52180</c:v>
                </c:pt>
              </c:numCache>
            </c:numRef>
          </c:val>
          <c:extLst>
            <c:ext xmlns:c16="http://schemas.microsoft.com/office/drawing/2014/chart" uri="{C3380CC4-5D6E-409C-BE32-E72D297353CC}">
              <c16:uniqueId val="{00000022-E1BE-43DC-B59F-CCC63E4CBFA6}"/>
            </c:ext>
          </c:extLst>
        </c:ser>
        <c:ser>
          <c:idx val="16"/>
          <c:order val="16"/>
          <c:tx>
            <c:strRef>
              <c:f>Company_Revenue!$R$1:$R$2</c:f>
              <c:strCache>
                <c:ptCount val="1"/>
                <c:pt idx="0">
                  <c:v>Company Q</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Company_Revenue!$R$3:$R$4</c:f>
              <c:numCache>
                <c:formatCode>General</c:formatCode>
                <c:ptCount val="1"/>
                <c:pt idx="0">
                  <c:v>59636</c:v>
                </c:pt>
              </c:numCache>
            </c:numRef>
          </c:val>
          <c:extLst>
            <c:ext xmlns:c16="http://schemas.microsoft.com/office/drawing/2014/chart" uri="{C3380CC4-5D6E-409C-BE32-E72D297353CC}">
              <c16:uniqueId val="{00000023-E1BE-43DC-B59F-CCC63E4CBFA6}"/>
            </c:ext>
          </c:extLst>
        </c:ser>
        <c:ser>
          <c:idx val="17"/>
          <c:order val="17"/>
          <c:tx>
            <c:strRef>
              <c:f>Company_Revenue!$S$1:$S$2</c:f>
              <c:strCache>
                <c:ptCount val="1"/>
                <c:pt idx="0">
                  <c:v>Company R</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Company_Revenue!$S$3:$S$4</c:f>
              <c:numCache>
                <c:formatCode>General</c:formatCode>
                <c:ptCount val="1"/>
                <c:pt idx="0">
                  <c:v>59044</c:v>
                </c:pt>
              </c:numCache>
            </c:numRef>
          </c:val>
          <c:extLst>
            <c:ext xmlns:c16="http://schemas.microsoft.com/office/drawing/2014/chart" uri="{C3380CC4-5D6E-409C-BE32-E72D297353CC}">
              <c16:uniqueId val="{00000024-E1BE-43DC-B59F-CCC63E4CBFA6}"/>
            </c:ext>
          </c:extLst>
        </c:ser>
        <c:ser>
          <c:idx val="18"/>
          <c:order val="18"/>
          <c:tx>
            <c:strRef>
              <c:f>Company_Revenue!$T$1:$T$2</c:f>
              <c:strCache>
                <c:ptCount val="1"/>
                <c:pt idx="0">
                  <c:v>Company S</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Company_Revenue!$T$3:$T$4</c:f>
              <c:numCache>
                <c:formatCode>General</c:formatCode>
                <c:ptCount val="1"/>
                <c:pt idx="0">
                  <c:v>74402</c:v>
                </c:pt>
              </c:numCache>
            </c:numRef>
          </c:val>
          <c:extLst>
            <c:ext xmlns:c16="http://schemas.microsoft.com/office/drawing/2014/chart" uri="{C3380CC4-5D6E-409C-BE32-E72D297353CC}">
              <c16:uniqueId val="{00000025-E1BE-43DC-B59F-CCC63E4CBFA6}"/>
            </c:ext>
          </c:extLst>
        </c:ser>
        <c:ser>
          <c:idx val="19"/>
          <c:order val="19"/>
          <c:tx>
            <c:strRef>
              <c:f>Company_Revenue!$U$1:$U$2</c:f>
              <c:strCache>
                <c:ptCount val="1"/>
                <c:pt idx="0">
                  <c:v>Company T</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Company_Revenue!$U$3:$U$4</c:f>
              <c:numCache>
                <c:formatCode>General</c:formatCode>
                <c:ptCount val="1"/>
                <c:pt idx="0">
                  <c:v>50382</c:v>
                </c:pt>
              </c:numCache>
            </c:numRef>
          </c:val>
          <c:extLst>
            <c:ext xmlns:c16="http://schemas.microsoft.com/office/drawing/2014/chart" uri="{C3380CC4-5D6E-409C-BE32-E72D297353CC}">
              <c16:uniqueId val="{00000026-E1BE-43DC-B59F-CCC63E4CBFA6}"/>
            </c:ext>
          </c:extLst>
        </c:ser>
        <c:dLbls>
          <c:showLegendKey val="0"/>
          <c:showVal val="0"/>
          <c:showCatName val="0"/>
          <c:showSerName val="0"/>
          <c:showPercent val="0"/>
          <c:showBubbleSize val="0"/>
        </c:dLbls>
        <c:gapWidth val="100"/>
        <c:axId val="547379888"/>
        <c:axId val="547382840"/>
      </c:barChart>
      <c:catAx>
        <c:axId val="54737988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82840"/>
        <c:crosses val="autoZero"/>
        <c:auto val="1"/>
        <c:lblAlgn val="ctr"/>
        <c:lblOffset val="100"/>
        <c:noMultiLvlLbl val="0"/>
      </c:catAx>
      <c:valAx>
        <c:axId val="547382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79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Dashboard.xlsm]Yearly_Revenue!PivotTable3</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Yearly_Revenue!$B$1</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Yearly_Revenue!$A$2:$A$15</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Yearly_Revenue!$B$2:$B$15</c:f>
              <c:numCache>
                <c:formatCode>General</c:formatCode>
                <c:ptCount val="1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numCache>
            </c:numRef>
          </c:val>
          <c:smooth val="0"/>
          <c:extLst>
            <c:ext xmlns:c16="http://schemas.microsoft.com/office/drawing/2014/chart" uri="{C3380CC4-5D6E-409C-BE32-E72D297353CC}">
              <c16:uniqueId val="{00000000-AECE-4AC6-AEEC-84DA1D8489C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53423200"/>
        <c:axId val="553423856"/>
      </c:lineChart>
      <c:catAx>
        <c:axId val="55342320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553423856"/>
        <c:crosses val="autoZero"/>
        <c:auto val="1"/>
        <c:lblAlgn val="ctr"/>
        <c:lblOffset val="100"/>
        <c:noMultiLvlLbl val="0"/>
      </c:catAx>
      <c:valAx>
        <c:axId val="553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5342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Dashboard.xlsm]Sales_Made!PivotTable3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Sales_Made!$G$3:$G$4</c:f>
              <c:strCache>
                <c:ptCount val="1"/>
                <c:pt idx="0">
                  <c:v>Andrew James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Sales_Made!$G$5:$G$6</c:f>
              <c:numCache>
                <c:formatCode>General</c:formatCode>
                <c:ptCount val="1"/>
                <c:pt idx="0">
                  <c:v>138437</c:v>
                </c:pt>
              </c:numCache>
            </c:numRef>
          </c:val>
          <c:extLst>
            <c:ext xmlns:c16="http://schemas.microsoft.com/office/drawing/2014/chart" uri="{C3380CC4-5D6E-409C-BE32-E72D297353CC}">
              <c16:uniqueId val="{00000000-A5EC-46E0-8016-F707D3A2D3DF}"/>
            </c:ext>
          </c:extLst>
        </c:ser>
        <c:ser>
          <c:idx val="1"/>
          <c:order val="1"/>
          <c:tx>
            <c:strRef>
              <c:f>Sales_Made!$H$3:$H$4</c:f>
              <c:strCache>
                <c:ptCount val="1"/>
                <c:pt idx="0">
                  <c:v>Anna Weber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Sales_Made!$H$5:$H$6</c:f>
              <c:numCache>
                <c:formatCode>General</c:formatCode>
                <c:ptCount val="1"/>
                <c:pt idx="0">
                  <c:v>141614</c:v>
                </c:pt>
              </c:numCache>
            </c:numRef>
          </c:val>
          <c:extLst>
            <c:ext xmlns:c16="http://schemas.microsoft.com/office/drawing/2014/chart" uri="{C3380CC4-5D6E-409C-BE32-E72D297353CC}">
              <c16:uniqueId val="{00000002-A5EC-46E0-8016-F707D3A2D3DF}"/>
            </c:ext>
          </c:extLst>
        </c:ser>
        <c:ser>
          <c:idx val="2"/>
          <c:order val="2"/>
          <c:tx>
            <c:strRef>
              <c:f>Sales_Made!$I$3:$I$4</c:f>
              <c:strCache>
                <c:ptCount val="1"/>
                <c:pt idx="0">
                  <c:v>Anne Lee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Sales_Made!$I$5:$I$6</c:f>
              <c:numCache>
                <c:formatCode>General</c:formatCode>
                <c:ptCount val="1"/>
                <c:pt idx="0">
                  <c:v>127145</c:v>
                </c:pt>
              </c:numCache>
            </c:numRef>
          </c:val>
          <c:extLst>
            <c:ext xmlns:c16="http://schemas.microsoft.com/office/drawing/2014/chart" uri="{C3380CC4-5D6E-409C-BE32-E72D297353CC}">
              <c16:uniqueId val="{00000003-A5EC-46E0-8016-F707D3A2D3DF}"/>
            </c:ext>
          </c:extLst>
        </c:ser>
        <c:ser>
          <c:idx val="3"/>
          <c:order val="3"/>
          <c:tx>
            <c:strRef>
              <c:f>Sales_Made!$J$3:$J$4</c:f>
              <c:strCache>
                <c:ptCount val="1"/>
                <c:pt idx="0">
                  <c:v>Ben Wallace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Sales_Made!$J$5:$J$6</c:f>
              <c:numCache>
                <c:formatCode>General</c:formatCode>
                <c:ptCount val="1"/>
                <c:pt idx="0">
                  <c:v>135455</c:v>
                </c:pt>
              </c:numCache>
            </c:numRef>
          </c:val>
          <c:extLst>
            <c:ext xmlns:c16="http://schemas.microsoft.com/office/drawing/2014/chart" uri="{C3380CC4-5D6E-409C-BE32-E72D297353CC}">
              <c16:uniqueId val="{00000004-A5EC-46E0-8016-F707D3A2D3DF}"/>
            </c:ext>
          </c:extLst>
        </c:ser>
        <c:ser>
          <c:idx val="4"/>
          <c:order val="4"/>
          <c:tx>
            <c:strRef>
              <c:f>Sales_Made!$K$3:$K$4</c:f>
              <c:strCache>
                <c:ptCount val="1"/>
                <c:pt idx="0">
                  <c:v>Kim Fishman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Sales_Made!$K$5:$K$6</c:f>
              <c:numCache>
                <c:formatCode>General</c:formatCode>
                <c:ptCount val="1"/>
                <c:pt idx="0">
                  <c:v>126344</c:v>
                </c:pt>
              </c:numCache>
            </c:numRef>
          </c:val>
          <c:extLst>
            <c:ext xmlns:c16="http://schemas.microsoft.com/office/drawing/2014/chart" uri="{C3380CC4-5D6E-409C-BE32-E72D297353CC}">
              <c16:uniqueId val="{00000005-A5EC-46E0-8016-F707D3A2D3DF}"/>
            </c:ext>
          </c:extLst>
        </c:ser>
        <c:ser>
          <c:idx val="5"/>
          <c:order val="5"/>
          <c:tx>
            <c:strRef>
              <c:f>Sales_Made!$L$3:$L$4</c:f>
              <c:strCache>
                <c:ptCount val="1"/>
                <c:pt idx="0">
                  <c:v>Laura Larsen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Sales_Made!$L$5:$L$6</c:f>
              <c:numCache>
                <c:formatCode>General</c:formatCode>
                <c:ptCount val="1"/>
                <c:pt idx="0">
                  <c:v>176838</c:v>
                </c:pt>
              </c:numCache>
            </c:numRef>
          </c:val>
          <c:extLst>
            <c:ext xmlns:c16="http://schemas.microsoft.com/office/drawing/2014/chart" uri="{C3380CC4-5D6E-409C-BE32-E72D297353CC}">
              <c16:uniqueId val="{00000006-A5EC-46E0-8016-F707D3A2D3DF}"/>
            </c:ext>
          </c:extLst>
        </c:ser>
        <c:ser>
          <c:idx val="6"/>
          <c:order val="6"/>
          <c:tx>
            <c:strRef>
              <c:f>Sales_Made!$M$3:$M$4</c:f>
              <c:strCache>
                <c:ptCount val="1"/>
                <c:pt idx="0">
                  <c:v>Michael Fox</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Sales_Made!$M$5:$M$6</c:f>
              <c:numCache>
                <c:formatCode>General</c:formatCode>
                <c:ptCount val="1"/>
                <c:pt idx="0">
                  <c:v>155111</c:v>
                </c:pt>
              </c:numCache>
            </c:numRef>
          </c:val>
          <c:extLst>
            <c:ext xmlns:c16="http://schemas.microsoft.com/office/drawing/2014/chart" uri="{C3380CC4-5D6E-409C-BE32-E72D297353CC}">
              <c16:uniqueId val="{00000007-A5EC-46E0-8016-F707D3A2D3DF}"/>
            </c:ext>
          </c:extLst>
        </c:ser>
        <c:ser>
          <c:idx val="7"/>
          <c:order val="7"/>
          <c:tx>
            <c:strRef>
              <c:f>Sales_Made!$N$3:$N$4</c:f>
              <c:strCache>
                <c:ptCount val="1"/>
                <c:pt idx="0">
                  <c:v>Oscar Knox</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Sales_Made!$N$5:$N$6</c:f>
              <c:numCache>
                <c:formatCode>General</c:formatCode>
                <c:ptCount val="1"/>
                <c:pt idx="0">
                  <c:v>157207</c:v>
                </c:pt>
              </c:numCache>
            </c:numRef>
          </c:val>
          <c:extLst>
            <c:ext xmlns:c16="http://schemas.microsoft.com/office/drawing/2014/chart" uri="{C3380CC4-5D6E-409C-BE32-E72D297353CC}">
              <c16:uniqueId val="{00000008-A5EC-46E0-8016-F707D3A2D3DF}"/>
            </c:ext>
          </c:extLst>
        </c:ser>
        <c:dLbls>
          <c:showLegendKey val="0"/>
          <c:showVal val="0"/>
          <c:showCatName val="0"/>
          <c:showSerName val="0"/>
          <c:showPercent val="0"/>
          <c:showBubbleSize val="0"/>
        </c:dLbls>
        <c:gapWidth val="150"/>
        <c:shape val="box"/>
        <c:axId val="520731240"/>
        <c:axId val="520727632"/>
        <c:axId val="0"/>
      </c:bar3DChart>
      <c:catAx>
        <c:axId val="520731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727632"/>
        <c:crosses val="autoZero"/>
        <c:auto val="1"/>
        <c:lblAlgn val="ctr"/>
        <c:lblOffset val="100"/>
        <c:noMultiLvlLbl val="0"/>
      </c:catAx>
      <c:valAx>
        <c:axId val="52072763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731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Dashboard.xlsm]Product_Revenue!PivotTable1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Product_Revenue!$B$1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CF-4F8E-B84B-819809E79E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CF-4F8E-B84B-819809E79E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CF-4F8E-B84B-819809E79E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CF-4F8E-B84B-819809E79E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2CF-4F8E-B84B-819809E79EDC}"/>
              </c:ext>
            </c:extLst>
          </c:dPt>
          <c:cat>
            <c:multiLvlStrRef>
              <c:f>Product_Revenue!$A$2:$A$13</c:f>
              <c:multiLvlStrCache>
                <c:ptCount val="5"/>
                <c:lvl>
                  <c:pt idx="0">
                    <c:v>2018</c:v>
                  </c:pt>
                  <c:pt idx="1">
                    <c:v>2018</c:v>
                  </c:pt>
                  <c:pt idx="2">
                    <c:v>2018</c:v>
                  </c:pt>
                  <c:pt idx="3">
                    <c:v>2018</c:v>
                  </c:pt>
                  <c:pt idx="4">
                    <c:v>2018</c:v>
                  </c:pt>
                </c:lvl>
                <c:lvl>
                  <c:pt idx="0">
                    <c:v>Item 1</c:v>
                  </c:pt>
                  <c:pt idx="1">
                    <c:v>Item 2</c:v>
                  </c:pt>
                  <c:pt idx="2">
                    <c:v>Item 3</c:v>
                  </c:pt>
                  <c:pt idx="3">
                    <c:v>Item 4</c:v>
                  </c:pt>
                  <c:pt idx="4">
                    <c:v>Item 5</c:v>
                  </c:pt>
                </c:lvl>
                <c:lvl>
                  <c:pt idx="0">
                    <c:v>Texas</c:v>
                  </c:pt>
                </c:lvl>
              </c:multiLvlStrCache>
            </c:multiLvlStrRef>
          </c:cat>
          <c:val>
            <c:numRef>
              <c:f>Product_Revenue!$B$2:$B$13</c:f>
              <c:numCache>
                <c:formatCode>General</c:formatCode>
                <c:ptCount val="5"/>
                <c:pt idx="0">
                  <c:v>87780</c:v>
                </c:pt>
                <c:pt idx="1">
                  <c:v>57113</c:v>
                </c:pt>
                <c:pt idx="2">
                  <c:v>18009</c:v>
                </c:pt>
                <c:pt idx="3">
                  <c:v>38160</c:v>
                </c:pt>
                <c:pt idx="4">
                  <c:v>76007</c:v>
                </c:pt>
              </c:numCache>
            </c:numRef>
          </c:val>
          <c:extLst>
            <c:ext xmlns:c16="http://schemas.microsoft.com/office/drawing/2014/chart" uri="{C3380CC4-5D6E-409C-BE32-E72D297353CC}">
              <c16:uniqueId val="{00000000-A6E3-4DD9-BA5C-73D93D27209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[Revenue Analysis Dashboard.xlsm]Yearly_Revenue!PivotTable3</c:name>
    <c:fmtId val="2"/>
  </c:pivotSource>
  <c:chart>
    <c:autoTitleDeleted val="1"/>
    <c:pivotFmts>
      <c:pivotFmt>
        <c:idx val="0"/>
        <c:spPr>
          <a:pattFill prst="ltUpDiag">
            <a:fgClr>
              <a:schemeClr val="accent6"/>
            </a:fgClr>
            <a:bgClr>
              <a:schemeClr val="lt1"/>
            </a:bgClr>
          </a:pattFill>
          <a:ln>
            <a:noFill/>
          </a:ln>
          <a:effectLst>
            <a:outerShdw dist="25400" dir="2700000" algn="tl" rotWithShape="0">
              <a:schemeClr val="accent1"/>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6"/>
            </a:fgClr>
            <a:bgClr>
              <a:schemeClr val="lt1"/>
            </a:bgClr>
          </a:pattFill>
          <a:ln>
            <a:noFill/>
          </a:ln>
          <a:effectLst>
            <a:outerShdw dist="25400" dir="2700000" algn="tl" rotWithShape="0">
              <a:schemeClr val="accent1"/>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6"/>
            </a:fgClr>
            <a:bgClr>
              <a:schemeClr val="lt1"/>
            </a:bgClr>
          </a:pattFill>
          <a:ln w="34925" cap="rnd">
            <a:solidFill>
              <a:schemeClr val="lt1"/>
            </a:solidFill>
            <a:round/>
          </a:ln>
          <a:effectLst>
            <a:outerShdw dist="25400" dir="2700000" algn="tl" rotWithShape="0">
              <a:schemeClr val="accent6"/>
            </a:outerShdw>
          </a:effectLst>
        </c:spPr>
        <c:marker>
          <c:spPr>
            <a:solidFill>
              <a:schemeClr val="accent6"/>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6"/>
            </a:fgClr>
            <a:bgClr>
              <a:schemeClr val="lt1"/>
            </a:bgClr>
          </a:pattFill>
          <a:ln w="34925" cap="rnd">
            <a:solidFill>
              <a:schemeClr val="lt1"/>
            </a:solidFill>
            <a:round/>
          </a:ln>
          <a:effectLst>
            <a:outerShdw dist="25400" dir="2700000" algn="tl" rotWithShape="0">
              <a:schemeClr val="accent6"/>
            </a:outerShdw>
          </a:effectLst>
        </c:spPr>
        <c:marker>
          <c:spPr>
            <a:solidFill>
              <a:schemeClr val="accent6"/>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6"/>
            </a:fgClr>
            <a:bgClr>
              <a:schemeClr val="lt1"/>
            </a:bgClr>
          </a:pattFill>
          <a:ln w="34925" cap="rnd">
            <a:solidFill>
              <a:schemeClr val="lt1"/>
            </a:solidFill>
            <a:round/>
          </a:ln>
          <a:effectLst>
            <a:outerShdw dist="25400" dir="2700000" algn="tl" rotWithShape="0">
              <a:schemeClr val="accent6"/>
            </a:outerShdw>
          </a:effectLst>
        </c:spPr>
        <c:marker>
          <c:spPr>
            <a:solidFill>
              <a:schemeClr val="accent6"/>
            </a:solidFill>
            <a:ln w="22225">
              <a:solidFill>
                <a:schemeClr val="l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Yearly_Revenue!$B$1</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cat>
            <c:multiLvlStrRef>
              <c:f>Yearly_Revenue!$A$2:$A$15</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Yearly_Revenue!$B$2:$B$15</c:f>
              <c:numCache>
                <c:formatCode>General</c:formatCode>
                <c:ptCount val="1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numCache>
            </c:numRef>
          </c:val>
          <c:smooth val="0"/>
          <c:extLst>
            <c:ext xmlns:c16="http://schemas.microsoft.com/office/drawing/2014/chart" uri="{C3380CC4-5D6E-409C-BE32-E72D297353CC}">
              <c16:uniqueId val="{00000000-218E-40F5-8E2A-5B7E6F4ACF78}"/>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53423200"/>
        <c:axId val="553423856"/>
      </c:lineChart>
      <c:catAx>
        <c:axId val="55342320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50" b="1" i="0" u="none" strike="noStrike" kern="1200" spc="100" baseline="0">
                <a:solidFill>
                  <a:schemeClr val="lt1"/>
                </a:solidFill>
                <a:latin typeface="+mn-lt"/>
                <a:ea typeface="+mn-ea"/>
                <a:cs typeface="+mn-cs"/>
              </a:defRPr>
            </a:pPr>
            <a:endParaRPr lang="en-US"/>
          </a:p>
        </c:txPr>
        <c:crossAx val="553423856"/>
        <c:crosses val="autoZero"/>
        <c:auto val="1"/>
        <c:lblAlgn val="ctr"/>
        <c:lblOffset val="100"/>
        <c:noMultiLvlLbl val="0"/>
      </c:catAx>
      <c:valAx>
        <c:axId val="553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5342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Dashboard.xlsm]Product_Revenue!PivotTable1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Product_Revenue!$B$1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DE-4753-B98D-F19365B37E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DE-4753-B98D-F19365B37E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DE-4753-B98D-F19365B37E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DE-4753-B98D-F19365B37E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BDE-4753-B98D-F19365B37E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BDE-4753-B98D-F19365B37E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BDE-4753-B98D-F19365B37E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BDE-4753-B98D-F19365B37E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BDE-4753-B98D-F19365B37E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BDE-4753-B98D-F19365B37E21}"/>
              </c:ext>
            </c:extLst>
          </c:dPt>
          <c:cat>
            <c:multiLvlStrRef>
              <c:f>Product_Revenue!$A$2:$A$13</c:f>
              <c:multiLvlStrCache>
                <c:ptCount val="5"/>
                <c:lvl>
                  <c:pt idx="0">
                    <c:v>2018</c:v>
                  </c:pt>
                  <c:pt idx="1">
                    <c:v>2018</c:v>
                  </c:pt>
                  <c:pt idx="2">
                    <c:v>2018</c:v>
                  </c:pt>
                  <c:pt idx="3">
                    <c:v>2018</c:v>
                  </c:pt>
                  <c:pt idx="4">
                    <c:v>2018</c:v>
                  </c:pt>
                </c:lvl>
                <c:lvl>
                  <c:pt idx="0">
                    <c:v>Item 1</c:v>
                  </c:pt>
                  <c:pt idx="1">
                    <c:v>Item 2</c:v>
                  </c:pt>
                  <c:pt idx="2">
                    <c:v>Item 3</c:v>
                  </c:pt>
                  <c:pt idx="3">
                    <c:v>Item 4</c:v>
                  </c:pt>
                  <c:pt idx="4">
                    <c:v>Item 5</c:v>
                  </c:pt>
                </c:lvl>
                <c:lvl>
                  <c:pt idx="0">
                    <c:v>Texas</c:v>
                  </c:pt>
                </c:lvl>
              </c:multiLvlStrCache>
            </c:multiLvlStrRef>
          </c:cat>
          <c:val>
            <c:numRef>
              <c:f>Product_Revenue!$B$2:$B$13</c:f>
              <c:numCache>
                <c:formatCode>General</c:formatCode>
                <c:ptCount val="5"/>
                <c:pt idx="0">
                  <c:v>87780</c:v>
                </c:pt>
                <c:pt idx="1">
                  <c:v>57113</c:v>
                </c:pt>
                <c:pt idx="2">
                  <c:v>18009</c:v>
                </c:pt>
                <c:pt idx="3">
                  <c:v>38160</c:v>
                </c:pt>
                <c:pt idx="4">
                  <c:v>76007</c:v>
                </c:pt>
              </c:numCache>
            </c:numRef>
          </c:val>
          <c:extLst>
            <c:ext xmlns:c16="http://schemas.microsoft.com/office/drawing/2014/chart" uri="{C3380CC4-5D6E-409C-BE32-E72D297353CC}">
              <c16:uniqueId val="{00000014-7BDE-4753-B98D-F19365B37E2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7075141564751217"/>
          <c:y val="8.5167489657013193E-2"/>
          <c:w val="0.30882305243759423"/>
          <c:h val="0.7822073935673294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[Revenue Analysis Dashboard.xlsm]Sales_Made!PivotTable3</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Sales_Made!$G$3:$G$4</c:f>
              <c:strCache>
                <c:ptCount val="1"/>
                <c:pt idx="0">
                  <c:v>Andrew James</c:v>
                </c:pt>
              </c:strCache>
            </c:strRef>
          </c:tx>
          <c:spPr>
            <a:gradFill rotWithShape="1">
              <a:gsLst>
                <a:gs pos="0">
                  <a:schemeClr val="accent6">
                    <a:shade val="45000"/>
                    <a:satMod val="103000"/>
                    <a:lumMod val="102000"/>
                    <a:tint val="94000"/>
                  </a:schemeClr>
                </a:gs>
                <a:gs pos="50000">
                  <a:schemeClr val="accent6">
                    <a:shade val="45000"/>
                    <a:satMod val="110000"/>
                    <a:lumMod val="100000"/>
                    <a:shade val="100000"/>
                  </a:schemeClr>
                </a:gs>
                <a:gs pos="100000">
                  <a:schemeClr val="accent6">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Sales_Made!$G$5:$G$6</c:f>
              <c:numCache>
                <c:formatCode>General</c:formatCode>
                <c:ptCount val="1"/>
                <c:pt idx="0">
                  <c:v>138437</c:v>
                </c:pt>
              </c:numCache>
            </c:numRef>
          </c:val>
          <c:extLst>
            <c:ext xmlns:c16="http://schemas.microsoft.com/office/drawing/2014/chart" uri="{C3380CC4-5D6E-409C-BE32-E72D297353CC}">
              <c16:uniqueId val="{00000000-4FEF-41BD-84FB-FA8DFF6A6AC3}"/>
            </c:ext>
          </c:extLst>
        </c:ser>
        <c:ser>
          <c:idx val="1"/>
          <c:order val="1"/>
          <c:tx>
            <c:strRef>
              <c:f>Sales_Made!$H$3:$H$4</c:f>
              <c:strCache>
                <c:ptCount val="1"/>
                <c:pt idx="0">
                  <c:v>Anna Weber</c:v>
                </c:pt>
              </c:strCache>
            </c:strRef>
          </c:tx>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Sales_Made!$H$5:$H$6</c:f>
              <c:numCache>
                <c:formatCode>General</c:formatCode>
                <c:ptCount val="1"/>
                <c:pt idx="0">
                  <c:v>141614</c:v>
                </c:pt>
              </c:numCache>
            </c:numRef>
          </c:val>
          <c:extLst>
            <c:ext xmlns:c16="http://schemas.microsoft.com/office/drawing/2014/chart" uri="{C3380CC4-5D6E-409C-BE32-E72D297353CC}">
              <c16:uniqueId val="{00000001-4FEF-41BD-84FB-FA8DFF6A6AC3}"/>
            </c:ext>
          </c:extLst>
        </c:ser>
        <c:ser>
          <c:idx val="2"/>
          <c:order val="2"/>
          <c:tx>
            <c:strRef>
              <c:f>Sales_Made!$I$3:$I$4</c:f>
              <c:strCache>
                <c:ptCount val="1"/>
                <c:pt idx="0">
                  <c:v>Anne Lee</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Sales_Made!$I$5:$I$6</c:f>
              <c:numCache>
                <c:formatCode>General</c:formatCode>
                <c:ptCount val="1"/>
                <c:pt idx="0">
                  <c:v>127145</c:v>
                </c:pt>
              </c:numCache>
            </c:numRef>
          </c:val>
          <c:extLst>
            <c:ext xmlns:c16="http://schemas.microsoft.com/office/drawing/2014/chart" uri="{C3380CC4-5D6E-409C-BE32-E72D297353CC}">
              <c16:uniqueId val="{00000002-4FEF-41BD-84FB-FA8DFF6A6AC3}"/>
            </c:ext>
          </c:extLst>
        </c:ser>
        <c:ser>
          <c:idx val="3"/>
          <c:order val="3"/>
          <c:tx>
            <c:strRef>
              <c:f>Sales_Made!$J$3:$J$4</c:f>
              <c:strCache>
                <c:ptCount val="1"/>
                <c:pt idx="0">
                  <c:v>Ben Wallace</c:v>
                </c:pt>
              </c:strCache>
            </c:strRef>
          </c:tx>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Sales_Made!$J$5:$J$6</c:f>
              <c:numCache>
                <c:formatCode>General</c:formatCode>
                <c:ptCount val="1"/>
                <c:pt idx="0">
                  <c:v>135455</c:v>
                </c:pt>
              </c:numCache>
            </c:numRef>
          </c:val>
          <c:extLst>
            <c:ext xmlns:c16="http://schemas.microsoft.com/office/drawing/2014/chart" uri="{C3380CC4-5D6E-409C-BE32-E72D297353CC}">
              <c16:uniqueId val="{00000003-4FEF-41BD-84FB-FA8DFF6A6AC3}"/>
            </c:ext>
          </c:extLst>
        </c:ser>
        <c:ser>
          <c:idx val="4"/>
          <c:order val="4"/>
          <c:tx>
            <c:strRef>
              <c:f>Sales_Made!$K$3:$K$4</c:f>
              <c:strCache>
                <c:ptCount val="1"/>
                <c:pt idx="0">
                  <c:v>Kim Fishman</c:v>
                </c:pt>
              </c:strCache>
            </c:strRef>
          </c:tx>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Sales_Made!$K$5:$K$6</c:f>
              <c:numCache>
                <c:formatCode>General</c:formatCode>
                <c:ptCount val="1"/>
                <c:pt idx="0">
                  <c:v>126344</c:v>
                </c:pt>
              </c:numCache>
            </c:numRef>
          </c:val>
          <c:extLst>
            <c:ext xmlns:c16="http://schemas.microsoft.com/office/drawing/2014/chart" uri="{C3380CC4-5D6E-409C-BE32-E72D297353CC}">
              <c16:uniqueId val="{00000004-4FEF-41BD-84FB-FA8DFF6A6AC3}"/>
            </c:ext>
          </c:extLst>
        </c:ser>
        <c:ser>
          <c:idx val="5"/>
          <c:order val="5"/>
          <c:tx>
            <c:strRef>
              <c:f>Sales_Made!$L$3:$L$4</c:f>
              <c:strCache>
                <c:ptCount val="1"/>
                <c:pt idx="0">
                  <c:v>Laura Larsen</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Sales_Made!$L$5:$L$6</c:f>
              <c:numCache>
                <c:formatCode>General</c:formatCode>
                <c:ptCount val="1"/>
                <c:pt idx="0">
                  <c:v>176838</c:v>
                </c:pt>
              </c:numCache>
            </c:numRef>
          </c:val>
          <c:extLst>
            <c:ext xmlns:c16="http://schemas.microsoft.com/office/drawing/2014/chart" uri="{C3380CC4-5D6E-409C-BE32-E72D297353CC}">
              <c16:uniqueId val="{00000005-4FEF-41BD-84FB-FA8DFF6A6AC3}"/>
            </c:ext>
          </c:extLst>
        </c:ser>
        <c:ser>
          <c:idx val="6"/>
          <c:order val="6"/>
          <c:tx>
            <c:strRef>
              <c:f>Sales_Made!$M$3:$M$4</c:f>
              <c:strCache>
                <c:ptCount val="1"/>
                <c:pt idx="0">
                  <c:v>Michael Fox</c:v>
                </c:pt>
              </c:strCache>
            </c:strRef>
          </c:tx>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Sales_Made!$M$5:$M$6</c:f>
              <c:numCache>
                <c:formatCode>General</c:formatCode>
                <c:ptCount val="1"/>
                <c:pt idx="0">
                  <c:v>155111</c:v>
                </c:pt>
              </c:numCache>
            </c:numRef>
          </c:val>
          <c:extLst>
            <c:ext xmlns:c16="http://schemas.microsoft.com/office/drawing/2014/chart" uri="{C3380CC4-5D6E-409C-BE32-E72D297353CC}">
              <c16:uniqueId val="{00000006-4FEF-41BD-84FB-FA8DFF6A6AC3}"/>
            </c:ext>
          </c:extLst>
        </c:ser>
        <c:ser>
          <c:idx val="7"/>
          <c:order val="7"/>
          <c:tx>
            <c:strRef>
              <c:f>Sales_Made!$N$3:$N$4</c:f>
              <c:strCache>
                <c:ptCount val="1"/>
                <c:pt idx="0">
                  <c:v>Oscar Knox</c:v>
                </c:pt>
              </c:strCache>
            </c:strRef>
          </c:tx>
          <c:spPr>
            <a:gradFill rotWithShape="1">
              <a:gsLst>
                <a:gs pos="0">
                  <a:schemeClr val="accent6">
                    <a:tint val="46000"/>
                    <a:satMod val="103000"/>
                    <a:lumMod val="102000"/>
                    <a:tint val="94000"/>
                  </a:schemeClr>
                </a:gs>
                <a:gs pos="50000">
                  <a:schemeClr val="accent6">
                    <a:tint val="46000"/>
                    <a:satMod val="110000"/>
                    <a:lumMod val="100000"/>
                    <a:shade val="100000"/>
                  </a:schemeClr>
                </a:gs>
                <a:gs pos="100000">
                  <a:schemeClr val="accent6">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Sales_Made!$F$5:$F$6</c:f>
              <c:strCache>
                <c:ptCount val="1"/>
                <c:pt idx="0">
                  <c:v>2018</c:v>
                </c:pt>
              </c:strCache>
            </c:strRef>
          </c:cat>
          <c:val>
            <c:numRef>
              <c:f>Sales_Made!$N$5:$N$6</c:f>
              <c:numCache>
                <c:formatCode>General</c:formatCode>
                <c:ptCount val="1"/>
                <c:pt idx="0">
                  <c:v>157207</c:v>
                </c:pt>
              </c:numCache>
            </c:numRef>
          </c:val>
          <c:extLst>
            <c:ext xmlns:c16="http://schemas.microsoft.com/office/drawing/2014/chart" uri="{C3380CC4-5D6E-409C-BE32-E72D297353CC}">
              <c16:uniqueId val="{00000007-4FEF-41BD-84FB-FA8DFF6A6AC3}"/>
            </c:ext>
          </c:extLst>
        </c:ser>
        <c:dLbls>
          <c:showLegendKey val="0"/>
          <c:showVal val="0"/>
          <c:showCatName val="0"/>
          <c:showSerName val="0"/>
          <c:showPercent val="0"/>
          <c:showBubbleSize val="0"/>
        </c:dLbls>
        <c:gapWidth val="150"/>
        <c:shape val="box"/>
        <c:axId val="520731240"/>
        <c:axId val="520727632"/>
        <c:axId val="0"/>
      </c:bar3DChart>
      <c:catAx>
        <c:axId val="520731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520727632"/>
        <c:crosses val="autoZero"/>
        <c:auto val="1"/>
        <c:lblAlgn val="ctr"/>
        <c:lblOffset val="100"/>
        <c:noMultiLvlLbl val="0"/>
      </c:catAx>
      <c:valAx>
        <c:axId val="52072763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520731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Dashboard.xlsm]Company_Revenue!PivotTable1</c:name>
    <c:fmtId val="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265199560180719"/>
          <c:y val="0.15260034568849626"/>
          <c:w val="0.45666185505766116"/>
          <c:h val="0.77640163881953783"/>
        </c:manualLayout>
      </c:layout>
      <c:barChart>
        <c:barDir val="bar"/>
        <c:grouping val="clustered"/>
        <c:varyColors val="0"/>
        <c:ser>
          <c:idx val="0"/>
          <c:order val="0"/>
          <c:tx>
            <c:strRef>
              <c:f>Company_Revenue!$B$1:$B$2</c:f>
              <c:strCache>
                <c:ptCount val="1"/>
                <c:pt idx="0">
                  <c:v>Company 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Company_Revenue!$B$3:$B$4</c:f>
              <c:numCache>
                <c:formatCode>General</c:formatCode>
                <c:ptCount val="1"/>
                <c:pt idx="0">
                  <c:v>56412</c:v>
                </c:pt>
              </c:numCache>
            </c:numRef>
          </c:val>
          <c:extLst>
            <c:ext xmlns:c16="http://schemas.microsoft.com/office/drawing/2014/chart" uri="{C3380CC4-5D6E-409C-BE32-E72D297353CC}">
              <c16:uniqueId val="{00000000-6622-487F-933A-41DD77DF6873}"/>
            </c:ext>
          </c:extLst>
        </c:ser>
        <c:ser>
          <c:idx val="1"/>
          <c:order val="1"/>
          <c:tx>
            <c:strRef>
              <c:f>Company_Revenue!$C$1:$C$2</c:f>
              <c:strCache>
                <c:ptCount val="1"/>
                <c:pt idx="0">
                  <c:v>Company 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Company_Revenue!$C$3:$C$4</c:f>
              <c:numCache>
                <c:formatCode>General</c:formatCode>
                <c:ptCount val="1"/>
                <c:pt idx="0">
                  <c:v>56126</c:v>
                </c:pt>
              </c:numCache>
            </c:numRef>
          </c:val>
          <c:extLst>
            <c:ext xmlns:c16="http://schemas.microsoft.com/office/drawing/2014/chart" uri="{C3380CC4-5D6E-409C-BE32-E72D297353CC}">
              <c16:uniqueId val="{00000015-6622-487F-933A-41DD77DF6873}"/>
            </c:ext>
          </c:extLst>
        </c:ser>
        <c:ser>
          <c:idx val="2"/>
          <c:order val="2"/>
          <c:tx>
            <c:strRef>
              <c:f>Company_Revenue!$D$1:$D$2</c:f>
              <c:strCache>
                <c:ptCount val="1"/>
                <c:pt idx="0">
                  <c:v>Company 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Company_Revenue!$D$3:$D$4</c:f>
              <c:numCache>
                <c:formatCode>General</c:formatCode>
                <c:ptCount val="1"/>
                <c:pt idx="0">
                  <c:v>33943</c:v>
                </c:pt>
              </c:numCache>
            </c:numRef>
          </c:val>
          <c:extLst>
            <c:ext xmlns:c16="http://schemas.microsoft.com/office/drawing/2014/chart" uri="{C3380CC4-5D6E-409C-BE32-E72D297353CC}">
              <c16:uniqueId val="{00000016-6622-487F-933A-41DD77DF6873}"/>
            </c:ext>
          </c:extLst>
        </c:ser>
        <c:ser>
          <c:idx val="3"/>
          <c:order val="3"/>
          <c:tx>
            <c:strRef>
              <c:f>Company_Revenue!$E$1:$E$2</c:f>
              <c:strCache>
                <c:ptCount val="1"/>
                <c:pt idx="0">
                  <c:v>Company 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Company_Revenue!$E$3:$E$4</c:f>
              <c:numCache>
                <c:formatCode>General</c:formatCode>
                <c:ptCount val="1"/>
                <c:pt idx="0">
                  <c:v>71600</c:v>
                </c:pt>
              </c:numCache>
            </c:numRef>
          </c:val>
          <c:extLst>
            <c:ext xmlns:c16="http://schemas.microsoft.com/office/drawing/2014/chart" uri="{C3380CC4-5D6E-409C-BE32-E72D297353CC}">
              <c16:uniqueId val="{00000017-6622-487F-933A-41DD77DF6873}"/>
            </c:ext>
          </c:extLst>
        </c:ser>
        <c:ser>
          <c:idx val="4"/>
          <c:order val="4"/>
          <c:tx>
            <c:strRef>
              <c:f>Company_Revenue!$F$1:$F$2</c:f>
              <c:strCache>
                <c:ptCount val="1"/>
                <c:pt idx="0">
                  <c:v>Company 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Company_Revenue!$F$3:$F$4</c:f>
              <c:numCache>
                <c:formatCode>General</c:formatCode>
                <c:ptCount val="1"/>
                <c:pt idx="0">
                  <c:v>58988</c:v>
                </c:pt>
              </c:numCache>
            </c:numRef>
          </c:val>
          <c:extLst>
            <c:ext xmlns:c16="http://schemas.microsoft.com/office/drawing/2014/chart" uri="{C3380CC4-5D6E-409C-BE32-E72D297353CC}">
              <c16:uniqueId val="{00000018-6622-487F-933A-41DD77DF6873}"/>
            </c:ext>
          </c:extLst>
        </c:ser>
        <c:ser>
          <c:idx val="5"/>
          <c:order val="5"/>
          <c:tx>
            <c:strRef>
              <c:f>Company_Revenue!$G$1:$G$2</c:f>
              <c:strCache>
                <c:ptCount val="1"/>
                <c:pt idx="0">
                  <c:v>Company F</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Company_Revenue!$G$3:$G$4</c:f>
              <c:numCache>
                <c:formatCode>General</c:formatCode>
                <c:ptCount val="1"/>
                <c:pt idx="0">
                  <c:v>63768</c:v>
                </c:pt>
              </c:numCache>
            </c:numRef>
          </c:val>
          <c:extLst>
            <c:ext xmlns:c16="http://schemas.microsoft.com/office/drawing/2014/chart" uri="{C3380CC4-5D6E-409C-BE32-E72D297353CC}">
              <c16:uniqueId val="{00000019-6622-487F-933A-41DD77DF6873}"/>
            </c:ext>
          </c:extLst>
        </c:ser>
        <c:ser>
          <c:idx val="6"/>
          <c:order val="6"/>
          <c:tx>
            <c:strRef>
              <c:f>Company_Revenue!$H$1:$H$2</c:f>
              <c:strCache>
                <c:ptCount val="1"/>
                <c:pt idx="0">
                  <c:v>Company G</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Company_Revenue!$H$3:$H$4</c:f>
              <c:numCache>
                <c:formatCode>General</c:formatCode>
                <c:ptCount val="1"/>
                <c:pt idx="0">
                  <c:v>53198</c:v>
                </c:pt>
              </c:numCache>
            </c:numRef>
          </c:val>
          <c:extLst>
            <c:ext xmlns:c16="http://schemas.microsoft.com/office/drawing/2014/chart" uri="{C3380CC4-5D6E-409C-BE32-E72D297353CC}">
              <c16:uniqueId val="{0000001A-6622-487F-933A-41DD77DF6873}"/>
            </c:ext>
          </c:extLst>
        </c:ser>
        <c:ser>
          <c:idx val="7"/>
          <c:order val="7"/>
          <c:tx>
            <c:strRef>
              <c:f>Company_Revenue!$I$1:$I$2</c:f>
              <c:strCache>
                <c:ptCount val="1"/>
                <c:pt idx="0">
                  <c:v>Company H</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Company_Revenue!$I$3:$I$4</c:f>
              <c:numCache>
                <c:formatCode>General</c:formatCode>
                <c:ptCount val="1"/>
                <c:pt idx="0">
                  <c:v>56858</c:v>
                </c:pt>
              </c:numCache>
            </c:numRef>
          </c:val>
          <c:extLst>
            <c:ext xmlns:c16="http://schemas.microsoft.com/office/drawing/2014/chart" uri="{C3380CC4-5D6E-409C-BE32-E72D297353CC}">
              <c16:uniqueId val="{0000001B-6622-487F-933A-41DD77DF6873}"/>
            </c:ext>
          </c:extLst>
        </c:ser>
        <c:ser>
          <c:idx val="8"/>
          <c:order val="8"/>
          <c:tx>
            <c:strRef>
              <c:f>Company_Revenue!$J$1:$J$2</c:f>
              <c:strCache>
                <c:ptCount val="1"/>
                <c:pt idx="0">
                  <c:v>Company I</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Company_Revenue!$J$3:$J$4</c:f>
              <c:numCache>
                <c:formatCode>General</c:formatCode>
                <c:ptCount val="1"/>
                <c:pt idx="0">
                  <c:v>62879</c:v>
                </c:pt>
              </c:numCache>
            </c:numRef>
          </c:val>
          <c:extLst>
            <c:ext xmlns:c16="http://schemas.microsoft.com/office/drawing/2014/chart" uri="{C3380CC4-5D6E-409C-BE32-E72D297353CC}">
              <c16:uniqueId val="{0000001C-6622-487F-933A-41DD77DF6873}"/>
            </c:ext>
          </c:extLst>
        </c:ser>
        <c:ser>
          <c:idx val="9"/>
          <c:order val="9"/>
          <c:tx>
            <c:strRef>
              <c:f>Company_Revenue!$K$1:$K$2</c:f>
              <c:strCache>
                <c:ptCount val="1"/>
                <c:pt idx="0">
                  <c:v>Company J</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Company_Revenue!$K$3:$K$4</c:f>
              <c:numCache>
                <c:formatCode>General</c:formatCode>
                <c:ptCount val="1"/>
                <c:pt idx="0">
                  <c:v>66479</c:v>
                </c:pt>
              </c:numCache>
            </c:numRef>
          </c:val>
          <c:extLst>
            <c:ext xmlns:c16="http://schemas.microsoft.com/office/drawing/2014/chart" uri="{C3380CC4-5D6E-409C-BE32-E72D297353CC}">
              <c16:uniqueId val="{0000001D-6622-487F-933A-41DD77DF6873}"/>
            </c:ext>
          </c:extLst>
        </c:ser>
        <c:ser>
          <c:idx val="10"/>
          <c:order val="10"/>
          <c:tx>
            <c:strRef>
              <c:f>Company_Revenue!$L$1:$L$2</c:f>
              <c:strCache>
                <c:ptCount val="1"/>
                <c:pt idx="0">
                  <c:v>Company K</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Company_Revenue!$L$3:$L$4</c:f>
              <c:numCache>
                <c:formatCode>General</c:formatCode>
                <c:ptCount val="1"/>
                <c:pt idx="0">
                  <c:v>46286</c:v>
                </c:pt>
              </c:numCache>
            </c:numRef>
          </c:val>
          <c:extLst>
            <c:ext xmlns:c16="http://schemas.microsoft.com/office/drawing/2014/chart" uri="{C3380CC4-5D6E-409C-BE32-E72D297353CC}">
              <c16:uniqueId val="{0000001E-6622-487F-933A-41DD77DF6873}"/>
            </c:ext>
          </c:extLst>
        </c:ser>
        <c:ser>
          <c:idx val="11"/>
          <c:order val="11"/>
          <c:tx>
            <c:strRef>
              <c:f>Company_Revenue!$M$1:$M$2</c:f>
              <c:strCache>
                <c:ptCount val="1"/>
                <c:pt idx="0">
                  <c:v>Company L</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Company_Revenue!$M$3:$M$4</c:f>
              <c:numCache>
                <c:formatCode>General</c:formatCode>
                <c:ptCount val="1"/>
                <c:pt idx="0">
                  <c:v>52031</c:v>
                </c:pt>
              </c:numCache>
            </c:numRef>
          </c:val>
          <c:extLst>
            <c:ext xmlns:c16="http://schemas.microsoft.com/office/drawing/2014/chart" uri="{C3380CC4-5D6E-409C-BE32-E72D297353CC}">
              <c16:uniqueId val="{0000001F-6622-487F-933A-41DD77DF6873}"/>
            </c:ext>
          </c:extLst>
        </c:ser>
        <c:ser>
          <c:idx val="12"/>
          <c:order val="12"/>
          <c:tx>
            <c:strRef>
              <c:f>Company_Revenue!$N$1:$N$2</c:f>
              <c:strCache>
                <c:ptCount val="1"/>
                <c:pt idx="0">
                  <c:v>Company M</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Company_Revenue!$N$3:$N$4</c:f>
              <c:numCache>
                <c:formatCode>General</c:formatCode>
                <c:ptCount val="1"/>
                <c:pt idx="0">
                  <c:v>66617</c:v>
                </c:pt>
              </c:numCache>
            </c:numRef>
          </c:val>
          <c:extLst>
            <c:ext xmlns:c16="http://schemas.microsoft.com/office/drawing/2014/chart" uri="{C3380CC4-5D6E-409C-BE32-E72D297353CC}">
              <c16:uniqueId val="{00000020-6622-487F-933A-41DD77DF6873}"/>
            </c:ext>
          </c:extLst>
        </c:ser>
        <c:ser>
          <c:idx val="13"/>
          <c:order val="13"/>
          <c:tx>
            <c:strRef>
              <c:f>Company_Revenue!$O$1:$O$2</c:f>
              <c:strCache>
                <c:ptCount val="1"/>
                <c:pt idx="0">
                  <c:v>Company N</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Company_Revenue!$O$3:$O$4</c:f>
              <c:numCache>
                <c:formatCode>General</c:formatCode>
                <c:ptCount val="1"/>
                <c:pt idx="0">
                  <c:v>71546</c:v>
                </c:pt>
              </c:numCache>
            </c:numRef>
          </c:val>
          <c:extLst>
            <c:ext xmlns:c16="http://schemas.microsoft.com/office/drawing/2014/chart" uri="{C3380CC4-5D6E-409C-BE32-E72D297353CC}">
              <c16:uniqueId val="{00000021-6622-487F-933A-41DD77DF6873}"/>
            </c:ext>
          </c:extLst>
        </c:ser>
        <c:ser>
          <c:idx val="14"/>
          <c:order val="14"/>
          <c:tx>
            <c:strRef>
              <c:f>Company_Revenue!$P$1:$P$2</c:f>
              <c:strCache>
                <c:ptCount val="1"/>
                <c:pt idx="0">
                  <c:v>Company O</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Company_Revenue!$P$3:$P$4</c:f>
              <c:numCache>
                <c:formatCode>General</c:formatCode>
                <c:ptCount val="1"/>
                <c:pt idx="0">
                  <c:v>45776</c:v>
                </c:pt>
              </c:numCache>
            </c:numRef>
          </c:val>
          <c:extLst>
            <c:ext xmlns:c16="http://schemas.microsoft.com/office/drawing/2014/chart" uri="{C3380CC4-5D6E-409C-BE32-E72D297353CC}">
              <c16:uniqueId val="{00000022-6622-487F-933A-41DD77DF6873}"/>
            </c:ext>
          </c:extLst>
        </c:ser>
        <c:ser>
          <c:idx val="15"/>
          <c:order val="15"/>
          <c:tx>
            <c:strRef>
              <c:f>Company_Revenue!$Q$1:$Q$2</c:f>
              <c:strCache>
                <c:ptCount val="1"/>
                <c:pt idx="0">
                  <c:v>Company P</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Company_Revenue!$Q$3:$Q$4</c:f>
              <c:numCache>
                <c:formatCode>General</c:formatCode>
                <c:ptCount val="1"/>
                <c:pt idx="0">
                  <c:v>52180</c:v>
                </c:pt>
              </c:numCache>
            </c:numRef>
          </c:val>
          <c:extLst>
            <c:ext xmlns:c16="http://schemas.microsoft.com/office/drawing/2014/chart" uri="{C3380CC4-5D6E-409C-BE32-E72D297353CC}">
              <c16:uniqueId val="{00000023-6622-487F-933A-41DD77DF6873}"/>
            </c:ext>
          </c:extLst>
        </c:ser>
        <c:ser>
          <c:idx val="16"/>
          <c:order val="16"/>
          <c:tx>
            <c:strRef>
              <c:f>Company_Revenue!$R$1:$R$2</c:f>
              <c:strCache>
                <c:ptCount val="1"/>
                <c:pt idx="0">
                  <c:v>Company Q</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Company_Revenue!$R$3:$R$4</c:f>
              <c:numCache>
                <c:formatCode>General</c:formatCode>
                <c:ptCount val="1"/>
                <c:pt idx="0">
                  <c:v>59636</c:v>
                </c:pt>
              </c:numCache>
            </c:numRef>
          </c:val>
          <c:extLst>
            <c:ext xmlns:c16="http://schemas.microsoft.com/office/drawing/2014/chart" uri="{C3380CC4-5D6E-409C-BE32-E72D297353CC}">
              <c16:uniqueId val="{00000024-6622-487F-933A-41DD77DF6873}"/>
            </c:ext>
          </c:extLst>
        </c:ser>
        <c:ser>
          <c:idx val="17"/>
          <c:order val="17"/>
          <c:tx>
            <c:strRef>
              <c:f>Company_Revenue!$S$1:$S$2</c:f>
              <c:strCache>
                <c:ptCount val="1"/>
                <c:pt idx="0">
                  <c:v>Company R</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Company_Revenue!$S$3:$S$4</c:f>
              <c:numCache>
                <c:formatCode>General</c:formatCode>
                <c:ptCount val="1"/>
                <c:pt idx="0">
                  <c:v>59044</c:v>
                </c:pt>
              </c:numCache>
            </c:numRef>
          </c:val>
          <c:extLst>
            <c:ext xmlns:c16="http://schemas.microsoft.com/office/drawing/2014/chart" uri="{C3380CC4-5D6E-409C-BE32-E72D297353CC}">
              <c16:uniqueId val="{00000025-6622-487F-933A-41DD77DF6873}"/>
            </c:ext>
          </c:extLst>
        </c:ser>
        <c:ser>
          <c:idx val="18"/>
          <c:order val="18"/>
          <c:tx>
            <c:strRef>
              <c:f>Company_Revenue!$T$1:$T$2</c:f>
              <c:strCache>
                <c:ptCount val="1"/>
                <c:pt idx="0">
                  <c:v>Company S</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Company_Revenue!$T$3:$T$4</c:f>
              <c:numCache>
                <c:formatCode>General</c:formatCode>
                <c:ptCount val="1"/>
                <c:pt idx="0">
                  <c:v>74402</c:v>
                </c:pt>
              </c:numCache>
            </c:numRef>
          </c:val>
          <c:extLst>
            <c:ext xmlns:c16="http://schemas.microsoft.com/office/drawing/2014/chart" uri="{C3380CC4-5D6E-409C-BE32-E72D297353CC}">
              <c16:uniqueId val="{00000026-6622-487F-933A-41DD77DF6873}"/>
            </c:ext>
          </c:extLst>
        </c:ser>
        <c:ser>
          <c:idx val="19"/>
          <c:order val="19"/>
          <c:tx>
            <c:strRef>
              <c:f>Company_Revenue!$U$1:$U$2</c:f>
              <c:strCache>
                <c:ptCount val="1"/>
                <c:pt idx="0">
                  <c:v>Company T</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Company_Revenue!$A$3:$A$4</c:f>
              <c:strCache>
                <c:ptCount val="1"/>
                <c:pt idx="0">
                  <c:v>2018</c:v>
                </c:pt>
              </c:strCache>
            </c:strRef>
          </c:cat>
          <c:val>
            <c:numRef>
              <c:f>Company_Revenue!$U$3:$U$4</c:f>
              <c:numCache>
                <c:formatCode>General</c:formatCode>
                <c:ptCount val="1"/>
                <c:pt idx="0">
                  <c:v>50382</c:v>
                </c:pt>
              </c:numCache>
            </c:numRef>
          </c:val>
          <c:extLst>
            <c:ext xmlns:c16="http://schemas.microsoft.com/office/drawing/2014/chart" uri="{C3380CC4-5D6E-409C-BE32-E72D297353CC}">
              <c16:uniqueId val="{00000027-6622-487F-933A-41DD77DF6873}"/>
            </c:ext>
          </c:extLst>
        </c:ser>
        <c:dLbls>
          <c:showLegendKey val="0"/>
          <c:showVal val="0"/>
          <c:showCatName val="0"/>
          <c:showSerName val="0"/>
          <c:showPercent val="0"/>
          <c:showBubbleSize val="0"/>
        </c:dLbls>
        <c:gapWidth val="100"/>
        <c:axId val="547379888"/>
        <c:axId val="547382840"/>
      </c:barChart>
      <c:catAx>
        <c:axId val="54737988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47382840"/>
        <c:crosses val="autoZero"/>
        <c:auto val="1"/>
        <c:lblAlgn val="ctr"/>
        <c:lblOffset val="100"/>
        <c:noMultiLvlLbl val="0"/>
      </c:catAx>
      <c:valAx>
        <c:axId val="547382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47379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A305BC3E-72B8-4722-B787-FCE3D855F846}">
          <cx:tx>
            <cx:txData>
              <cx:f>_xlchart.v5.1</cx:f>
              <cx:v> Revenue</cx:v>
            </cx:txData>
          </cx:tx>
          <cx:dataId val="0"/>
          <cx:layoutPr>
            <cx:geography viewedRegionType="dataOnly" cultureLanguage="en-US" cultureRegion="US" attribution="Powered by Bing">
              <cx:geoCache provider="{E9337A44-BEBE-4D9F-B70C-5C5E7DAFC167}">
                <cx:binary>1Htpc+Qol+5f6ajPV9UggRBvTE/ESLk4nYu3cpXLXwi37RZoQ7uQfv09IquddnZN93sjJm7EfMGc
5zyQykRwNvwfz+Zfz9nrU/2LybOi+dez+e2TbNvyX7/+2jzL1/yp+Zyr51o3+o/287POf9V//KGe
X399qZ8GVcS/ugiTX5/lU92+mk//+R8wW/yqd/r5qVW6uOle6/H2temytvkb3U9Vvzy95KpYqKat
1XOLf/v0X7WadPH06ZfXolXt+GUsX3/79IH06Zdfz6f6y8f+ksGTtd0LjPXIZ5d7rhtgwgkmyHc/
/ZLpIv6hdjDGn32fUO5TynzMMP/zsw9POYz/Nx7IPs7Ty0v92jTwhezfdwM/PD3gj59+edZd0c4/
Wgy/32+f7gvVvr78ctc+ta/Np19Uo6MjIdLzV7i/s9/5148/+3/+xxkAv8IZ8m5lzn+yf1L9ZWG+
vJoneLb/sWXBn4nvMU4YClyKOfU+Lgvnnz3PcxkJCPZQQDn587OPy/KPj/PzRfkx7GxJvjz8r1yS
6ClTf+i6UP+T24V9dinxfY4DTqiHXfpxXTDmn2GXuIwj6jKPeMHHdfn3nunni/N+7NkKRf/1v3KF
Dq/DL/tXo571n7/S/8iBRlzs+QwOLdeHv+cHGvI/YxR4HAUowIgS9udnH3fOv/dMP1+h92PPVuiw
/1+xQn9/8r4/3T4w/1+NDv9MkUcpdTkLKKbnRgdON4QDD7kcwwmHiH9mdM4Mwn//WD9fprPhH77J
/ydr899bojdjvXhqn5bWyr8zRn+vtV8XXI+zoR+s0odv++erv3n57ZNLwIa8+Q7zFD/GHffF2Y92
/M3fxr0+Ne1vnxzf/8wZ8jgYLu7igMHpOLzOGjgSP4ODwbjPYNFdPq9ooetW/vaJ4c8e7ELP98AJ
mc/TRnczjoPP4JiA7ePYBbcDztQ31+paZ2Osi7cf44f8S9Hl11oVbQN+DYZvUx5581MSP4DZEfcx
WE2fe4ELJ3P5/HQL/hvQ8f/JcFIXeEjpa+XpPS2Qd2+qzF2UcuJr3Pvu/UAqd5FPNV9bLQocfNS6
deEdtVmW/tD+bKydypJ/NhbzJxVruYj7straJsiyqgxPMjdjtWVzc4Yl8VT+SXSanV+05iImU707
NVnJ34uK5M5Wpxe84t63uMzynefzOHJmsRoLtBwGydauX5FvLmtf0qIdrmIzhVjKpWZ1skqnYXyk
ZRUVLebf+tisKE/aVoSITWSRiUlsx7ESW9vzSy62hYj9OjzJqcDeZd8nYTqieEmYGMO29pJ4EQwT
3poMs2qFSYC3VpZ+d+VogX4vU5VcjAkpdskk9S6bGykMizJUkuhMYUXb+KrWu7RMnSa03fKCx0O6
s7rMGGcZS5Ms43jsV8abgkPS1P0qLkVwkHNvMsaENad6UeK1brzmK0eVc91mOl2njtShKXt96OdG
OCk0rBpDWhZD2LZD3JUhyf18UVYxX3tte8BxOx3i0iF3WKtm6fYiXtWmpncyLod9XDb3VZ6LBZKI
9rdpmjSXRkbMp81th7L2Fr5Hf1EopY6YVcx7JeQqiTdW9Cc3vv27QXaijPYXXq31ZjCerkKqunE7
BOn7xmKly8w7hcV6Ut7/WPPAO4xJf0HwkF3VnpJ3Qjh03RAfRzXx5Z1pRhz2Q2MWiTu06yptvS3G
bndZsqG/CHClDtQk/rIIJn3rmsCLqJPKb2nGinAwvN+WRYUW2jVZlAxN8tX2srdeMzjqiJ16DGKa
iyST/hJntYowK+iaS9HJyMpD0dN1nPP4osdjt+gnWYVOM8g7ZtLiYqr76iI2KLgtm74OeydPXqQZ
lm0l88dWjHghiaP2tHXFLvZSshDtKFa6IzTMSxHj0EOIhvDS61WZufogR6kPiNX6MM5NxQYaGl6X
K6uog1Fi2DegcWRLw6Aqn1ln9pXIHt0kH2RU8sq5nMWi6HsZaTY5l16nH2F7whd6E+uC1DfNtMHe
lG8n2npVSFKCt0mRpfGiTXW79IapPoJHfdLg3/0ylxcsp2qppeNHXe8kwZo6z06bm33KhHfIDY+C
hGXT1z4bshBVKg6KMIjbLMS0HMOYpuM1n6g5NgVZwAj1HolNEOqqntaCANVkJjLEHdcZi9WNFtoN
3bHOn9UQX5ikM99oUx9YUa3T+RyxDZx6Ykvnc8SKuT1MTjIs4JWYChWyGie7tsf5XtaELcDcTA+x
QDu/cf0XqaY7MlH1LQ/4sERUJDs91flecf6D2hfTLiG5/vbOFP7EumAM8dgH68IRdwmnPuFzcOCi
2fq8sy4M56qTvgxeU19lG8XTJAtdrspLp/T1ZZu6INvuuXxOfSf/pXs+thmnNHJaQ5bEm9B9V8W3
FR3NVa5Ucq+HSORNHgk9imU2L7NtsD8ROMPydFdk7RHPXS290GqDeYRxarG0vNOwtxEnnLpT7IV2
xD9/RlXU+6oYirsxqNOw6fVwo9y63glfJgvqt+VTnPaXsfHirzl31IYEIl/FdVA+9dtWxelTk+tm
BfmW4MLP0uar4+SbPEnDYWrvTDwV147f0ttcdvt4ZN3DSKm8mCCxscSs7R6KvsrDvG7kVU6b+KKO
GY5wjfOQ16N87EUzRjlCZtcXwXiXp9U1m/EmMHKJ8klsKkWLb1OHIot3PGGrsU3ctchT+Yjbq2E0
7EGMhXPRdzVZWjjuyaZNSnUf86DdtmRKF2KI1aPnJot/ePsCiGk+vn2MeXDiQbjpgYcDr+LHt29K
vKDxka9eEpx6qYrAdCUonR4JmvxoGF3wGUrh3XZTAKZcj48o437kxG2zm5rRu5Wx822EDbvCg04W
YybSXe2hdJeX9Y+exZwgv06LKb44wy3XdL5pQss7qRO/uq69Gn7xn0xnMdQk61J2N4wSvTRdN+xQ
m9NdWgfJMtdT/ND6yRWbNzcV9LryCfpmqa4kP6j95L6japaxF+1410mZ42++GPUSl1guatnGRIYO
caayuA66YQNbcjUkJInDuYcyksZh3MkfvY/ac55j1MqkGkZ85OmgwZdu3ZEoKDjaOeP0vuEl3iSe
X2/O8BM3FSXaWdGneteaXFyodBy78EQ5jbUY1cWVO2Tmwg61SoufD8s5unVSd1gYna7ElI1fwHgm
EQ5w/eCPrQpVGwy/x2W7n9JYxmGStqFSTqfCXJVhS3l9i1VeRw4t7nFikitXIvf+TZp47N0rVd27
fZ5c4VmadVZywVKdmP/WuGn+hLdZTp8XwydY6U13+rxZd5LenowWGdukperCBCu5D8qYRIa6epEz
Eu8tZnunJrWKOCORj80P3s/I0ghx8fc7mUHy4f1GhtjJ80gA8YkP+dg56Pm4kY1Ujitrz3lRCbpr
pzq4CViS7JtU9JHd0eASPHeFF9yA66P21RseAN684f2khkhX7ji7EM+GKf6Ob3EvZs+ZeFI1v+Vt
NnUhbG68E29v7bE3Y2hqqmWifBJy2SAgzi+1VdvGvm22Z4lgHUnoewRmtOBx8gCLIqomiRaOBqe4
ytIyLHpebKvZKc61h9YSeWphRVQE2U2Lk6OkZ4Yn4jJUJtdbRR+nNosCMdJtVrXN1eAOZdSqNH+u
qIwS4ZvHHNzk5Ynh0xdBL5s+8DfM89KwxT44WSe59P7BG6D+X1dxDnZdl0IKI/DOV7HsRs3gDApe
nDjD1AkprtylDQw1Xmed63yxQppeDLR0vpTK13dqfOpzthVNEu99vwav8E0sBYIHTgZx1HLF6hse
jwsE9oZOlbvzSBZfNCVyd3TueTNmexY7aXUpnPWJZ3uDGm5xMandwDjEIMQ1q7aqm6t0in80VqE7
biAo/BOzlAmMbGQVJc0MDet5HJ5BO41lWyJPRx7+/U7x/7pTIDUE8aELedjAhZj+406Jaa8cZKT3
Qos2jhql8K57a/xGwZtq5bYl4B2W8dJrVXN5gqoCFiZTvbecFCUHR6XkkDZZmHiy2ZOxIwd3biyu
EpIt+YhJdKawWsMziGxdtWw77rQbPSmWHZDuk4Vy84fKKLyhmjZXjemaK2/uzbgm/nhx5KYJSa9I
l2570rv3k6v5NWNqWw+ld++lY3A96yooFJx0zSwRMnzROhuX2nWqTTOUydb2kmH80cveeiftqRcP
LNmmblOv/35tINv6lw0QsMAnPg0Qh3QQQR8XRzIpsmRE9UvaFlNDlqzkq1qOzj4LquvSMf3GSkeI
YTGFddGNi9gLeJQd5Zlt9UmqxsuB1ZuxCJy9l0var0eu301jFZarfJcsWj20oSjrJEr05HynbnGr
yxrHISRIxpbB39i7Nm5RPQ6ijKOsLdAdkpNZFtoR+6pEycZVRbUJfOntUzCaSzwk9Z2XF0k0NjJ+
nGeUKUPzjETE6W3gyXpNnNIL26HKnwlC68oM44Pqc7GcHDZc4swX15aR1f5wyJIkCVv7us6vpyEd
2jH7zg7VWIbUi7NV96Y5EbXbZQsv7ouoGLzmhhsdZpWRd6Ti8s4dOneheNCsLPbGaE2VLrARt9Uc
P9JJFitXCLVoZtFiKmP5quLg+zEbccZvcgGR2o0lWszhSbKYcNLcWMVprtwGroVLQtw47SWp5LJq
g+LQxQbi4bnH3FwfSlrQLa7i5RluGVY5j7TU0yA6j6znkW/TWobFLc1V5jithc6Gf5y24fofbHbw
l5cd6gwkoDTwIZHtUu/MZre+QsmYFuI5HYsFxszXYTdVEKEjCNN9HORbK1ZU4JDWybTQE8SEoVWf
EZNAMhYd6ZZk5jks80S3U1rRThmU9CpzvXylknY8KOKVbtiKrDuUW4tMgzceUguzMhGreEAmzMCo
u+FJD1nbLmQsS9cTVuPhqP4xC4YsUljXOV3qeFnWQddCxqSrdzjRVb6wXds0Tia2eby0AhpIvXtH
PtHGWSNRwLdOtlRlCdNZ6NgVnQIDxDyxEk2m901RjKsSfPaQQe5tbzHbUMgsmNB2g4HtSjTWG1+2
8gd2Ikre/pjBYryk/PIfjjtyFvwzRDkiEH5B/A8nlBecHXcxnxLKy9b5PW3SZQu5Cy906qBaYN2Z
hbURJ1sS9NwcgkcLqKIEqrUpY+5Vi3SafvAtZkdOajKH/hlOknnW2Uod5/o4//FDVcL+YPASpCZv
bvK56dmtRKS6PvoMs+MAIfgJiYM8vS6THencyMC63KRtRu+408eLhmiyjgWnd8XkJ1u/cqvQag02
9G4eQAScAxaCjCsMGKYwa5pibX0bh6fdAvaMvrBinFfdws2wvkBzMl2KP7U2837S2sy71aKZfDYW
p6i41/mQb6bS/CFGN7+WSBbHxon7l6lM8cZCVtkFWb9J3PqPHDfFdYbcaWG468E3yXXRrRIvXvSz
55j0TRqN7kivqhF1W9bQckkbET82zIlqIb2HaRKLOK70WphOLsC4yLu+8uQdTs2Sx61zZSGjjAZH
tpSLgSZg47rBXfK2K1bSUX1EseZXFeHBFZt7JY3jELIp2eakMCkn+8qZIks74XaSri36dwrIFU6h
hxxwNpQg07avK8hupODNJaW+Ro7/3I7MPIy9LlYM03Htl+X4IDp95XfBcJtK+Q8HIYMazofgBbJi
iBBEKGZQtvH8sxxYN4igRtVkfjc1ZPpRWBinCH1i6B78tBtNc1FGrCV/eL3k2ylB/R2kbZuLlOVD
ZEXb9OUXv5iqWyu4Ct4bwphYWVHigu7jhN5YqRNFf9cr8UeaVd3W7Z3yALlVcsxzjaOz1MPgbG0O
65irygIuV7LP0ujE82wWi3diWXG6cLJL64TlHDzltMzQwvpd+qPIR54vWlauoOxF916m72xy3zZl
ml/HfV0erCRgCZaZx/zlsRqQ1P6Jr/HoRT04qJckMd7C9nLfBF+qsd4Nc57G4mRMySVvRfClDcpz
3BsQuEOJqqMBo1j8kydH56oYuIxQXbNVM4axz+AmCvJ5QDwC+c2PnlxQuU07Nr7+vRmHYFEIUW/a
vDskZkzH0BTS7GNdm73t6bRoNn7dHCCea+ilJc9iPohkDLl3m6GM7blW+UXJubxsnSHfs2Tyl6zI
zR1YFh7WSuVPLDfbtCsbcLCyIGR96r6wcUzCAtGDCznBPSTxC8hwBSPUlcAjqSYUBKGfjcV1wdKQ
s2nd5cINZe+m6tWF60WLYpR5NM2m59T4UjW7YG5OWF+UIcImDhkUp5cc3Lv2Vvf+phD1Re4a75uX
SL0YS0I3NHO8b60f7ITLy9suG4fbpBVbOALTryW7YmxKd/Ao6c72bBNM9diESd9udZPhC4vVvIcK
kRuj9TFshsLTl6xsxPoUaNvY/CTawNrG3W9cC1mG75RLQft205TxuD01U1+O2zzLL/K8dS88Ly6r
8KQ9ykxCwcoX04YmA7ma/GHRFXm192bJQi1YnS1qzd5KcMb8wHuN1GpM0BCdMEuBGs4j7sZmPUCO
t/498VCxHFrjb7zCh/CrHOPvuVd4EeQux60e8+IbrpMjroXQm1EmyRIyc/K7pxvIRfmYX5G88G8w
ae/9GaeQIFml3Ih14bACikijnIZQVAaP294M/l3haXXf6pVNPJEGW8Hmj4gM5KyxQjbT4v4dLVar
KuFy+ffegoegpH22peBsZK7PAhc8B9+ft9y7UoHxhqLkxeT9nkvYL4ygYGcbJ5iSVTVmbXjCiGzH
PnQhEX7kFFmGdrDz6Nsoyz0TLZ+isQizHL4Sq9o76UzjZdJzSIzOzUhRRAh4IifIVw0Kx8otLipX
kyNNen668lETRBbzhhQvaMWrFeKBiUrT5BtsKv6l8h209L0SKrqzWE6kvkjbQELYAWIyFlAP1GUb
WrGDKyFXPSJ7K6Vy0l9iehxokdzvL0SSsOuYq+cE5cU29yHp3BEjQlsCG+cA5AxDM5Z+5J0wh0Ll
+lhrOxvXecG4pYObhpMTf+/SPP3a9L2zxK4EkzLGYu9PqF9kNEXf0RRvEO78l4/UlIH1ITOVVn2/
UMYM66CWDCovvTwEc1MhSOciJCOpMnnwaZWj0GqtPATmAMEe2Ti1m6HQYryn8lA7aRt5ciyW78ZV
jsvWWQD3ACopsytvah8nuI72NfHBTSM5JMesWJcDWbNUFksrNm6mll4wiPWRnAkZuVlfb60YO9UD
o7K78uMaf5VpEwUefe1EB8VE6tG7kVZqX/r4wVoxC0FtbgvxrbpimrNdnJJbMmqoc9qADOcTCksM
uaRTpHYKy6zWrSChdBavOQLpjcEquOSTgNOn7cbkslJkIw3Kw8QNoOQ+NltvbuK8bKBgCL1JpxpO
O744QbZnaZZhRdugljVbIXCzhqq7CpO4C9auYN5Sa6UefK3HUE3jtE+HWHzl45VkvXpAgortJIoi
sqLLc7JgPso3VtRtse0LLG6TOvkuGv8pxSNbxL4wl1zq/L6V2bbO+vHR4mrGXYJ+ijPIqV8qx5tC
Ww41Pk+XVrQ1UVsNtYpT2fSEdVN7UU5o4zTI2wsk9QqMH4KiN4inhr+JAtE8pBVRa6uNIfcxHtl1
5Sb7SW1EWXn7hCfVMjakWHqTF+wNhOFhPAzVd0gcTJGSvtj2kJm8LzsBm11V30nqkHXiZu2qmVD5
vXLJXoFlvwuI5Mfh00w7G553zsLi4CqRJVXJTlWB8+76g6fLJExy5l3a6w/gCeCrZsKwDnBpYixY
G9EJvMSgi9Mr1t0rI1gQQlQOwQEUGxdGOfWyT6CAZTHqY6hgsHve6Q+0gj6kA0Q+oSwdfkPG2wmS
ezrCvHAWqeupFfU6eYd4JWZlNd99EL1/9fcWAtM5Y/De6XIhhIcrUj7CHvUpRJUfLQTLnaLqi758
LAXpoxz8ry3qVVGHnsLQHvu+oHTbsxJFrvRJRK3qSLCqY1PTcp0MKguh+Fmt+7zIjonochYDeDeX
NuQS2i/X2mmypQ3I/F7/0CZ9rm84bFV7f8HeZ7C9runua9apzQk/XYUY/lRavr0TcaJxNNwnU3Or
3SKcilTdp4lZsj6fHlycwZ5SuQMprnp84MNkQg453kPKhyPNmVi/z43jRtbhAe8CrQTF6lgfs9jJ
EzqraJzIZ+7UmXiaGeyUOlYxTpO6pt+1XhJccdMebF0yV8MNdtLhG6lptSRJ1u64k/KdE49y6ThJ
/tB49UE1kODvbIK4iNv4VoAtDXHZVleEgu87uOgSrPb44DU0v2jGGuoFs2hpLlxl2pW4L0ItxgrS
2ia/Pr3L8Zjf96VBl8eX2fNLc+HlEONaim3a+cWXvr7vBo0uT/iJa+c8bhqH6uN8iR5V1EyyjiBI
TW8hE40XpqF8WXKa3NrGzdXjlJNxayUx4OBapA9WsGMkE+7Ga3kDl2VgzM/mMUWK/sHFovOtwbMN
5LlwA5vDJSNvTsudRS2pSZtcSF0+ttLNLyEvJ/cZ4fHeNGMepRB8LGhDi2ZhwZ+praIt6femIeXW
Bpotv+r8uL+1QlrXzcIVgVxb0TEd3iNhbo9Bbpqi10qzeNfXAb0YMVWRMIYOi4R38cKrSr0Y6tG/
qJLum4LQZ6mVhAs808SvKBkwg/yh9y0oSHJpMX9OFySjA7U4Ua2tNI2km+/awd2moS/hBNS6IWEh
OLkJ5LS0D5W7kHlAqS+XNloWupM3UMiOfB0Pd5ZRkwwKOEWmN1asmB9cDnOix4rYy0hYpWpYZ2Qq
diUxixa8pYNfjuNhqlrIM2KJhmXcOW0kg67wF1bVOOiRlwG5GHk8RXEcyws9Fv0iNgbfStb0iwmS
O7dxOvYLM/eSGdMicPeOddtZijnYSAWl9ExeU+lC2WRumrm+ZHEI+q6tNCm0hDo23wZ+yq4np/9u
j45Gx9OqL518jesh3nZt4m9kIW7azDR7e2WtdYt0I3ktoFgJR7ptnFzcpClr9lY6MeyVNzvqbQ7L
ULEZQw92fHg6F+1h5+JG7lvxcgZbkfWu3EOqygqnI9Oej1YnupfTYWl7Fdn3TVD7h9lYlUGS7uA/
R+QlxI1wGSahwx5hDZdlgsxAvk8q+FFp8rWTpA/zttJPVd5e84yIP/z2974YfbgFgculhhuEL02L
HwufF9/j1I+jAgoel6ULAbXreGw/ugnbJ6xle0UbvSlwehOkhTct5IxZRRHc+RJ8wB45cwBu4iQq
ejden1JzpshWmvd7eAtugliS57dOFidHJPmzM6tazK4c2adbH2XB3pFNN4VDDanFjjo1hCIAcgw3
OBdVK8pVMTB1oxJKL0tkVCi7FmVRQ2i8cFDKV9Y5gNOnvknGq8wJ1hVcYtudzj8Gv8YK/L08Oh59
fXPbysBZMgzXLAeVZl+A/4AF6X7vlJ+HPYZiDyW8uWSo9JZVDTUkljehZegOq0Vb1+k+7zp28AUp
o7Ri7sYJNBjdgNNtCZHrtp4bK56aukLrwcvk5gR1fjqsvRH+H+wrrptuDQnvJSTf5MGFauS1gUr2
deAkPoRUE1v3jDgi1EHSr2Tlo8iqyUxURiYQecRQyKySdaAyHnq9x9dJVk+XOC+KXZa2eNXhGl4e
QkjUUMG+VYw+m4kWr2XqhYzDNb5wiscLp6rN76kDdyncrhGLEZLiYdDr+k47MuSu699kTVDd6aRT
S9Sl6coqPdWyK+HwlVVaKMaFE7aQkNxY0UHZsKUxhQB/SNsS8jTZfZZ42X6qymJRUriPu6oalC9V
DuUQmUFxBf5pAGootmtB26Sz+thDLtVhWUDx5cSxIhy3/jogxrlMhXRZaEitLqVKHow2/EpUOb/q
517lKidCaTkurWJItbkQdeyEEL2wKBUKjpXAjA+uC5Uzw76VvSu2sSmbqIAUT5WTZPo6FQjBi+sm
t7aJnftOVOLagaTzbUsLs8Vj/XjSezUJlkNp3IXFXNQ8Bdok4CgwuGC2zkYFlZK4fGpp7i+47+qd
GhA7YDwOEbwp+fNPGGWM8GooyYMH4dltDPlPD4KMeyslNH4nzTrwNKDkPDM1dpYnadaNvp++5pDE
3Wa6S647uDN33G9VBkl/A5nQo7tuLx4XTb8VBC7siTI/jC12vtKgiep66r8Ip+lvES42Waadr6Sg
Zld5GQ6HmZWUA1snlSyXVpslslnIpoTbxSVcIbBTuzrLrnHbvQsO+qHX61okP54gib183cZpEjZp
4O3M5N52OZsyWBmVLXsfSr14CJpb20C99GBKTZetaK6ovbhSN1Ahk6qF5P18H+YIZiPV696FUqqI
EzBhvgOxmZsW16XXF3AV1hmuErmxyAk+USWm+bVVZDk2MxUxh6/7Ev434kJp5C4hR96EcLs0e23g
chnW4pXlgYIKQdve04zDlX3cTTtTYrxlTmi6CJxEZ/F/Kfuy5kh5pOtfRAQgQOIWal/scnnvG6Ld
bYMQYhcCfv17kHvaPf3MNxPfRROkFmxXISnz5DnZn2Segh/CYB4e7ZS2hyFlf7R7I8nP1Vy9yVSS
Kw6f2C5I+GCQloolcch1fTVWntAXZ0iST1zGBQgaD6qpDqZzSPtwhURcsTUmJ0G/zTl1V+ZpwdRO
B+paNPJZ0m0Gp8oBaYbIFSetf7I9ZFZa6gSRTvrsDWvvbnBE+ugRHGC1K8nG5lVznpYMF6Lpbdda
/CctiIywBav7ZE6trcqmaQcW0nAtZqYiMyQXQFvAAvlWaAvfyJCBvObK4X9g4N5/cCapTSkESR4O
DOL8FY0R8DpTJ6yLb5yLKBgadXGI1V1F74pD3YkmAmupv5q2mnYONv1CbY1pOmZC/541Ws5uqsLe
uveDISrnmI2hFJGnvm7ArZB3xE7dNdAoUAIo6bujuSTSbzaVb3+fLas7likd68ilbne0l4sZYkyv
7DHP3H5N/mOOec44ta//I3o15I7qj5SBS3EOQf0DHjSUW//4vLrW7jItiX51h1JuZOrkEVn8CWe5
mLs6K3Csc7u/tpzme9PGF6dCNz46kAfottQieWQaleDsLF1CT2KgCIGqFMFo4Nz+dTe4hfvZNv6+
+/8fp9120/vpvDV5Sh+E4CjzAKyZsNiYqZeLo0lMGlN4Y/6HaXq/Bn/N7auBRX8N/jLTrsUPKqwk
tkeHnlhVVbdsEju5sDvMBXg9iWVIyBYAbHZfzGF5G1ASe67dvLVisiJwlPs76DTcXS0QRGbME4gL
CInycQh+iiTq8G3/DISyIlmM+aF2sCUHdVdHbCzKl3TClm9lo7M1ZjnSB6ui5V3pIhkHdt4NCYl8
4UXV7TJLQWpgzHyeo0An01nnw/REyvdczuWLLsrySDy2vNl4NJQGfFUxuzuY3smz4jArWxBG7RHh
BH4D8zBb8nRjfoNP0wsfKjZAYB+WzbUb/BuZZv7a93O+VyDWrdqR+khp1MmF5wtHVjT8DYvjlbOK
3BM7J/uAO9mm8/P2G6NvVk+zt78mJsp5/u/vvxss2f4/339AVIFLwQXxXdv1mCFH/YHvzwS7phUG
8ikY4Ys8eQ7zNl2WB9MmLVZqUMnRCkhyzIbmLktTb2ss047MGm2jLxtqGiDvoIHttPbkfgpyxHiZ
V8mYusqJaDJ3ezL447VpgvpSBSpO22K6mqayGofNYJX9ypimw3PD+6BVIAwukyjEOacumx+NZS5j
4tQQdwFVGUD5XecudEt07ui2Usm8HnNQJeFkZnFr98XJBxnheeRgJTA5PYJJl+6bnOZxNgx+v9Ch
5tj1KFuZRfy55M1S5n219bz2mCrbjXwcS9s8nLtbD0mvz0stPDfyCr/4oyNbhpgZdJlhBpd18OaQ
JIB+poY+bkgVklOhaI7977vW9BgbiV7GYsboj7EOQfheBlqjfdPbweUvHMCYX218imaw2E6mpcJx
dP6CDHo3bZBlS7woY2V2gALEekrz5JuHvf/WWKq/LbyKPUo3kXc2zW6RdrKeXJWNR9v2eNz6ynqC
SIlvA0CtnQY79QoBTnnFXp3fdfhCMmH791aOS5PpKgrrvDmaNlmH26qX0zbJ6+FoJZY6WtU0HMPC
ZXX0ZZu7rzFsGW1MhH03GUBmd3DG3WcQlwG8OGRJ/WhoFIY4Ye68TDXRWIVgmk81gr0UUPLXOL+C
Aqyz8hnugePdOtz346CFB0UW01zsPvVvS6++Wxi9h6n1OY36QSTndkiiv4blTT9Fn+o4e068o+ja
7NZcyrEVN2y6GANoIGBnIMtPlXLnfTlr6UWmh/Il+eQ5gG2XqSFepiPr8zN2nPw6djQqKl1cjFUH
QiJ/wZfdKL+aiyyQ4pqhr4J78a82r87gy9cslmLIzmU7/eySgTyKoGbGqnlOHnNr/sNCzu3T6qTr
PgqR/NE3QBS1AvQqV2kdzAc/y+2Duev1OH/emTboMElk6wIEfVU0B+qz+kAqJ0G6jaqyiD7vHQ86
RZkXZUSR896zZpr2o1TFyWUJ9HjWlNwoLee1hVTntZI1X3ll1j+WfkOjRCNvMQ78PUc8+cMvHbzO
Yw8FAM8jb+AIOrq2jahIZQp5hzrJxmJvQdZ9JEHPXsqwCiOvduRjBZXYKmEQI/33DfUfyl1GwKhC
8IhNFZspuv+iV4kgyUrddPQx6xM7MkevrlUTFzovDga+Hi0oVWvbLg7m6DW9kne/em2n+NX7Ndf0
uv64V25V3/2n+eZxZkLmgmHst607HctmBK+lz8roL0VAoEC5RzA8uNEniMXyUJ88l3cx4mX9WLdJ
G6dhoB89BO0KZFfLcm89j9fPM+PzYaTVkpGFCaTQXrOUTNgkYQYpBZW+6Zvz3DvVs+9XcTM1xVb5
fbhO+yzYQfvTbP3BDR7V7F9NIDj1cxYxEJ7vc+37uy61m23a5/TRGsiVQyq1S/3M25GxOdhdVb76
Fqj5UEo7Z4+U7jELXX8dVsHwJLvgyaDcv4fKrvw1lA6J8zmUheNzpWtrBcUkPXsMsuSVU0A7lVfq
2IcZfDo1pezsIgV7Jr1mb66crwEW5ZtNmneajcErqaWKQpnMz1CtQRIZBMPjSCHCkKGr7ou8nFaN
AkhhW/2wZk3m3ZalNWxADM5ukra2t6Py+lOgPbpzrTE8hIzKA7GqcU+1to+saardFEAMGPKKb9VY
05s69611wKb54oIWjBSgVtcyr4pVzln/0LUuYnm31E/YuEik5Oi8cGoVYE1o6xud5xf8Je0POABn
Ojf03ddy46kqO6RI2uwajT9n8Mridqqm5q6sm7cxJ86rk3r2qkud5iA6CCGdQkemXY493bbgtm3G
lNqvWervsoJlD1rdjljc+zmc8l0NqTSUUh2PkdQSP7xGRVkj1PvUsDRSgaofeVKkG9e3yLFvyvTM
Ul+uC7tJn4UOnnQ4q3dL5BulfG8TVLm7mxDTxBUR6iqrhGyIsocjBZsVG2Jab1Sb1fedzLFdZkS+
+c28ceq2P4qKFzEVNTsi8U8/L8YMkI2DD+JnK9OBckK6jcytLXPcmkGft+EynfRzeRT8j8eYwYz3
OqZ2VexdK+xWo7bbm8Tm7kEFpbtJwVp8AOGxxIHjle8ke9VzNv8ocTDHY1vad24zlzsr99jOs1L3
YmUMS6+hzVuXtrGZUzL2oVy7eqylJzYKr97RJ1BmW05JQeHNRsDRrY1jMZcH7Ib33Hgfy4UsXopp
b9V8D+bnr6avdmQl742lExeiiIJ3n8/4f7aZh5ifMA7FiySgCQSc+SuIhdIHNTTdTS/ZxbXy7ME0
BX5/6JBMvrWXJha2EgJKbm9NZ+4zCToZkgHGDN0JeFyw9aidd3E3DmvI625IMfe3QW/1933Gj2kh
AGM5Q7FrHJ+shwXVgnQ6jwY37G4bQtS9q9I/hqkJTEsZPhNBp10NmE6GGixet2HtafTBXTMXY0ox
4fvz/XIF+IhcEqdKLzk/QJoLvNI0Wdr/Ruyw/9U2B1jooAE0a9MLL6M+/vfzBDjDvzvoDIIRBpYn
UqtYnI5j/0XAaUgp5yov3UfkP5GM2WCvrQ96ZtsAuNtdsxzkcxhuIdv8ZS19X9bSZ0b2y7E+/tvI
f84zI7vlmb9/wu95XFjtVrflHCVDgnRKojTSK+HJ7gZwJlkw3ZgWc5lAltpaeYFSBP/e0QUFogAD
FDMm7VXYlodM+FAyLCk3LPDqxm+TnbHMxeu4v8VG0caOn2kBBiJT8RCyaZuVTjyDtwQNoApv6cST
Ayf5HS/z8NY0mTuLI12j0tnCifGvDqBb7aaU6XSTh93ak7N7SRevdZJNvQqE1YB2Uvr3mZPbR/gP
Ipqk+9YC533gDnufezd7bJ1Bb6YycQ5OIvwbzyMZGMNpt68rHa6BRkG91ftXWsv6XtTlVsigeg5K
nZ98BWzQmCP4iti1/H7TjmX9PM0ujy3nEFS1urGKUq6ASbng31cBlrn2q5u0Xc9OB8poZ1l7uBL9
epAQwW6nef7uu5WOJjH0ayDT7FHV7pUg2fpDDkihjBUkIaAGBbuCIJP+H0YA3axWfeK4Wwh5nM1c
90hquFKeEQPXa1nb8gln2U8IRZJ3131VveouBZTF3i6hbYrQqfaB3hT+RReVc8iBlKwhuvBf7Nra
ZKMvfzhW8WsEfnv7sIjO1jRA+qqrvS7OpIALvlB+AamruGgRK7s1SC7gnHKL6eMnRS7JVHri03ga
7bRJARHwqLc66EG73EflDu1+pI53A5hZvLXQBUcDqLDPrG7KGE6peJgG7qwS/DGXgof9pgR1/Oxn
ctqNPagsEx+yYzL61a5iFTsDbiw2eYuSAPjGUJSBIKE8pTLoNvDB5zNpJmgj3IrsU9uaXsSIM6Ae
Q2DmSXseoT+ITLuXdPOKZCOGLRvX2Ix/DLNF40f9soNZU4mn9f6vYUJA4i3CDxzt4tnDR4giCu1r
inIH6yJg2anPm/amcEQSpxDovTmoPJLawQ9u21U89yIEMyp0D0udPvyybvMsKnkjAxH8kEXxXlq6
faBNU/8v13cp8/YnloCtKnSI5zqA02zfg9wN/X9gCf0oHFqoanoEWye8tt4TIwobL8plHPwhhGKg
EM2r5HkdBVavbgfdkLvRdVBaA+1iFuth0qsMOoyY1KPYm0DEmLzz/zRNb1D1x4bXd+HMilPicL3J
2rG+Fq1o4xFoxyuR8x03vNyQ7WufNh9dUH8nU8GeLUg8Y6kduUfy56PvO/to2R2SN6qevmW0vHao
GHTfLu0ZyPir1CPTt+HU5El1q21A7yair8Rsb/RcpbGJ9w0ugATXeOZu7e+Dgnr91q/sMmp8km9p
McCzhHAcuUpWtr/AdKqdFdjSw4nmZQoHyR71ydhJWulTOvoKWYkx/7vDDAnqAFPMwD5sx7Vk42Pv
BRfDJDTcQ6jci9PSZEE0cJfVtECJCaZXEF/aZ0b7Zk3tJRiy7RolQPj4s+dQrrqp/0FZc80TZr2g
oIAfi7x1LjPE6tj/HWBxv6fzBJwxMx2f3Of0wE+9j5YP15lM6a3yEr2jfCxvO8gKoioNype25f2G
0UBurbYrXzIavKrE0xfezPw+hGzWNE9hyXYonoASP8ukckL057ltcvIyu3/m1c4jiXwJqzo4Ikvc
xsYcreke+pvbfCkIVLbJDc395iHVfXHUDhlWpj0t01uQ6poH0k+rMpydyC7qjdf3cMHhyZ9AHv/z
8tVm016vvaolkRny1WFMMEX1Gpoluip1N61GVxZ3YVOGa7gbNg5KPmx5LptT2kzVXsAtPEgwF44E
C3RHcqVQI0Q6GzsdGOjLs1xPMh+vRREmcc3K7lH0VRKNjqNe7KwTkcwn8t1NlhxwXb23dbeZRJJk
0exvmQ8uakSmJFIi5WlkV0jCJLT/oVJ+T4a5zD8GkCn2JmM2dsgLJErc2Us2rWL8kGB/uzN9yOh8
9pFFFP+7z+Tk/jkvFG22GnTpfqoHQo8HIJWG2c4wMKGNJYeqziDOWjTSfUqtjaeLGlRXvJHqPrTT
Pdz49ANKxX2WVPwVWIiDjWIUN0VYkION0jYbmbv0nrXIYnOUZnnPgxirn/5sncaOZre0rsyZq20P
Z+AwpiiXlDbwNxu3mF6rJj3ysOjPnS3IlgLJiwB8ph+gnMrSIx9W3b9WSC4/UyXqVcPUfEtoPe1m
4tZ7kihvI6wiO6JSCt8UWeccSevws903xRqkL/FMdPGEOgDqHSyXjRJe9n0SqNtRB1N2gTACO01T
Zru0HcgdzUSGsNj136j+BpcZcoOiJPrMjUwhGGt9XPKTetErmA4wgn7dec40or5BNUf25AeXQfev
bR2OLwObpg0tPWCNCxGrd7yVrazwYSp0c4Kuicd27/EXVeWgq+H12BkznNuz6lJ9bZO+v9OVuHeX
UWFFip3sJxSlWUyAd0A+rexH6Wt1g3wCPooaYqQvktTMJ4pMMweW/5tsNalhZaHk1K1poiXlu7bI
tsgVkGMhRgguUhpuvbrDzmAX1qpzlHoQwRhEdjvob31a3+V4O9KottZCiCqLyrw+TmRI3/rZgbA/
5d6jPd98OgaW+IGN+inpPfJc9868U7LM1sYMw0HFloWV9tmLP0uXaXDz3/304B9nX4AKp1DRg8Hv
hPY/FN6OniGRDhrrQYelA24TIfHUzMOtraU4dLpNNpBLVg9JBbfEcyX9WYMXmPZYxF9jJ+ga95O4
gVuA4bwuH+omK6K6IsHXcIlykZ+PLiBwPXyOXR7tL2qSLund+FOoXc4KlPqiOPZAfN/b3jmMqhLf
+m7wYt7n5cUTrburEHfs0srJLylUo3FgVek3CUV2CqfcTBo0FUBBwdOYwZtwl52g9iV/oGkeuUt2
PkPBqwehkfxddhDT99uaxPx33zIPLBf6P8rKgDL3t/cBxQlBDQM7IPgHBvq/ex+AbxIPdEL6QJDa
XQk1ifq58JMIFDOxBVGsOzJbQ5tpbluFdGS/XD57Sm8KY9Ooiw6ZyHlicSp9MEmD+Wx4LoYOY+7+
4sT8ZWrtT6ge0QfeDmIp1AZSwwAHfGD31HHhdLJBHR2roadeBMO6Q2mNR5QqSaMlCnqX9QnFGPyf
ZpK0OCbRXG1sgpjfTOpEimWZMfJIixqufnHrunX2U2m9Zm6HVdKkVRxMIMNA3fed9sH8Ejp9F0PL
4l/tSUAWK3hw7nPP2kF/aO+FLbKzD7rAxpu1dQgz7ylLAKgVINmcANGFR/BD840lZ/1QQhOHs1JP
7wnozb2HFwR8PPA9hvxRi9Bf87D9NQlAOP+chLC1+T1pMkyBFqW62sLln5Py5SctYdPnT0pcSz/Y
SYAUCQhA28EL5boEsZM/zX363fGZc9JE5Ie5zkM4u0AZuwS+bDeO6c5bMMiG2FXkN1P4iUGivFS0
xJuPdeGvtA3+pmU5wUs9fHQLz71X/bhpgafsmJ/TpbkheXVJPfEiqUxQHg1a3a5zn1HGMLkxTeZi
zFAWGwDv+emvdq9z3VhJ3a7L6SoUmY7ZUgARGRCIiZe7r4tpE+lQ70R5wg7FBsRt9n0pFsJxkfgn
Z5Gg0gB8WpeVwckdAvfR9E7K9k9teJ+2Y7d3pSDPYg43SNIF9/ZIs7s20/fFIgKrvC7cOVIEK2t2
ydpSqAdU1W2508DfV2bVOmwqd+HE1KdpemVQ7xNn2vp1/+EvodkIov4GME6AJphW7pwb8D+vSfWT
TNQ6deFEz8bBzZwNp3Zz/vR5XRb0M9B5d1gBnIY7I1DdTds5qqd1GdjVcNUQZaYrlCvITnWeyXt/
zv9snxH1jaUv75fxvpLhq+eeigkMf9lDYytUtvbMb8RlvYfrz1aaDPYumH18ATKbI9n37NyLrHq0
+nRt4sypVPVeAh+OtXDV/TRm9bZmJN+YRGEiJImk8MKTwEf2XOaX2namJ7DPHj5JMOB6kdVMLHsD
35geZKKsMxt6hJd537z4vbikC9Y55PUhkKX/qsWYgyge8tsm4ck+tLpuy9PQuxZl4UYMXJWfvbvx
RPdRQuvwWlZXgMEVRIT/urGsv1v+7CrBXsijP8eUTU9fbYj7TMoB3JclR0QBty6vU9khZeRyJ92Y
3gEyyaaa3hiNygmxeoKvM4aUoL8pOBUn5Vcctdc6+qpku+6K3vkhK2VHoSPmuwJOEoiAAdsUXIeP
sh8ezIhWcgSsvHjs66LZKlbyvVOo5qoW8M2MoCg8UfvDdK6xp636pd5Iu1y0DTGNnUlnxZxsQlwf
5GikAYkLRfNHOfIb4hbNxRw+FSxMqC/mNV76vqyepH9Yv+clCV7E/376hzb95/m/0G2Q+XGQqPtn
LSTiW52V2uP0MIeH1nK02nMJTlIYesNqqPLgaIQR5i5VCQIgDxqnVd4lFrhkQ7JRJcr+QJwCHT6w
iWPjjQzZc/tBUBGuA2xV28nr802QlECFF2qxIRnnS42bvkJ9ogaCNY6iRscAO+sT9cKnkgn31lh2
OkakzB8EB2rjBGVywL7drtKS+q9QXP+kIMrd1WFn3Yh5GCMJhdnNFFoNMIjxLuuHDuI/9RMV98PX
FsgauAvD9JwTxWPeFhcxpfqmyqFC54xVN21Ik13u6G7fIjqViCHXk2qG+9G151PB1Tdndof7qSnd
OO+HdBOEyCrUOOt+hkEXEXx2O+Hk1q5J+repRR046ckan0dKVtoJ2+8OVnvp1vTZm7xkCzlwuQ2a
Wt1lQX0uQOV9LSRZmbyS3aMu0aSr7ELz5k5bWb4fRx4ckxJaFHPB8QmGYtWg3NqiE1p0VcOHdnHe
IkPDm/AlqxIU2iR2e2R06m+REsNRqvi0Jv7YbFqReLctdqdYJw3bMA1GQQTVNqo2KUGvLLFvCWhw
3x0QZqKqrsoooXWNgGfaVDZ7zvxyeGOMV1Gj226dzyrfBq3txNgB9HMYBDxqvWz4kUIO36aNziJF
HobSCz/8wbpDULzrkZ1fTRSKhUm4cd87faRlxrbC68NjNXbjLmDWIcF/0rB2JqjYi26IbLCrn+dS
jZsBvLhNlShE4GV/69bg73UgHb4poS8MydZ3pJyA2dAwTpOMbVAuqD8UoMUYtR8G/EsWWE7zANlC
cRrTLL8zl6axnaMlQOFbmoRltTGXzF/XfuWcNZ2gP9D1y8jqSxOU9QNYuQ9OGxa3KKJkP1aW81Sl
Dr1x87o7T357gRAAlH6Z5wjh3nNblSebp9cQuu59SiX3IMSuvJMFADpcz1kgX3UA1LhWdrsxpjUF
t6xGeBi4g75RQT9GqVWWr56V81Vrq+zohuoMmiYD/xlVxIyCJgtx16Bmk6izdCsn/avddAqAmIBr
liHGRrWxbxatytWQTI/IjJS3TZE/wjvpbqYxx0qatXPQuhuebIadGtRwuQVI8hPnrr6TbCDncaQ7
v/AyHqOgFgA9DxT0pdOeEn03jJQe6lm8IceIERoVEvYhR12yT5ujIm40QTUZJWM5rGsgy09wY9Qa
1Hsca4uJ4vNhbIeO2peoz7zhYT3Fuu8slH8JSHn8vKWeQpgEj4vFemkVKQ4o5lpxpm9qnYWHspsu
zZT7t0z2W0Sfay8kPyvtwMPL+zft+cNl7mUduxVrNy1/nVsQfXNEOpPKuw/t3WtG9WMnsvDUJDO0
w00BWYVQEJHk2NJRwi/Z2ZrLqMZyvkhL1ZdyuaOec5HY9I+myXQOVSe3WpM0NibITfLGcto3gZRw
1VH/oRX2sNdd0MbGpDydgbyJ77lVBg+oLayvUlVxsVh1BcUmTwe1Hu3ROs3LBWyyX3eFIMN2yILv
X01fw77GhlAUI7WBn/57Jg26I1i8H01Ss8PYdPmeqSSEJHSUO+456Vlz3m2zlogbpBKnDalJczuz
lq5DidIeWqeXECfzrpKVPKIecX/IsPx3ilfsRFApdeNO9nw7Nn21TkD+uKpZoPS0p+2HurhrWx+s
AzbLO9S1zneD17b7PA3724krDtyraF/dpDzbDVa6KMAtcMruW94qEoOpJy8EadcdiFT2bqiViJvK
hdwOKOreCfA07VvLkaGbmFHifA8QWLh2G7yzWt478CHiDqjgRRNrjeIi9YcHUVmGvfA1HfAb6kxU
F7/katdO/Q3DUtoKl+nt6IMrY1MGbCHI3Gfb797cQOYfZXAGSxMFFrCYLwFyz680I3XcDE53RbkX
tWmKvjqxsT2GOXKCSWp1FyiMVFx2yAQ01RhnVVu82xnCrLCETxIwr9xAXlgd55n4Zxc8klUWaufF
09MZGAhDojJ0sGVvOjtovvPMn9ea2c0BMCW9lp1+h7YCGyWy9oiIu+BOdio/Ep6ikp8cphsZLuGL
77/lTp1CltFPOyfr1TZI4SKhZNGdAkv3RwiaXOSUcrpO0tNgmLf2pi0H9Qx4AgkSjOCL48yaSt65
uqvAA+h2Nk2LPZ3DYO/MeXXCdym2k90Ht6HXhCuul3JVYx7uJpdPp7IGHX/kYfLge153oe14EFCm
aqIj0iDdm459ceYowLdFBrlfG3JXis9yFWje7A31S6GwOZgirEdRK1C/OsUihZqmD7Y9lFc7qQCZ
9v7Rb4ciJt6g90o56XpmTvkKIcY7si7jpQkh7ahI9pMve64vwqgerDrmLnDYKbSD/cCHaTsOorym
rg6BV6ruRxC2KOapnHcLKYvG5vSxsb157TjilU1tvapKEl7kcoHAXkdujhc1CSzXigAEOau5pfU6
S9rwYgaGYeBtWe6F0VcbKrtB3+JjY1meYoYV/hhc2OezPx9WBM42Bath0PPzZKXZmlV1ebZSAIDQ
B8J/HkhxCvPwGxUkPHOC+Drr7mdCeOzOLgrWhlC5t8mBhsw51xCoxDPqa4N6gqL4YdG5+3Ioptt6
ufBdOclyg+CY72pECisvUO4zyp1+J+04fiA/N4OpDEcF0XZrFTLq+rBaa2Df2C6LdD5YBTZqz/Lv
RuwjO3uy8lXRBM5jkKd0lwirRJHGEuvVKV7AmSlWM+vgcNn1dJoTsEck8ekmD8iIekCi2jB7oqeq
UWpAJSV171dU7kzb18Xp2L+GdMwFrkZB/4I3goqEXffMOt1FJfX404Ci7qtB+uQiwgwhKrgQ4HNv
czJDIgBBAvg9KASp3UZHM+/PuiUIAYFQ3UvkmSKIsse9aXMkCaJh7iEqttglJ5y+IxeF/wUh7pOU
XVMCL5m79nfbsqYDmKfzwbOgNIkS1E7m0wJNNJaGIyherI4Xr9rOQFgHHWghLjMA4NkBrPQBBdBI
EIuRtesAHHo/40hIppKf7Hos93wusR5q21o1dHaR2guT60T1NQ3SM7TRaYbiQBYAFqG2idNWd8DT
IEm2mhI6th6y8QBeEyS17WNQTfl5BK4BKKRvH0VdsZtQeA94f4KHeYKaB3LwfynE6VIt5ksK1iCK
WzUDEsBGIG468qZLbvr6hzGCLLPXFdViRWk7XwRKY0XE6UcoE8h8+WxDtY+t+3+0nVdz3MiShX8R
IuDNa1uyyaaVRI1eEBppBt57/Pr9kM1LcDhm58bGvlSgMrMKYLMNkJnnnNSl92IJEQdPC3CkKHDA
YCmHONmqVs4N8EKgNnpOddt16etRapTJHtpIC5qvoWmpwxJzOeSbiPdVqvYHKPPhRbSgnFRUoN2Z
5vlnGXgbeNcdSCsDbpGzVdv8AGTxY1spCR9/vha5g3UetXmEHIVX5tqqLedRbK1bnPSkma+K2NUh
mALZ1aU2VfgRNjg1h1Olmu6oOhkP6jRZW8MPg8eQqz5OzpReKTxaVnowg0ablhTCPR2su95STX6m
6dz0Sh0sTmz+0gPqO4f9z8koKLR2U3nwXBK3ZZQ4p8ZvuBdbjrQE+pyLUeYytM4dVd7p0HdRuydt
SomiBAk5KOkvfhIm3xATWBhRlPYL3/fato394JlelGhvxrV/b6u8KaLkOw9XFOC7mub9zuKnZZnK
MHg6XbWWR3YAXBsufXTsUz7slCHVH4zmKTIbgI2qDfWKzwsMJQLMyapXp9e+rQ/gNzQl2pYz+QAz
sdJdNCvGowxVCCSQu63uoAXqq61uu46CjV5dj2ltXuIGTbujoGffJoXlHcp46RN3NPPURmRaPDis
P2mh3TwNzbBRIcH9ZDr93ktU5XG5Ufe7Rnsx6Fi9JUHgX6ZWmWXbeBriQ6aXcQ3XLgoYJfT/RyiY
UmqxxQ/XjwuUA4bhxGct4onZHB8tmDS2k5fOR8vz3ZukVr6EcZE8DSAkza5uPgXTVH8q6EYqjVa7
KwOl/uQZg7Xt4ajmG5YpKiz+UetJzfitf2cVNFUB3fLv8tj+qc1z/BJkcX0dqSEVIS9IXmzQMntz
aKIr8YKIgLszNEu6V/AiMwHLbaI8q66pPvH7QRsL5tHpwS2Ghb2xedC8cZSZhsHeMq4so0l3sIjY
IKaSBsImusfAgdufM1IJ6Fe46o68Pt5J1Y5lwc+7kjgWKZYQ/k7aRPeyVvf64FhqZbe/rO1oOuPX
njzfEswdXnMoZjrjxZv05P7Maa4uU9q0+MGaRvUgwfmQUt8cTegMl/OqQZLv647E2GXtOPo7h4L2
UYKNvtV3dej6F29qNx38Fll1dVkbDRTeekpC8ickc6hsqbAmR8R4rizH6+97qO8PWTSXt25yQ/dJ
9Elptr2mDp8Uzek/ZfX4BRSVdy7MfLyqesCbijEO910LBV3Ue2CHlMi+2FrtezXDp3Yx9ZAV3JkU
m321hOc25omZRvPw5A7ucC975HWUwnmSR0c3H7eZkw/c4kXOjvbp9CYIAH6DevuRk5z6XpahvqHL
w7rPfCu+ikb31LZz9tBZyedOTYIX8Mj6CV0LGK+9MXipk7Y9kGufDuKleaDZUiP0TuItzPo5a4r+
IYhc40v3vamy4EoPC3VXDlYNY4hd7xpwq8cmpsiJpgU0SF6JOsg+tpz/HKbLoalllb59F/Du0My0
8pBMpA8C68kHhPnF5s979kzaeEcv+GLwbnv00+IkM8UazPs4mJ5kFs85FKj58ENmNX808O2ootxa
hV/mGu4gd6RGJ7vG7WwcfDpTdrGtGPeTr74OpnLtKENwv5q54S9PqR98lqDVnpqdtg8nKsUfHEUQ
q5vKBy2wBksI+QiedeAxG95O5/c8MFq1pn0GD3+Ihnb6xZ1tfze3NDVPWq6eVZ10F73TOxeuF/Dv
dbiNFhUUGdBVej1KDcvl453zG+6gfyJe7e0oLTJvP/YASj44JFi8Q6cE77yAfZBfsYeGrAS518uu
TeNu0mamca8DVEyCZZrzE3Rhr0PMrcIpXQY5Wh1r3Or4EPcvQtbtZxrik43sv66T6RqznulfhHzY
al37t1f5t2dbr2AN+bB9EyyNeR/cH860brNezIdt1pD/7vX4223++UyyTK5S66fq0IXR0/oniH2d
/u0p/jZkdXx4If77rdY/48NW6wv2X53twxX8V2v/+XX5263++Uqhd6i5OzSKLQQh3NpFy8dQhn+Y
v3NRimJVnrqvqy7zzkyKyy6X+WXBu2V/eQYxylbvV/39Fa1nXWNU6s7zfvW83+n/en4eZnj0HsyY
u/P1jJddL+dZz/ve+n897+WM7/8SOXsLBsKqhv6wnnW9qg+2dfrxQv92iTjeXfq6hXjS5V/+wSaO
f2H7FyH//Vb01He7CYWfjRlPzV03hs6+piN+K9OwXygDzLyhcwcvPVrWVq1cf6e4TaEf0wZRv6b2
uKNc3BI4TgE9cTSv3AJSr096gWbTTtxBvzfN1DvT8wuCTkz97KU3lcddYKmX+lGfDGdnUlTagvvb
Umag9XKRa7uIuYmum0i6gdmD0lMOrXFOlO0q9KY7rwtX0yoF5/tGDMtxk373o0a5NqF83uZZlhyp
SZGPUrPiia7MK7PK2zvIlvInhezLreW1D+KTqIpP7sGz63EHLDx/kjA9QUosJNlykhDdV7lFyrk1
ZVcJSMuCHi4z1jbrRv/y7LrbPziW7pNE/YszexPMS7r/a5AbZOBydzjPdGJNGxvuj7PMEZsMt2Pq
vbpXh/kWYpsKIcVISDG8LpO1Mkic97aLVSXhoTAB72oliBajjqkCyKEMZAkhKV3n74IS1z3TfTkd
362h8/Q/4e+skCum7nY01AGaPjj8kX6z73otcu7kKEW7ou/z7vzBzg1RtOP+lPfQhwVjG972SQBb
w3/2kAgZSh5vYYGy++Nqk6MwdforYJC/fbDLJmXj3tTlbJ/EKSYnHQ6ZOg3XFf329ExSJ0TIyeIl
cra5XXsXuzjFLkfrQHudfSPTWQjw5NClmOLX8etaWdaYkb+LjLpF8ywbD7QA9NsonnVvA79e87Cp
NJIkiBopvGtpoSZtZ4+H2CvahyFQ24daK52T07ufxLTaod/6ZGWty7MGoTJktCMfbDPot9OyUmyX
c8hOq1HO4zrBdDmPONRy/poVdXMUmK4cwQP1+IrX/QDdhYTPKzcX3+VYMLuC3oUWlm6HdufByxlS
wz2prWGk8JpXWXNSKsXm2FfU+g/HrWbU6lbC/bbux5tW0+1N0PTZromNV+x0onSeS3YDdPQ6GGUD
WSfZfDG9C/mIvBZ/ELvAsd+FGoo/yHIBYkNfsIng+Uc4jZy1aQCUblLXvgmXpggUItVvWQE70KKk
sUaEtqZBGjxkW/36Q9NPktF8fhCjs6iFgn+1SIDsirfeIDiNbnI7oHK0ZAD5pDxFVFEhroQWTwYI
2TN05dr+QppXCp/0EtdSDbvE0Wox7GE9aaCOK5vHhaHgELV1vAuheg+3dArmtINk8W7wvfqxHKb6
UWzaYusAdSM5RI72IHNxf9hnVOP7pvOD695uhttetfpbb6BCvJF5DAv9javfFV0x5ruLg+QT/QCj
0/0aIm5D4V7v4V8Oyt26Q5fHr3t9sIXLfr5+98Fsq5FyVPTxsXtTCX33u/KqIlr785YcgvbuF+by
s0MJ8OYSI/N3Ky8/MoMfqduApqctCD/4cRUqplkavQzgwo75IjYnQ/p2NImo3DoXdz8klxUf7DLl
Cbo/0vn/tRk6d96Q+AQ15QFizsxIOa9D7jevUzNoNx1tIrfiFPtlbQ8aZxvM9bxfl5FV93d9WWnb
C9utCeAQGNQAGaBpRBFNwFq1V5zmF2PqsuDU5s5wm8c5D6ZRU13Hc1pdJ0bqqk+DRe5AHd18KzH1
EpgIVGHy6IzuqLqRh7wTkxvqxZab0QF6kEZTs62n2/AVj858xc+cdg+YVb+XowwdUH2OuvNq15Fu
u810C+4iQj2VptqNNpbW0eGygfhhXAfSevwldH3vIgUS64s7Mj2oKt/OJtHNcsqxUCjJcLb1AsI6
b277xryc7Z09Tyu6Y9DFG2b9ek6j6kieWn32ugyiSsW3f+rIeYRdNvzqtvmwrQH1P/hvsZHhzB9i
B+drzWnSCj7lQKME0DWQo6VeQzopD64M+JqGi7uyIzKSdDq82gqAVcVYobCzrLgsln2GcEnqVaG7
aRZPDY+ZtpMd7TG8kpCPS5a9gdZGsL6zQryFVe1S3XFG+56e9XzvNhAN86+zf9ohOBEtqb6Hdgyv
h9Wk91WdoP2LmOHBAufySWKFruWPsWo/W5RpaH1Q9FrZOBo/SYIZaFA9AAyTMF3aiFUDXjXxCtpA
vI5Lo4N4ZW3RUYdUPcP06q3PPluTOvmmXvSkyNeTga/on1qn4q0WJSrxZgWqMrVJQ1OjwfLrdRvT
T5t7iEpA8CxHq2O1hYuXDg7taMegFSROhgE25osD7MbPmQrfPAwUUdcFcooPO8kpJthOYIRmYwle
z50uF0X3VXOuaGsyHLPc2xPteJE9xr+Ag0IORv0l4AWgWBhBNTx02i+VpdFkVU7PUzGAz1OSlEp4
oP3i5KpD8VP1z0E6qwgg8oZdlsuueZvX1yP53n+3qz/qcGMoCvo+3DxeW4NrHTW/B5lNf9YG/rD+
NtKj4CUs5+ugItvfuvH8qaiK7bgQo4GfK+70DtmoYIkCtMi9s43GjHi9RK/4U9hSvLIlqLzhVryR
qb7bMp9yCsXs4bbFT0oKKRUGr6CD3umeVAjHrzs3tA+IXdlflDm6k9/hNSKl8fO6jBzrEDYWpMsm
7FTDpp6t6ij3yXMcGTemk28/3CsDquQOfFZV48aKX72vNvFETf3OM438/Gwut+oUfK6MonlOFvlG
I01h0TGbU6sOynD3NqUoGpxlmHPnGnB0ebYV9OzYqLhqNDd6ksGjwaNM6MWTGdwW+rky2xujNxGA
yaZsPGbd0PMly4KZz/+Tk6XtdtHfOhZQ0SES06qnsu2cs4RMuj/c2e58XBfo9pxc8Q0Kql4WAGW2
ti306ZeYy3nn5L4sivCyiQG94304UfiUq3Bow0e23bc2EisDXdPpjt6m4WAu28+KW25HVBGelXSn
xuioFF0zPE9BrW+jAeFbsY103N7SFfXTW/hexVQVJlRBmXp2FtNAd/ohqW3uIpdpyUPfk2F9FZ+E
mzE4Ui8DstOqvnmaMv8XuEOGGy8IhpvJH+lCl0MZ+HpXFHQt3gI+RlVvHomRqV+0QbWROVRn0V63
5v6y5xqTFfHkb9fVsq9VT6/XcdlC5mXmfFKHOjh+CLEblV/UwPscWjVKKp1nntxeiegdnFUOZVjn
4pdIcTtQZb1GytxeIy8uCaUgMW21AJ4RCZI95Gg9JdoEirH9y7NJJM+oIayDdCaqejPeOxAM7uJR
S/Yy7b0QW2+M9707O5sBDorDB4c/pD9D6i3XH+3FeArLTLup8zq1kVNhk9F91qdyuAv0oKU5KXMO
Hk+Wj5Da1xu/nodrmcqQdO6TavbxrcyqONYeO2vc5QgI3RfLzDOD4BFg5rqkgoXj3HXWlT81c7T1
uhaWAS/7rgH/jrZwvMx8RHTI/mT5cuLRDIdDE2X0KVX1lvae4bF21PAZIAB9lf6zDEZst3QQWf4p
XWxuQ6PqPCuIuyxTqvXdfR7op8r0XhfoPS0MFkKCYgKKlu2duYc2domn9za/7Qvn9zUeaCDtXTbq
dktA1VfTNujD6Uqmc1t2NKPZ0VamipsaT3n5JUvS17PBilSRvrSdayNtE7puCoOkjbvolsElGvOX
xcEOivXiLLaosGgiXufmtQFQDq5+AvxlkUTJVAYjsmP6aIpg98GxTtFuMQ+hZdMj+MXQXHRyJiNA
KsWl2DTCY2/R+Lhrh2Y+UIWHut6Nwkc1cjfxVGZ/8spaE0keiU0NN3iW9YD7P66XiBBy2kvEeoa3
84tz3YOmYLh8aUL3oPo/WCEcXkmNhN7GBrxzdpV2DzIjgEjAGn7UbRyc4qXHeiPRnR052yk0xgcZ
WlhTz6XfQGvfTg+5Dcgji/3sKNcExTSSDFZ9e5m5lNEaxRo3ibwcb165uuwvvCkpsXdru2XtsLx0
uZpYV9SqAxBOKdCbpKxPtAvCLUUD7NMYbtNoKfgvlkKNvZM95r+L6xJU+90+rdxov64JhiLdTH3w
uo84IDP+f9xnPff4v19P18/q1rBgKKtSy7gtGv3Yx7p13foG91tp3xu3U8U23Hqlxm1qG/FpBAKM
LKRxK6ZBvJcYCa8A5ey11gNLsiyRSNlbpsqIesSuCiB8apNq2otR3JczSvgICGkP+KreRG6UvH5L
lxN9PpvSNKYrNDH2qN9F5pakhnmKqsyidZvv/DbgJw+JCeaefL+Ln1zO5O7Lqm2vXu9r/DG6Jsun
3PEBCe7dLnUPY9EacB3/x6YuDvTvQObU+sWew7yDWPISgoL51163ymtZLyZZoPH22fFOgRZlWS+O
oc/cW1uflEOcjeA5hvKWXonqdtas8vavpuKQkAlWa7uegdb+77GyUxoF3x0bRrTafi4VQ9nKkUnT
yuUoX2xlqiD+9+b95zj0YBW6gklmuun+AzeWTHXaeJU8omF2uY8Tkwx12AfvZLhTWgtS34C2LQvO
mhMAPqO+bJoZPc6jadDAHD8bi9nPuuQ08Sy9lalVAb2HI0mhgXkuXnSNJDxZIAhHl2Du6C97zNzT
PMRO+BwAVnphSPjYmtzHoHBhZ+i9HYvSeWp8GzXJdQo45LoPIDQ5Ko138QaQlT3GtmndQhE+PszQ
pFiT0d1AgjY9+CZDEymwYFeRvnP6ki+vMbaT29l9XSCrZHCN9LJUZrJ+tJJ479BKsyvdKiXX2U3H
QouMxxKg1b4ryZOZloWk3mLzFbPdloXdXELEMbHBBma2/FTq029dYGknUsPGI6SmJzUO1bPWtW60
LV4msGKP7eKaulY5a/Z41RqOFyGknU2nRNF/v0SagLXoTjeLrZxzvZg0gOs7pi2mpIf9Ruxp67Xb
ComP42Wr9WLELRcYO+nlQtbtihfNS5zrPNYDCBN4sDOW50k3UvorWv3BbSk80m9WozbN9N3K86KE
0/NNJKT1l5h1i9Wx2tZtUPuJNzOfU7Tuxy+k0F4AVCqf2mKyjkVnlldtVqefYPL7Vafx8ccfA8YI
wYs6IC0jVECTCk7GgMhLyADV0DZ2dpW9n5rLVILFK8HrVLwf1hY27ektPdbbobOMc5bQDzT67lf6
WzX/FGjQpQPigeWrLpWJNE1snsntGmeJbsZ2l9TGcFO0v6eFZZ5CKJ5uQJLyr6oUdCpBhhY1JGJY
0TEfb0gJiXdaQuRIhroBJHXxfJzbUWuc7P4HkmY2uOglTraTOUmkDih0dYqnALr2IOkzYNAMxqyF
ytVYkbCf+R3Z9laVu7+nqZnd0A1ckvqMsuymoSNqmzi+tpVFjZt6+6jrIu6tckcxz2g1g1ofJhCA
i0L6MoU1arr3Qr9DhNx79VpqXz/OSAOcAeC98NRZfO2yeN5oReS/dB3tSFpfTC9+FVkbr23yF99B
drAoAg8VhUbZKBaY3c4A0UTZwDtpqNNecNpmHPuXqSZUD7DVvJuuXsHV/du1aRpEW2fgkbxd0J9G
R3uMUUca9wqec7YXthPKZ3SxT9QMb4ag2ottpOVy3l3cy5KsL7R9vexgAujae5pe791aKa+gT3H3
CbDdX/Qk/tIAMXhU+0q/H7Iq3Yg9z3pzl6m0kXtLUy/wZ27NtK/+XLUnXoAGpZIs+QV0W7NpAs+/
oxdwfiqV9lHsgZ5Vh9Q3LRJjnCRq2kNn0k7UwrP5En0zwnj8OcwBcgV8rT32ZTtfoX5SXalmFjzx
OEgPvZ3bP6Nvegv/iURCbzY92jG0MK931vBNgnxC03EHhUUKBupNfl6MQA3S/TQ56ZluPOc+rxRl
qwQWv2ZvR0FOqlRs0dvR6r0cxWNx7nLIsaLAfgy5e73mvWjcyQCI3byzYh/VRpQDNx8cMp1i/7Es
M/daYtcIeN7JhFn0nPZp8AS5X/6s1Wm891Xa/osG4FislOXW6p30RzvG29mcxm8B6mL7uU7eRzRL
ieQfI4QnKo2jbRaFqIkGCoCPHKrNI+w2GZ8iRQ3vfdFZDj1nZ6lwgl1ElEN5OHFWzeUAfIMSWTce
nKHdzlsc4vVSlw9NWp8npawBhSzPNO+WLXtTAx5vmvrcLlK7ek/C16i88mmiMfF6cBX9MM6l8oUM
1iXCAPSzySaIh+wYSFROfVhb+NZRAf9O6Vm7gVm3fYJHcbqD+/zKyLnsrVpMxcGa9GEnsTIYavod
CjvtRmZVF81gKvsr+NybBx4ut/1cU5b0EXMTody2IQ9XGGRH5qadPjt6vhMINPSoPA4jp7ITlLOr
O9rGtW31DEBxm4ZarzxH/jTtYd0vbJAy0OLKENqqelKsZaDXPONbhEN6a00dSEH3a8Z3I5WCxSPh
C6b97w7zABHIGjgsuNdqGh+j5fsasi+LGk5q8VgPcCH/bfbb/LBKes703aLuV6EVODlXYv+o+ikh
eWyMN+kUmpsZFo6dBIpj3UqOgqQ5xm9bfQhL3HvF07ImOkK5ose7NrN2bWvnD1aZ8qBpJvGx1tt0
1+gRT5pqCnC+U9EZNetfhzLzDnqvzkgRoE8t2tVia71+3o7K2DyK429t6rIWhB/Q1DVGlqR1M2y7
adR2UnhcCaIvZct3dcwQ9aKDPwyfpWp5cV+4o/98fClvmgaSdBfO6a7o7ENfdJ/daAf55cbSx/Q8
TH0f7hMFqKeT/2maLCjjfCBDl/btUWZvoe2CRa6X4c0uO8pM7BLxFi92cxFIeouXU0qo982uIGAq
F9ZqGYrSt/dNX8+b1SZHC3/mWS88aGwlxnLhJQSv/7qudQdAQRI5JBVSWkPi7IsqeR+z7thCvHak
GvUTvQT7VFXW3eX1kCmsV8CieQHWv4gq2yVMTG7uUAV4W3qZiueDjYzvdz+oq42mD+q+aflmE3aB
sjF+0lDf3we0FtPDqm2Eg6AJquzWNOEJlShZ5AQ97AsLlfmfF7VNcn4tlWiRhtK3mQN3K5MJDSnk
mTdJaY9nmQfI4xz6iVKi2JQl5n0gqOs931bOZbW4yQlrVBbJv9F7bUA8FP9mUnm7VvLJeJBhbntn
5wxNsF9tNfA6SohqsMly1eSxGKn2YREOk4FsNXyrNTnvfPRhcFyEw0I7MRCj/iYB78xdrx2gs822
Ylv3ICdH31PjOJc9xGHnmnfWA241l1N1b+ejCyg9zLM5fHRwz/GD0mt/vW5eeXwMSrPjzefpVzAo
QQmziLZCalg/GnoBztox75scFXrEIevHJUBMEiBD7Lw3SeiykGZl67Lwj3ut2/9xr6lov3pRrJ1c
Pdw4ttU8yRBrBYr3mt+96tq0BaRI+uyZ152atk99n3kPfRYuOSq0ZIYAfVVfJfoyJ3FFLT7XXqMd
4DgPBY8yH6PX88kKddlfbJM5eg8j+8usK7WXKAtfxiRyHseB270qMcJrmQp0x5udG1BozVkwPFns
BY+xdiMTCQphpgfLaH6KFtyP2In2j0lP11RtAQbbdkjn7bSGT46skBgQyK+nWrdaTuWQxEV2m4vR
2iJ89GtwfsseKsir24HTZN5S2VL9/BCoIU0W9Ok/hFl/V8/pdCMmGUpYnY6IYuuQORJG5hEu+Zg4
1aJ5IFGc6lSNZuygJIzs9pU8SiTyEyeHMsDh6O9aTdM28pgiNnkskaPVtq74YJMNTKp+G9Utun0I
AJSWIfjC3pGGARZ1rms1vbnQiQF3fSUMK6Z6b1k6FJk94oIHBfzkoV4KpHNSZgdgBsmhWqqpq3cK
9B+jRgcNJb1oC07J2X9ok5epeEtKjhfv2iYv7fRUacPL2g+Oy1aLN5l5J6NtSHYLFBGaRl/mEqYu
X4PR3+0164vf6d8QZMrvxdm1+gaSPP1TldXe06SHRzGHGUJ8xgAOd9Qj+8tYqM11rpbJTrxW0Cj7
wIupoy0n8NE+vpzgsuXofDgBxcR3J4jcxj1AZUrXKzCX9tYKky1T0i4yzSwa+iZN36ZJf4LA073t
/CnaNVYU/VoB5Jh1+E8RgjMPg17YkFoUyedRqR8lgAZKB7KLwLhfVyIPGP5aaTwEe775NZ0z64C4
C28rC9b6dMzgh1l6Vvql2WUdxJYjvAK9bX5c7V5UD4eKRknyXIiDfVgqU0WaKZe14HTRi3rbeHqK
I95MVhfU5aZb9ClksIuORJUc1jEtWO0yrG6xTXMQ7uaBRJA4Pm5x2aesKRSThd4Zem3frsPQ9c2p
L2lderMHdCPdGiNEe7v/HAI57OfmXUzRRuMxab1f+2As7uBK1s+1cpAJ1NDIPNvcjl/sVXYUu1jk
qF3WDEmjn7m3Wc0BgpJw2lFk/cOm7/Zb7X/YNEAQq8+byHW2Osip5ZlCHkAs37WP45h8E9M6fHj+
ACj8FdEv+mmXlfSX6YcoHskWL9M11ll2q8Lo2+UJSLyX55m+GnY0NLk3sZFVpHTy+rlJAfCpygwY
JasceIQr59Nkg0yHsOZ3JOzczxrfn+TwNP92juv6RjdohES/yHjmNR82odKqP5X2XnS+ljVWpb+u
8TXFv22CCGnupJj22jBtp6zgqZiM9reW7+dND4nLfd300HmoAU9fYTZ/axy4H+CLnLZpA5ejM0zF
jopKfE/r8Xhtu5Ny1J2meHQ1r+LJBxyW4UG3vJCHTdHwMPaN/vXDIq2tFdhWzeKxreE9cCfduTYH
b8pQneAGEnxQ7RwSKze+JPV4l05u+iMxEpCU3L09wa9ZgzElIlRU40s99HeSP/uriLc9/jYCEJu7
zUEB79wu+QwvRfYgjQ7dXqW69cWamhoAWPhJGiqKULVPIxxblzaHrDRo9UQN42CMsFd18O0eSyPv
t0Vhora9dELEeXTZVNa3O9l0oltSNpUeCoCdzmXTTpu6fYxoCa3F3KaozvAQqFV+i7YBTyCIk12m
IlIvvLEaJnInMKwstztiX0x1rOa3ssXbPmJC0HPrxIrGywx9v03TI8ArSD6C29nWk/tmEdLrwjD/
0YV0TLWe922aVX+X8qB1ibBatd+ENOl4dNod7CYGQPWWT4UOoLkvylTDgYzcJPnT1WjBg43MpcKj
i6ymaFNtdDgflh/kwN4V40x6bcqy+6yES1R0zbsqHmmo+rOjthWeJRZHQEbtsiLpPd7FiyOIS/NW
N+AhPo+kqrKiUZvn1/zOYDjZYaRALXp3O7+f1O9t8oJSaPaDTJ+6jbxpvtPob7oFwA5F2GtA3kf7
OlXo51Ni9zi13cFSW+fGnnzL2ZEuSQ45RIp0GaExL+5I0Z2biL8H+iH0KlOgd9epDohd/jLarPcG
3f8v3QjTx2qHG2dvpkn48hfx9mLXI6+gs7GBi6yA3iNNaj6lS05S5qob1BvKxhaCduQuvFIbN6ad
tUjGVsZLQ+WlbklCkhy4C+uu3AjLJjwrUFop8B3K1LTNf15UaSbNefl0JklVQH+7DAo8lbQXop/R
zv+xLY4YmTIUYQbanlR7P8FuXGpudRs30/QYLkM+WvumLGB3X2Yy0PBvRg03nYvFyzr1vqNWLDMo
HeHjoLMPSeTgZjXFY53dDL36i5hksDuvuHZVvb2sbKI6vM5r6zckerobuD+RMerGpEcctOi2EKFb
1JiGknz7YhSPRMrRJVzmZpD9lqeqSr9MMt7yyKTtq7kfNtJrqQ2gb7gvxyNziZEjGWBJg7cguV3N
0PfSwFl23euCukFiu5rV+0R3kDJSWs/hO1nReeW62t9PVeDu4sSYPjV9SB7V8h51lV6ucCxhD7U1
5Uac86CqACoRWhevC/3TFaLV/la8Lj81Z3tyvoMsnj5ZcEE/IwdQ1HXdbYtaua8GuMUksrBAZ1dT
rl7LPnrNR6exhmkvXr3phpMG3hU2TK6IPo74IdbLk2wrEXRCQtinVE8yi3KIKHnkrG5lN3JWHST2
1QSNlo3eqIkenqX1PIbNof7ZB8xKwSOCJgol0quBN/K1AY3uGVQ2X811UH6qIMfYqAPKbAUvmk/C
J0AuqNmpQTxedUFOw8WSU+VxWttGUVjBisc004vQ2NDNkJz5UYKvpTQB2yims4vbWNumfvaHwNBB
BMCvsoOaV6gALyU4ZSnB+UtpLiUH5PVjeycmcdoNBDaqZw4HiRCH3UHkJOvFtm6iWR09ull3J3a1
UQYkadDMAq+v3dZdlV+Vof/oz4oJ9ZdQWgWZDpGVBkfq7Mc/Mn7LIVdZPGHjcYgWTHKw0Q7eiBHu
ZsLl8BIKdWW+7zrKUshT7zzvJSza6X5NAUyKCSzAj5QrSRyII2rMESHspt7xBWs8iCPVG2rehfYC
QUZ6cooi54vP049m1nl3ZYuuQWZFCCr487xVayd+aQe32Dhz5n+v3OpuGEjIb8b5W8kDH69q0YIg
6avfEjP7Yg1J/q1T+NeCX54+8zyQ7cI8bR67viAhYFra2Q3H+WoKnO5Uqd6AKq/+pzMXo/n+zNZy
ZiUs78qpIM9SpN8o2r8/c98lX+IyU7dxbvb3c5QfIDGDjXs2laNZTMp3Y+B97nWJDhl27e6h+Pdu
wfz3J+ro2tEYYvUhgdBs6zRV+dVqupelaZv1v0NtRKVzTr4rmqK+BL2T7HQ+9A9B6itH8NvxKUri
5jy28by3vLn45IQ+hNGhqf2KkMbrZWhchuIHwa+dQRLww2VMs/eny4hMt/jDZdTc2JwN7pO33cjn
uRqQr6AIkX2CCrZ4NFq+VpaZ6akM9PLlzpTfiYm7rWbnNUZ3lKksD2d6lWTaGuNlObhup9kuSwEG
gDGHFNmZzWjXG6H17Bda9sijFo0JrfWMnoD13AdLEgYRpBux1UGwdP0uXFeQHD/TYZQ92v7rciTB
qCdGFtkEs1Nvu9Z8HZrlKKH93VZ6ukuXmR31M7mV1CBxungg50G1R1OvVVgqd6LrYGpkFyiBzLew
waKpp/4QM+qiSMUsUaJTI1H5PE23ZaU+ct/ib6OyhA9zGsz6tl8YVGTQ277n/hgy6Aj6x+vVgTQC
0epb9DTW+6L1r5Dr7LYG+bNrKd6lCdxXMEy4kKHSZy1eOK+9ayn8ZfqMHK8Lvazt+/tL48A8hOHG
9wf3WERabexE711bjGgquEcRdhexeDn6H9aua0luXUl+ESNIgPa1vR9vNC8MSUci6D0B8us3URxN
j3R098ZG7AuDKBTAMd0EUJWVSb0MLG6LTvfWHbAzveygug6SsJtJ8EdGLLW6NbrmI1HYUp9uXfu0
p/nh+fs4CAzPnhVvOArJAAsLpTOu0w4cSrQFnHeDZFRxBZ0QvVmkVDldZm+746jyRWr+eglGY1yP
FXa/Uri7xDY4QArx+AZg16rKgvRljJsKpX6wEzdtGgdgsqiz2e6PmmHMD8c3bb/6W8z+ge2bxDsM
sRelGdvp0qUM1SKyjxFug+3aG2m/3OsmgB3otFhkubhEFhaurpOotBg99RoEYbRSPGcHyu545e00
je3LH17SS3Ru8ZDhBH9n4J/WcxeJCz/27JVfCCQ4tTCr5K26q0f8SymtMTCc2Si9prjh3WW2yR/A
srM2sN5AM8XpT0aG8xop1bDMwnaOCRQRaR0byL4UgKaL9ki9XeYcRtBW3EeRsGkOMg+QFj2JHHPQ
lBxxMOCR0nyRizKFglUvHqqxrkG/A6BSzWPxUIK4H2Qt/nJSYJ9d1nyApmEYepvadt97UxyraSiZ
/jZee1CnhwK7tQNNGtQONF5X6V+lnQnMvdKuT/hV2pmz3HREc6LeSWfGqRfZcTgL8Jtfe+nbRE3h
sc9j/+ZM3zW81dKTPBaxp5aFGxiPRjT+625U7N0mP+7+8DMSaLmrtlHbtkj5USgfpDv6QwscxP1Y
qfHBGTp+rPoxg6ohPpwN6L45Ti+f7PRhDn/5ywRcoNNQStdcV66HABFITI5TK9hxZJ27giQ8X5Dt
2vG3JmIJrF7QuGs3LyZ31QkoZP/RYen5M6y4q87nkPgyLHFDl7zMHlG/6gHx+MtEd+B1C5bglM/W
JellkrFKWtCmuD4o0H73jgXA7pn77WrmYxRfn5B75fsTPAfYLc0aFyxZJLI1jbg6u0b+EMl8bxhg
2UT1UrKoc5VsOqh8QkvOZ/tuMuuLqTO9hsiDo9kDYqAzvVhp2/sWMSfILNTQbdUe1JG39t5CDdk8
COXF/aqFuNloTeEFcqTdwsiC6ktXIR3psFwc83CoXqBHNtubESpFECSy13Xa1F8q7FUtqyzveRGC
rSgfgTTW9kEPRwVUdB1eQ3L1IXL7Z4hclCto76UP0kS4he7IJrVt1Da6+//xM0qEFwoTXNNKCWsZ
8Al0+/qN5mynYexebSbG42gCs0zWNMutpZJ4o1SCQ79i3U8gwQ4gwmOAIG/TtIm1JaGLyeMXxyrN
+zRX6W3csn/ITF5+7JvbwrbHV+1lBt6W58DDlIb9gL1mcbQcvASQj3ceyFYKsVIocrzjDnceEgg1
rzygrrfkQQPsEeFOLQD7QDY9YHDB3jrHAXwWxQDxpWuwdosXwKWbfTg0bC106MuD3emcz/YSx6I3
7f83u5wyqM/W4UIo0V/SQvqblA3luixE/gQaQ76DLmWwFGGXP0nRoGjZi7yFEaCZTCGCEhXoMcnZ
4uDzGXJ5oc60Sqb7FCRkEbZOEjpbqzwq2SPrZXwnvU7uhtT1TYTh3O5QYbHMFtKKwr3Nt5bTtsM/
1GGUoLs65kx1h9kdsn3Qm4EIFdBTNVhYpkpd7LjsX7qVq2z5YhptB8EplS2oGVW9Zpg0IAOre6FK
WkFcAaUs1MwVFMwiRz4gMx3c+b17JjP+umAoigByr9IGU/pQQcshBLOjXs8a30J77DZphvPddblF
dCQbFzEiJNAC+LQM02p7XXxDtdZFvZ8cqE+QAgs6J8i8zGs1DWSIQccgQzrZYHfHGdKSm0Fn2fJe
dffxFG66XkQ3ZOpNH3rHovmH+sh0HXS1/T6oU1N9tHr5D/n/XwfFPdBiYHvAj9a3PuKknroJkghQ
j6qVvP42NtHRSLDbfCjCrnws0vCnpXddtdfECx+byTPoBPncdH9vUu/VGRGr9nxtyhQVZ1YW1avA
2Ie2rixW3J9u0Yqoznj4a4t7RbGQmVvfAxLClk4u2J3PrHEDWenmBCK44SBbiOUEnt/eIL7MVwYA
E09TDSGNsaybb34t9q0FvO2iBJwb/AQQCs35NyjviFeXeWyZIt02TzkYmvbRK96nlBMAS7103qdE
Sfkpwmc37lr5apRsADUj7kbU4C2gcyBfixbPpDupbX/1K/kEmtgAhKVL1eViQ9pgIcIqZ9cDxUUN
4uQ1NZu+gVA4FDlJKYw0w6qceecPO0mLuQhgYDFOE+wFz34B2eAFbuwQ688CUh3zzeeu/8XHBODn
MEwx30Q971di8sJ9HATjqwc5616W1XNrlck5A0P0QkHX45Xc4jg19uAIhs6m7S0qNgS7JGXhVqBY
cYXCZHsdywr/6yqb+hUvM+h+UHvs7B60Ira9VhAVgi6oO6256W2BZfondMZoT7z1AF11N3T3Yb+a
yD451uxPFPdkcjRgRMGOVTXak51M1Plf7X/Mj8/4p5/n9/np5wwI0fExt2TOJkBV28YyXBsfyF+X
AUS2I+tv+iIF73stfaQuiuRbw70wXQPbjvhP04NkRA+YffiUQOgl8aAKk+At/e+prpaP6ebhCSh9
XZVDIVyrIdiloz9FbbUMLD/bkI20E3own15kZi74wMCLjaWU25G1R2rUnHFj0s/shdP6/dkDy/xT
XPP3BTip3t1mGJl2C7qyP4M1xH1Kf7lNnfrXbL+70fAyjPAvdvHp5xMOxlBguukqB5r0vPbu4ja2
74D2lKgfxge9NE9ZB2YL8mxt3u1cl/vgSmQ4lGj/ZopBdSgacN2Sz2g47qJpgaZjyLHMPvoJYF92
Pj3BXM3umQynE2gjbsmbplUB3lt8Tg6ZrTooD6gVOzTyXQYdzGezQkoi9MLoTE1Q/W2bvIsfDCjS
PeQjX426xjXNOEPVU1suqDlNFt+BjNmcezMlAIRRRbGjXppSQHDjTE095ZiBk4+mLECvk/VRd3ai
ELQoRoBghVgyipvoS9vkgIlDDu5EsZQ+qiZo4sXRhppWKuSRmdAsGmpRPEbIGz3Y2RxKIYemBuXz
dXjb1uYy8Pq11XGoFEZJcKdqlKoxrRZayQG0E14HoHE/gP3h3x7S746NwlL/hweQUwiL65THX+bw
cH5fqZhDHx57lpytgcRBSMXlNq6Tpt0fEmNDRPqzbe4HqT5I9usGLLBOYVhbp7aRlWBgNUUerD55
1ETKZG4SwoYwNUI6s+mKqfkYRGgd8vowUYtcPwYylCOcRIRS6oSVN32WHiE/6D0AGuw9eIw9o4yr
OYMk1oNkee2vEd9Wa+rsPCM4jwhZdbqTTEWRXUovY2Clxeg0dpI1SuqbDQ33zdbCSbT5No/WgyCl
sQW8P74lk+kP2FSB+HlLP4Ea/P4ooAe8oF6agyEHV5hsuCOTrAxUEEkv3dGPAHXt+uAw1wQA5NdP
BNIfqH4Z92TpzByqT9O3MImHPQXgWhDkbqe6r+YAnox5d8FCe0ed9CFDNhai74m4ow+YSDuUffw+
vM2raiVcBvrmIvX3MdYBYHf9fRfU+aPDkuIxxz6Jq1TdRDXHZ9xh9tJhot1RJxDS046DKGFJAz6G
432Vg8R19Na+WyYXzh8INMGwCK0A6Z3AvgO++7RGUrmRKv4GGtyvbg99HxCNBPtcQI3RyzLrDQOp
nwaOleGvnASgmWJlmAnbOxqCbxn1uENa3NLQi/YOeWFnEVZNtvHBWiAhg/TapzEH22mGDEamlaS0
lIu2A1nLPtl/90fO8MyCRvR7lC4rQFhTIBV05O+PGGDlxdWSx0hoXDs+BQsbigR6EqyaRYx3+DCU
4NKQ4R1UvMI710KWBdvjYDtAxvYOHAGI+bso/ZJ+cCIPFibWreq/TqPjJMssEK6mD/8RetJNlo5m
B270lORLc9CUTt1As08/oR4Ygrc91LvDAUVv+mSH95ILGb+o21OzYeZKgBX2KcbJA9uWf7vRUjE4
UNAO8u6vbrWejYDMH276HDPPRnZ6qNHb7fWhNFs/gFF5SCWAExAm23ZTmh6hC5Ydc8uwtyNQCDdC
loCxl5b/0IcIXdfMKb+wWHyJhax+1An07lJPiQVXgEA3ovzRB/WX0RDFl7wuEkjjpN7DyPBlrgyR
3UCg4v0ptaU+P8W142SNPFgD+uO3mpvvrDFQmpZHYLaII+aTGdqQM63M32w0SFNw+JEFiY3AX2eI
vT1AJKY8OEjZQJjHsR/IFrWvnbSHe2lhOQgcyA43E7iwrv6QvgKksTWxS22s5m6+vAzdBNHS0r51
RuUeuN6susBubKx0TJDGntobJNsV0K6/G2fxeDJy7Zms7YNqff+fMjVPJlhOrjeea82W4NfNbz5l
EozPcVe/0R6Zdsu0UR4HiM23obknuwz8G8F9YB+y6UsfQXbgGt6lMLC22wxi57YbbajyYJTPVQSl
CkhFWKsYeUZIziXThYetuSQHJ3hOu9peigLF6k0bZct2MqPNFDv2xQDidr5YAROnoLXXQx4ivEUd
5CIht7Qs8CXbkG1A/d/KdOIIwnR9ezNI0IV0Tqo2ZdHi71eXBgKQ7XjApnF8BXuuB4lKxzj0usnY
pg6U91KBvObo+FDvE1o72sonb9m3oPCfPKMAE1b1oxq58aZv/LR6v7HAj5u2EARxLGQXCyuznmu/
61aib+0baUFbIG3i/ICEARgdwilYVwyqCIkVFsusAvlOpOXpCn3X+0B7A8iDtmkh6Zco01r/Zx9y
pEuSgO1EaO/rZHQn8q9F0QU4bvETHTmHUky3zJhOJEOWJmy81X10wqS+huHTog+nH33/2zjwoYDl
XtlvDWQZFiA+Eg+Ch/5m9IGxkaAxPLMkiNd93VrPpdF/zUsFNfMYPHjY1X0H3TNfKD3IYL8GAXyr
zijoScCsaZjPk1LzIMiqzoOaEgEtwE2McEiPce0Yy2ySyRIxp/QYhQok7dTThcn4fktdU2oigOLk
04ErJNAKXVZZGigEjy0Ir0MLLD4FIRg0jLxt7g07qZZl1Yq3MZc3noNar8Ugvw6t3/1AydRP4Tv+
s5dx8DD7yr5JPTOF7lMrDvjLVud05Gzd2r73wJL2JQ6j7aTzR3SR5RgAWyNQN07tjCNdnDrqYFEG
6pPPR7fwxXigVmdCcb4bg2lLkKBSQad8aBDRmxFCGj4ESpa/21oXDBQkSk3O5Kc+xhLqiOYjv/84
n9Ngj+6n3Qn8GyhPMT1jdY2wDLb5CJZ0YG50kKawAQosHRdUZRodrS80KIS20/pqm5LgYhlvNY7d
h9gPKpySTUPhbxit5qaSuXszyjxB5W4cIFwA4qRYX6gDTHbhgjuF2H7yxm551YzZcL46O54m9k6r
h09uEHKP18rJG3CBv4AgJji3ZeXwRYd4wD7g4UvFWHgZW5xbVoDfb1wOBrLZBTVX0yKJQwNvlzFf
AU8EUYPr+0mxrAKZ9ZpeTB3Z7bG3L0XW5SupnaknzJCBW5gtAIJJOzv/8fKj2XPGLZAtoixdsx26
mh4xYgXqMunWJOLDaxcZpZXYQPUBm6GHkAbeJz8xWKVYkaMTWygP4pXH98yWs22egY/VroFMmy0W
eZVDbsKy7Ns4neqdE3fZvuDOeDNBCBIacUn9RUHu0TMi44cv651bMu+t83K1pEG5m9Q7mVlgHgn6
8YZjynlQbrpneiPYRbdDjMidB4XAtd0GybhmUOhb5LpSwdWVCnSpVL1E0Co4c1tawNXooz24NgTo
r1B6AELGdz+cmsBc0lY18OYI+Sw+BptlLLfQR4O8MdI5N8AMq5s8lfWZuVCob1nuQnwHFChm3IyH
MjDvqOVqE92BtyTb9a4uT9BDaRLqKIwo3ZgV4Hde2BTvswRZ1q1Yj0hqbPlhvC5sHDRVykBIeH0U
ckv4aYCg2dFsakx2YZK0lxakCmvfl/GavlGl/lqZcfEAJTd2olYTBt25qHvw/qGPLkFtyrULxMU6
KYN3GypX78LS8OfvIqpqi3M18Rvyp68iyOPbdSRkvb5OJMP2lkO2+EzzIDgM+o3RSxBkAqVKpfmv
rDT+2crEu3UGiHe3IVjryd66jre0Gosdm6hQTywR2270rS+ZtKBkXTTjltxSpNAzCwf7ZhrY4T9N
OzGjWrgSNFw0bR7K4sAJFtgYPd+hajBc587UbYiFjJoJYuufmkI3ibLMbOpwfe0NJYISZvEzwrLw
NEBT6NCm+C2paQtEy0vXRyGC7k0czREpKuASddNMgD1sNU0/NZEyiM9p1aVzMxqleY4q48c8EzIe
lyQqvlIrah3nMnTmszdN01NXtN2NAR0x6hMWF7dNFlyoTwG5eNuMHJwBeCIYNeo7bLB2IQhWnmJj
MoApGjfUlw/MundBGEjjeqdvHsYuXlJfNUXxo5v/rPDJ28oEWPc+LIYHmRcpaLmy4ehqcifAhvku
YXYFLR3wRc0uqKapuePcUSspMgYMYGxtqDlYwHAXaXChFg0qsEFfIEAwHKlJU3p+f+elyeOoaU+y
oUnvDR21LSphb7HBGCB3I6q9Qu3+hVyQlBEXaFDsrwO6vDW3KAQAgkJPQpc+j9t5kiivhz0HdHkB
hokAqezKXSR1ADRzZdvGghmOgMhWG6zsfgpvq6wMb1Etme1iyBstTPKpGcrsiqq/UC9dyHk8FEHk
3s5OaYOXS4PPwDxvGoApyXTSaHcddH1WoR9jJaCwDdLCWaHgChiSIDLZ0cEf52MvkMsYaG1qf1r9
VTxm695DELzqzG3SZ8PORbXQQyScf0Qy5d8LM0DmwCufctCl/c0hbbynYCyr2QEL77CrRhy69AwZ
Dkv3HnhkFrELTfvCiqqzlxn8hbWbKczjl6pW9UXFEXDa2twXUmxTAMc3SEbxl+ug9yZ26wkiWdNU
HueVUbEA35FYlCjvgzzSp0sfAvAmhhEqv+ho9NpKd5B59y448MRcBSuyBIxhn5OW5TbMCqjhOXYA
WdesXTstS57aHFvBuIu6f0rEqgxm2z9bpLEqb0y+OB2CGhnw2Thp9zgeYvt9sKoGxXZ6eAixm3n4
5JvNE1IewzrJsNtvNBbC1fiItrGxXHr9hVqeCTaFqUvbpTVawHfo3t6X771RhHL52imBmNJDP8YH
vio2ZgAG0xgU1ogFoBB+0DUqGQetCr4gD8jb++CKwllg8Jj51stH6g/B7bZiPJiONDDTAzsqbpnU
Y53F48HTZRV15xcXR99RM3JDfE/D4WRN0NoGCwf4GetSnsiNPCYjKrddD7LYPcBH/dJ38hoZz9GY
awPCLCkXsWXKW2vwqwuwLwbQrEidurIq8fmstDjprxE8SoM7EAKCwzyzv3ut3x5pceqbOLhABm3b
Caz0y4ZFwwZMes3qutXTA1yZdUcySdD0bUyfAySN8GibuOotzKo9iHeMH5ZjnSBcOn1pwSyw9FDv
fwPeLGPn9OawQ3kpUJt6kOegbjEx6/2kRHkzhXaxSMdCnDNdlZrGgEdLSALNrQ+70zpFu8plfig4
uBSvJDOAhULXx+g9sKuaxYE6Mny81mVmI8fPQii59uZ4rsGQ9tL/rKTVv0RMReDIBStaUAf8pQX/
1yaxpNqQE1hb38cwt7ZfrO92lO1kXcR3fc3FA8s5gPGZCfqqJokfsrZsTnjjfKHOSYjqDIrqc6Hc
7MTHNFtBGRcCi7oZ9FgBF3RLl9BI8ArTPaNK0eNBuFML9bhrMg7ON0Disjt79OpLBvzoohsC81U0
yliVNSv21EyRsYA6pnxKLX0EA852IcAM8xomtQK2wvT3nvCTI6pO3SW2Q4s+bdvnKY/E2TTGAAS6
gAFASLZbGaUfHUrd1G6tdjOjWpwRr4QmWtQgGQYU1gpUNuJAzQ83S88GsBi40QhUMDXfUNkBhq2q
/Bq4iKnriHliNhJIq96/qKAoT6iIc1cfHkhJoAQgkXLpao+wA6U8eUCTqPwa1e9zkIcBxTlwEYEj
GS8k875DMm091agBUWVt3aOU3rrP2mDTIEp5Qx55nHAgDgK1QHQKPLte4k4LvG3GPTnbHDXZ7dgA
c4WhNKLRcyIc2aztUk75snKNjRqcLwyaWvsUdEyLTjPDOFNYHakJkRr+5PTtezNSY7yJUaq8UnXr
7qoCgmF0VnfxW+/aUsYrOshTLzXptH51tjsZHhHUSRaU1ersDlTBSTFs4sY3AFLO+0Nrc/9oArU1
Z8fSEJRcChlWGkB2Sp01o4q3IzBA80zXAX/OiUgRVAlXqcC2h2UAuol8SG+DFCuamry7OixgAobg
qJj/djUNiQtJBDuXy6jL+mTpibxdJUaXbuZ2FU2aszzm+7lthVh867K40BRl7qa3o+pxPtSDgbeb
589QYguSOnXI4mMeyfSE3c77ZfITgH3+bIuyGo55cyQ7jejCgING1SSqGX7xNNh8GkIIBnuopeSh
wRZkc3QH/v3lsgAoan2lAaE7hNGRRgXSTsT5w+SMzqNqAZMZ45u+NZxHsnBj2oM+or9ttWngZr1I
qt47kkeBjMSqaaGE1hiNix0VSiXbGhxSNFRASvaAYqxgQU2UxFqX//Ikj9f9bQyIS4MsfNBnDiql
pzo/dvoSK452P4ocmKEpP9IddZd2r0BOzBV4Gz/GRORO/eRZTRX4fP68pX6jGeo1pLTirZ1F6Yp0
w/e5rg6r8DlZscaU5x4A/LOTZekqMxk/Krf80YZpf7Jk/36JErs/kc31wa/n2NmROift0YOtAXG0
DxfqUaigA6UzeNVy4+6appoGTxzNsf7SflSW20gzkInSVHQxOlBUai9qkSsNnEQ3D5wzWr/muk7/
+1xk/3jidS7264k0MysKfkQtNl6feBnVKSpvCcHrfzRx3GFPSYfXyrUX24nPTepFQlxkrDnbjiHP
irXhHkvboWMJEDtkm299AFT2iWUdyEaXwq1Qz6wvKDMASemL6HCCAG9X641PBuD3fmK8VF1dfiu4
/+Ljg/ANVNDzDfCk881vXWaovGdIZRx0d6FH/pcp/t99IAGGKi/wd6+d3nFOtXLtBRE95CITmwY6
tTM7BPeg7FJVpnPp8Cs/M/8xnhh/+dug0GfNzA7x70EqqfhLxO34JAsUX/a5oW7p0sVeBq3M5dUy
IRB368Z6Q54KLfpqajbLorK2Vowzqiut8dPQrF8aYV2G85SDBa4OU+mghH6Cjund1qGwtmkIIliy
2chQLprOK0ANWlTrATX1+9Brs+fRmLZFzQBq1XaTp8HVLqPy3e6BsW1fA1/37JQ4Q37Yr/6/28sa
9WuUvZoTXzp7BcpLaDKPc7KsBm3tqQ+ax2v+LBtYvR0cXy2v+TOJFCaisLG/uSbFejv6kkW2OpJp
totlGaKijHJukxGmJ8Grx+uje7xwtnUtxuV1miYcPk9NHaOVzVPTRCaonG97ly0nCxWCrTshMJgB
knLJKtddGk2bow5AhZe5B2+ocY+6lqdc28ivYSEUFIEg2dIM81ia4GMWCXYfFDTpST8u2J7OM11N
1znrON1ivfGO1Akc2H3iZP1pQBn/SuUedtx6IzPvPLDwVaON1Kw2+eCZ3pXZCKou3aTtilNEyLXJ
MD2SzfVBcABQ+A11zm56Xhep8M3VVrCf12mN0f88LQ0KDASzEtmmOEdhG0TTDmC0pk66dB/Thi2O
CmOFXZXqDGdfddjZ0X7Gj4CDoCbtZ6jp+oNEIRJSE9cm9aKWDd+X9ORHOPUMqCDehmr6GnQ4EkWe
OZxAKI49HrU9baQ7usRhAYnYtNnS0BAs61g29BBqX2cISxD886G5/8M+z/zpIWMWxAvPL+QGIY5h
r7zogdmD+eZBiDUInfh73ifDslGJf4Hgb3cCjQfKCccy+GrVZ3JwoEq8LD1wyteqqs4FdERW1OFu
OTSmvkHZuV65tYzPgYjyi5iAPUBqK/7ussehsqavHEXpK+jYFnrbHG6RIkbsoYVwJ9bc8S037XYR
pzy6LQrXvlAHjgCordAdBkrs5o7KAP9yyFBHoeqDZwlQKzoaAqVaeU822TlA2Y3DeF8jMrjhkSFv
wkywG6sx71q9qU2QSqKW7AyxMcCYD0VgiDxGnscOiKrsqajlWuhCTag7OweQn8+d5E92uoxILR2c
2N39adfTgh3aOJRWt/vkr+30gHQyxBEFOXPnH8NRvYv8sSnnH+9ab0NugEQWx6nKttdpGTD158SX
y9po1dl1kdBRwOTfDCGWaxSaxfdtGgD2W0KxQTVBsbRsq3rx2gZlfLLJ3nwfKAApi+9BCvKkwu1/
9naxStPcg37oPZJBCU4pWbusAh7+ROoMMO4s/abif1CjVz/ZfT+uBV6Np9osyqOF7Opm8m1sKkE+
sIhyv/vOWbQ0piz/CQ7u594Z7ZfAUAjuI/J+cQ3T3Jc2Svc9nMnuksIflrIzrbfRHvbStbKfpjcd
+jGo3wDahEAX2A+9vl0IOUwPJiuSbWjX6aH22vTG9kW0soJBvgFJvx2rNPthjuK1z5LxeZBqxOnT
Kk6B1dsnfLPLtTd45YvXIxyoXXk37WPPF8e6iZ1lFSU9KLCd9hj71vTQtdYDeDqcN2g0Q80ptLsT
9MOqe9C0fSM7fhlEZYZangvQ1t01rQCQOvZXRoDiOhBgRhcjL+JzbQkc9jkfvjXO2k3i4jvANZDJ
0g6sdcctaijFOmFpcYvil+K2DFHghYBDhXi9k99a0F7zF1WOn3jKbsiEGi4DmWkZcLFQRrmLjC7Z
SA36wL/auGN+Fi8QNpYHrte9uSNEtcAUlrfUEm5YnnMmztdBWYlVfxQxSDw/JiqQMF7hy5RsDIKI
YEP9PjH5eMJqF7nffCeyt0nzcVZpPx67fFE4mvJtJn6br+RDl0/tSkXTsQXWtbf8AyRsFo4LFo8y
45cZszBBGgPBgWRDGIeoYO0ZBRrP1EkmV1hnxod3/xYId6TJIudoNL6zJDoKu2xey9i27hmCZqe/
2Ie6+GxPWPfqZO27fw0A0JLYK/C5eQ3ChN2rCNVUcySrCIf2nd8VSZCT54IblDAJVKqWg3+hazpw
T4T2Lf4w5dMASaZdhxLuTTdy63XCizfqPfENSxjoU9rUOI29M91ApdoHUQYKkvVI5HTLJ6VHtiUC
Q5FbzSPJwQlRBEYjORAVN30C0XHv10h6pukBokgjHeGbry3AR+SAnR5qL6J1HjX2PRDiyQb/jOAk
0xh8wxCv3vGWV8gLCA618N6EHjUHvSpn6XdIF23Gypsi1CSKNTi6rO+JjcpCIGaTZ2cy5Spgkt2U
MjK2wzR0B7fuxhPy7BAf98r6vsZrHuV5Q/EF24jHMAW4dyHup74BY1jlVVpVxP7SGmax/NvPNvX8
Xz9bVJmffrbYMCCyq2u/qHRLqDZftlx0h7k4SzeBmu8OVPbVMuMedSTtvpJpKheIrIJCjsJ1fuPV
ax6DMWA2ukjbrn0ljAXS2AVOrZ23URAzWwoV4q9OxraMsUZHzmnSKl5KX4re9DZtBLFzr1Jbrrzi
YAAScpZur850R5c+KcFQFrru6tpR1+G3uDXDRd54asOTiO99rxL3/qhL2kZQ/QJ5ckKJZ/VCHqPN
GfKb/AnVP3IJPfbooPAq4de0/qcY/3xLThOcKAXgJbGzkUrg2A82uhHBXcfzUYMSZutaw4pb3nYL
qwMycAAs6NF1AJG20+mV3EITNKdOVSECN+CsEcddd+m02xChlk8P/5ubwjd/WwCKCBkrr39q8nyL
Um7k9fDN2zBHTNtcN2VWLRPohrykRW0eUuZCdtyYzC+mo36MSeDfItGsbsCmjYp17c+twF22vYfM
lZ4274st+Y+J9z5tibjxbspR2Q5qbTDsbnxgxpbILsZ7OtpSszKTZD8ffHUvKjbiT03EMuN9UpvI
RNeoLvUJuBrFzrCwrMFZB0VgnhxCu2KRGNwNyjNu358IdZpj1CFOk02sO6HIBPQSOYiqTxDoDNkm
qlBUXnpKbqifLoYXf03cim1VwXrUsOASF9FwLtu6RCl/5oBBxnfVgoxx2b77cLfvl1XbIvurvamj
9yIF/ksoLaQVkrfQWu/PvQwBJoS+1LIrIdEoU6D5kbrHLXZe3QaMb93CR2hSLcjY6B6684GU2Ze1
d3O1VxYD9cfc2/OVVQFoqLAzcLCMH1v6ouErJM5dauM7R7fCf6h4lkDhDHFzuiBHlUmEdH+1O/AL
FeD1J8unkdSe0tiCZvmS5rqOgZAQQvH6wnKPr22VudkF9GDdxgQX+KWyQn42+ydLw73oQma6m4Tk
SzcZi3WMnYqHM0jon6YoX5JLSrYxKBro9wh7fZ2hic0nnE4EaPr8vlgYUCU7BPpCd1HqdAWYFFwY
cZ4L1mTtpsYGfFd7OZ4NpfN23JEPmWyn/DWapry2yYeaZZk79vLa41peubJcCEo2EgkjWcTvlwTR
yAb18mhnyq9BOBT9mG0Z9ZC703jlZsiNnxSB/BSkTOMYKj8C5Okd0OwnnB0/RzP/CG7SYN+JnozY
eAYKmp+ZAX5AycUIpfgxOddjVoB7qTfuUITGlnUnGGI8WbQAY2Txj4rSNUCKBbAfMYRrnFD86JP6
Wxm53WszIm9vuMK8x4bHB/dka+L/WKZ7LFoDWHAaVPN76drF4orvg1Pgb5HI8TTfGrw3Dv9D2Zct
yalr2/7Kjv18iStACHHinvOQfV+VmdW4/EKUXTZ9j+i+/g4mtZzlZq8Vx+Eg0FQDSWUKac45xtBL
rKnSqACSaKyhg2iRmdWDFq/DbrAODID2QIfxgsTLM8Q6y6sccucAsGA5J7umQL6YlX5xF7nmcO9Y
HdYvYwcfXAGIGGXWngNf/CAzyOm2LH30sqGcdWDkO9Chb7XkwMbDzUZF1apqbsXGKhuQEN6m1bES
XvboIAv2Ukl3zozSR17LohRp/Gh1dfYIzyvSG3N1oYZeFp+QJSXvqFSG5VuXFv00CPTqQKsa+/gd
jmNm44YWE1G7pWI8WMMCuUB8TcVa5ggPwsG9omIfuBV2Y6VcmONFwRUabBHdMOdUi0i8tisy0FtQ
rRRNcKxrrFCplnVGeQeXwZkqsXQNZrnVs02iaeYAtuWoBCCj3NVYHMCVlETuEd8t90hnWpt/Al92
uzH0zBpmRuE2cMD3YILXE2wMEygzj2d08KAKsHMDHG7FP7W7daMe1IS63Yr/+6Ful/xlqF/u4HaN
X9pRhV21atvoV9eHyLIGlZBsRqe3A4g/rEVm5t0MQgnx/lZhB6CkL7Lkry5UvlXLccRbkc5+vUBc
IyKp22A5/Pth/OLHjdFV6E4m4+2qZBRlwbOZ4Pp5UAH2buNN3LpQcWpCp9Qlz8NnKG8WW80Msvsa
0pAWQkGHdGTspEPeW8gC0dx83hvmu62lszBaaRA1OvbjLwC50apalSoCVuJHX+qRhciW62zjeLMP
DNjtIcZMRFe9VfSg12lFG51S6WNlrvxGLKM8cObTFX8MDC8VgNvg8G7p2rFKsUsu9HAxDUWdffUS
261/Nw0VKz1f+oFWTE0czTmZICFag2FC7YRiajed2XHzfvYHGzXpJLdj/LDRjw7pj7ObTYzD3Eal
iputAEvoPOT4xYPezbnkjQ1uKh9M6lR0rci5KAMS2m1k3PljiwLyahu/tpo5VRZcOpcM/pakaNlx
6tQqKAUCxAPPF1JEU1Wld9I0T6BJKd7ywTppguVvXNkn38ZJCot0w+pgBzG4mRzmbu2ye6SEdEpD
98ZcdHgCJvvNRC3InhTDHVDmM9ZjQxBb4T0I9Pg5DEL7hAlpSSU6aAPYnGOzfmt6L0Kkr0ZGXu4U
1VwKFywGduLty5iP+/lCvNQ/zqJQf7fRWRNz8eL7fTxjWWK/TLXemunONVIqOluWFZ3Bey0OVT3s
yQRxiOhcIxH/zsVcBtW8zptTs6Y5+yBjuqdWdKjLahOZWXukUheE0blMs+fMTsGkMY5Mpq4CZ4XQ
DG97szWZWc5lyKI1NaGKWCUAXWQA8ZCNxvQLyIl6NY8Wt6t6tjLXUQcG6tt4nhkbW1vvkK+lS9xw
mA1yz0V9pm70kZAXUUCpNP8wul6AhjecbuH2ESLsKFuwf51uptQt7zvH9g+3O1O2G8x00CQCk4oH
Rm0rUbozTRP2h09VGC7SSA3QVVETOjgDOEAqvdKnT0WD2o0D0b0kUfPbZVmdyo1WIG/99kmbstF2
TLafbg8ODlLw/qt4e7u7LrWcu8x7obGmv6HT5aPXtb+bikPOd2DYaEcwTbu1DYgkaFnSvYZV/WDE
SfQQQrJxZzOGDN3RDj07U8vq04B1OJI/ZbWqQWW0lUnOHxWI7qgRE4Y+rwUrj4FpaQvNypKZggDf
ten0p7bu02M7lkTuDCvkioA5uXD0aym68l6C9KqWkX4lU6OD2stLvGBPtq7x8k0SZGw+dbAM79rp
K1cpHUycSNHDuroJtzQ4OHGjHbwi+oyK1MHBl0UTencmUzPAlRh3TbmmwYE2SQ6hmX6jSrpdLdD3
COF6d9PVa7NFtlkgljSYtKP2xHh+ovZ0cMLwNYts/UClDsvDtWsbDehE8IEGrfPOyFRZUCWZMkhk
znjpdjsqRkNubuwAzjpqQrfQAhnHhisZNBsaL04xsA3dAGg92M5THbaS2FO1wTMLzOY8cFvd50P7
5raO8wnS7v0SioD9xutQ9JW2AOkWcjRDxznkZQIFPiCoP4GnkIMSN6n3eRMgdc04T+YGCnyqKMAX
Ah/N/H3HDQq1zZSnd8vNjxD62DdpPvuQqGeGFcTEdfOi4bZzz32m+LXH0i+qUtlDjiDbRlWQ+IGX
1nkYG1BoG2vAL7z6rMHJ+SW0kAAZtfx7ZMZ3ddwbLyqse+iBGulZmEGzloXR7dxCRPBTRAysgbx7
iHoo46YQ6Pw6dodGKf8eoLudwBmMr6i7cs0YX42YAZIw4sgDqYHZQo8APov97gkaFeByhv3WrB3R
57FjI4wIh9rUTAB7T82AjngfrR+b3UYLwq8uER1A8rgHzTfgHdos6d8S20d2qWM8Q3a4QFKinmyq
ro6eioYf7Fz3vwDPE89zpEeflG2wY6b3CK2ZffDlR882hhgF9cyEh7Rt02QLLQwRIPLS+InOUk9E
01n7B9uf2nlMZ5g38/hDnE0TZr8HM9jmQ1RvirFZ/VWzBrGl8NpUayNKtrS0AjCTHzE6akyjxEW1
IXsXxrN0QGD3lDd5vhagH3g2knzisxKx1JeRKcstspAgzhtnE58V1tKwhzUItA1HexrbS/jJgFJD
moLVZ+BRNvLWWI6583NfOODBLvzoP5TbeahmbqDcvRNBdgSpMlF2SgYLARe9XVAF4oTZKYCGoLkI
h26BHCp3f2vm9pa/6r3YnnccaM4WiRp7lTTNg98a6RIsZd1qKg4gYuOixC0ZdvOgWn0AgWt8oEo6
tDYIwwDqOlOJRusi/X00rrfvo3mm5q0aldbweEkjmhFnFuSHDq3UyxOVKhZXm9BJyjkV6QAnL4g5
verECwcJm2OLCgRicz5KiZDtD2NMLcYOP4/xp6uYBbRf8wbck37P86sW6XviZnChTrqJgLVaduOP
Ahp9weiLbu8KiHZfeTvsGcRfl5gc7b1fef68lgM/VFFmPjHQpU+0dSrNdmChzBcesuY+UTM3LvhB
Z95aGlkDUL34Qr+YqoJwRQGfxblmrN7XXiMXzIuCLyo5ZoXpfG4i0K4O9RDsWBKn17Ej1ZdRBg0d
A+lCZhCJbRRjHFEZ4s2Dw8f36/YLoqXtvOGOfx9JXYeY6wCWUTMbIKIcvbe1oMiiIMeYLnQETxsw
9IL7g7NFR2cmtqptqiTcBTibascz03+16g4q7hIwofEAUkzlrSsk9K6tmiMoqzAT1VhGgN/fHtYO
5plzYSO0PvKlTX8Mv+4XlYDTlf6Wsd+EZyjLjRpc95bDrM8xuHYhpth+NoaOzVUUttDS89pNLRpt
wxDpvGsBCZ8jLje8FF13IA5tJwV7Z5C1n1kRQw4S+AutDZOHFNB7QLdx5pU5ZEMxJT9ooXq33Wrp
LGWsWrZpCWYgjokSEI1kR7fsijg+iKJ8ne54/CgiB9kXtUh8tYFiQfjoJPkhyzTnIQTh0w4zyvgr
bPvPoz1meFsYvs93wgZVys/2AYGMWaZXxQbTX3fEgr87DpZooQ/Ns3Vk5MGsYF3Yz6jG9oNhVheW
v87aHrpmGnQQpDM6tcbizWZHcb9Bblt5bsZDBWJ9RC9goyJV3GxZZVerwjWaOWW5Ub4b9sBnmwt3
S/ltN7tmh8OaIXd4FhNN603ZyjHLM2Jr1TJVmD08TTfu0sjSlsF45on+/Yxsf6pFYinoc5AruQ7x
7dlJhA5W1WDnj2WZvpnwMr4FRbWCI679rCdutED+VH9SUsKzp2fVKo1tMTfSQZu5MtEPkhgRyFFM
ZQseOaxzvB2Z6GCPXmQ6Q5gCWq75ACFaJK+uQlsBrTwC7iiJi2wgAID+jSmOcORkJ2ecflNlvBhD
zTYhtzAl51oXbTnT8JYoImigN5XHIaajh28ufhXSENZr7vjhQres5ORETO79IauWnUoVsN7Ai0PN
841Xyfc+a+oH6Qf12nWzZOslFpTSxsGoxWBCcT2orFe49sOFaw/pwmay34BCkHLU6eCkabF0bctY
UrEFeO8i3htw01qLJEG6eF9fh9QFtD8Kki1iGgAYQuHhDGWQd1thHzU33Ka+WP5Js8I18aodK4cx
FG+nPlsgZbHVrvCu4Sm0gZcvCPsfIXS1QazXwCsMKk8gUizPPpwxk42KVIHs9npjzjUbBAgNb4xH
wMCbHTfykZtawn1YQhriVhQgUMRzNY+h6SFDWgpnHo0M45BqfRJV6V1tq44PTR+5c2L0Fn/ZVWbG
h8wc5ZnggV+CyzeGKGE+w89W/wK+DYWcfyO+t5XowfWCP0RsBc2VyRKEQ+NU2/vvbRsfjMamofyL
r4O8WrkIZGFvOHzmDMo8neqfIRfzbqdEDHBkTnZqP6Shu/S0ARiDuo42vA38FYIciOvJAfMiYuVg
twEoJIrjjR4l9Sdq4dcBX4cQ55thsZXMJ+r5WmPd+o9lIp5HvAwoGUs6G0OAGs4XFdTP6JGq8mOR
auHxb7f0/Iug/a32l763xs04VCE1tR68Ydf2CLpCCr3Yd/AArNJSN68pUsIgc5wOb5l7l3et+80c
iu+mJeWjinXsLL3OPSALvJz6qCTXlmkPpBL93ljPy3Wo+Rl8T+MaSI0LnnY8xM5gzhl7vWGmb7jq
HGQS26SAuA8H8roVSQWB4l69I7Fv7aDJgLV5kzxyVjF8T9sS3DSJuYotJBcHUZEfAYJPl0h7Kp5K
W/9K0EZNfMW0Fb3d+rBg8Beaa70ogT8modaQYVysbkWn6ooV5JH9VWx73sHqAb2yumfKfs+yBtJ0
vtufJJftwVDYyASFq79W0dTA7K6s02eIFhTIEMFPIsMKE25hnh9IhiYZi9ZYpFqzAbaTarFXNB6p
9k99I+EjcpGkIFDV0hOWCVhXQoDWKDq5LxTDUnO0t6UAYUBfvxRKZuZ3FdnyAj3aBRhuveTseyOA
QQUHMHVb/GsKDPECtBr8Tsuh+tdrdvToxVm5hJLUcATkK96JPBLrIc/MezPMrXljCf+lMdJLEmf8
O4D9yG901Jtf/NXd9hXSN5rIAJE/3hXgR3DginGSg1U3LrIHuif6+ZPd4KlY23k5qQ85vZHcA9u9
T1MII90EiZLcr9eW8kGGO0CQ6Fah5xyCH9o9GGzARJUjax/OlVlhBe2einWfvRcJeoi3w8fa/uci
1YYM8LD/2DcbkKNTpMkC1LYHq7LTrTMusJCNCEU2WST+kcp0GJu42ZBuw8gODjoWn8RnEKr2m2tl
/r1oO35hQ3QiMgQzbc010kbDFbXqk+EbUHrePda2UysyG72JVl2MVuPK9cdY4K+YWqVVLlZKVuYS
HkokCHclew5McMPhd+2eU78CHzcm/yMwMohBuY0Pp0trHgekikMcsTIvdVbV80xPu0+hY742jh19
M4oa3cc4lBUX2Cqx6E04EFrtPItBkM3Db9qrwI3S9giTNHpwdHXtNdZcPi0om0hPDlnov9IyjTYI
EijXmTSbaEeLNYfjOwgwfL4kNi/i9VKdGx+1Eq+KkfmL7HWnAO0Y7byV81tTskOmM8aLwSlmIOwd
1gDNJM825MVTXfpfEhcwaBtcbKcw9tuTBIAaqQa1/yWENIDFwL1h2IG7/rlnpAfDfZqYzylWNkdQ
MKVHrHrTI3Yg4cbqtCdpBsHeDIOVZyTFNY7D5l5ENhJaWiiDdvC5zEuXsQ3Vao1VHzxPfp5qWS/e
KoA/9lgcYdciuAbJS3jIqC0dQFy3stpUu6NSUDhi8e9//d//+X9fu//yvmX3SCP1svRfqUrusyCt
q//+t2D//lc+mbdv//1v7khTWhYHh4XlgH1ECIn6r68XBMHRWv8/fg2+MagRGVdeZdW1NhYQIEje
wtT1gE3zCrhuHb4xnZFVAUj6Sx31gOEqZb8hdI7wefq10RbTPtZr/WgPxMo6ohVWa1nNBqlmVnwS
g5+sJfHKQS6Vz/y+CNaTymAU1D+VgSM++UiEuS0zwsgKF4jGJBAIATMRHbzI/WijxkUSLxi+4zvI
EyN7djxYadIdzfHQhXW5yjDpgZHpr9q4VJ9App9srIZhxW4lokQ+kmymJtSXGtMAUFNgs79/9Nz4
/dELwQW+WZaFGLTgPz960ONlWlvZ4lq3Qb9BENhD1pQ+LBOuFS9lhKDJuJxoB+CgC8nLe2ohgHkC
VJshTezPrcrU1XaJLz+M07KRZsPsFMSKtZ1lVf5LHJTGIjSj9mhDEnNf5ODJ6BGbehpA+ozHK97G
puCfRo732JS5UBrx4v5APzO97O+UH5o7zg3MuYA02P/wvXTMXx8OZ/D64ulwpIYIS1g/P5xWRoVE
6nx6nRbpIreAy8/4EyIU2RmKss0ZUP1Hmg6DKtVWNOVRcWyFdK303OfQKjZ85xU+YLUUVpKCNQ0T
k59WEGuwrPqTocqjPa4R8VK8pCHLni0th2RQ3qJpn/F9Zd/7WlbeI9F+hYC9dc1GNv0C3LagO4jc
PdlAGRat6xz8j1RLHcqgW1kjLz+8ZlCtLQMO3J6ZzOGcCreDnYK1300BeexccGaYbVTOKxcoQr++
Qrveuv7Sluv3lTC2EsodvyztSWHOUJazGytJfm5oPKCTWjg9sPxlB50H38rWSR7q8QBPYV5aIQjA
UEgC0cwaQA93iZOnD4bSy5WmD9mSaql328ZT7wzkvXeTv5HnBlsavI4+kMs3tT3Oynq9oorCYP4/
fCO489M3wmJM6vhvQTHbBgzZNsef04eZCjOL0YNKxrtaeEVBPo51p1YHvTLhDIPiSXcq45UWYVxr
uoNnud1J8x0s0bQSUpBhdCRV2UkllsRjJ3lYOi2dPM9n9aj2FiAJENo7RQhxmajYUyeqoOJ/tE2D
eSxy11UlkWXTmzLe2O2g7xmX+p7OeBeZxSwNemRbIVDENlyG21v1b20mAy/V+h/mnp+n/fFhggBK
cCakY4CIzhE/P8zIL5keJ8y92F3VIxSbODMd+IV7I9AcJH0n+rKJnfQlY9aS1rrUoix9oPRa3oLh
FsSzCCPmEtjjJt9UiDOM82w5zq4fDgAZHRsF8TY0IDM0PuB00n2407whnZeRDnpXgyVn3YmCGTlb
qIIl2nsFojMBvASgdde4SudhnoPLxnXis0Cey98/Fcf+7StmcptZtm6Acpdx85enghUV99I6FhcG
udyjOQpmgNokQgrbqHJLnKieCMNFl58DMcSLD9TLGQQNiC6ZbODPAzBWgkqeqJVdu0ceXCfqRVWG
Gri4k2pOqYCZBXoOSCF7e2vMGAy9ta1y+/nWqhLITrMZpBvb0TWUuyFIMQLN21BRjbZWAqHk9+Zv
NmqXj66mqfHYjmx9JbHU5tpLOdJ7z2xv4FdMw9AVMbwQTF2i2FJNUEBjyy0hw0W1H1o7vKogkMud
g6+M8SvQf8bXKV+FRjVsUguJKqOdZZ3AHAGnIlhTsOMHYb9EMr4lZ03ldFdjBJDkACIjdIud0lga
69oeCkpxDbccJMJ8LwW9c6u7W4h75ydVB6CZH2p3LxP7U5yq+kKmDK+uRYwYxoqKVKHHgFAx/fXv
vyOG9dtPx4HehqNDXMCxOHbhY/2Heah3GF53vVlcfF8fvc7pc1iVwZe0RdKh2wl2j8hPgPQ8JACD
X8//koMRA/F99yVHWGkF3VSwZNgiePi5p1M2DBuY/uAkWgCMK7hYRBuW8EmBrpaKMhiWfq6Ga+Pb
YBXx0lUwKuLlmZYdQROLVNOxiB1GvZH2yHIzFpMS5KOFtLoNFQE0eh+SipBCXgZINVtKE99yQgQF
rlEtg0HUH6DXQItjZVSWE3AIjqphG3NA3SbotZWASAJKYPoEvYbaXHbnmtYH6HXuddVStYmaLkHX
6QHMQd63EdkvhmGrszAc7y5qgH/tAOJ5MZUBpXDGkgMyFOwH3Su2rp/rL2AVqVeYU901NQtD8J/n
iHW1tUS+U4MdBNkFr19vw5reAA/w2J2GzVXmwRWfHyrFB+SNQrqxLxr/AZzrHPk58NaVdrXtK0QE
ACuw52C/CN6wfEpnyVC4j1EzGAtX6+K7FLmhG5U1xpZGsmpEAG8jtSzxLk7eAZwMnazG7eYGROPg
nAY2WY4Hsltl3S8ry1RzXQzvNqqgdh16mYyZ0xgyWEPEqrqTHjwoKVfJZxDA70gZsg7rvdUNzguS
GMU8tHsf+AnIp9p1qW+6AA573TBN3IFMPsug2lVu+ggwQ3THMB2ee2yMoHkBgWsrax4Q5/IgZ+dl
D1kyVJAJyJs1FUURq23VIHGcihBhNu+riq1CZWZneNj1RcZi+2IUWXzHCnut9519IVMXuPXCNdxh
ZY42gxcVlDum5m4bpycjT7fkrIVoENgNY7Elh5FPEbLRVnc2cqMbBkA4FksS1G0vWqqfg9KCUy+r
tqZbFt8bI3o1w0EC81q5c2zT+X2hm9Wax5WGfKABdA1Aca7yQGWXP40TR9suyYs1HBbNsmggiZcG
+SUf0ShIg4RK8ghESbUMoo1VnOInBRsdLAgHUFsxYJaSQYGYfNd/klm2GPqsfwwjADRkIXTEWrBj
x+qWA6CR4UU6khtacb4AsKjbtWVdIgLXNm10rMKsmFc6c87gJ/XXpswDKM5k/SEy4J1HSqJ9FQYC
BSLz5RdgqpZx4vHvnnL2TY2IDHVHOoBz5p4frJHQNKz+fiY0f31bYtXAmcnwYhC6rmNO+XkihBuq
qI1OayAYr8PF2roILxFkAHRT946v9A2owuARIVsD7Si/bh6GWhQQvAFLvrBz/Rw2KdYDbZF8zfCt
RHIZf761QA6/h0C1G2zskWKFeFYUSFax/2mcJZGqqFHAls4g4Qhh3LlXVcm0jjCRfTxXvI9Oyq+N
e6pgiIDc//1j0H9dl46PwWJYN4z/hKAd9of3gd11yPOWTJ3ec9ptZ0SS4ifPoHwMEi+4AUxjAF/m
7Ucfe+aCd2bx62RAPfIYSf706/dz8NkhUhbO//6Wuf7LOsfWpS4l/nISkwf/becJpKkOocEgPE0L
+sG1SzChe8Fn+ITj0SkPtp1oXTguW/9lpnd8qSOV6nezB97GycxMFXyG1MatdRXW9sIKihQcTUty
cya2EzwaFrhcsnjZ+xWIgxHyWKSR7l80r3g/gxACX7QKMI/U0/miH89u7VJI5P3Ddpz2DzdPiIV3
OrbBHBsLUzicofzz17nthy4oByva9C6gXtbchChLM0Bq28ZCEw4k+9IOLQR1R8BJq6J7JL2VT7cW
rsYHxIeMbtZ6LlQbDUAZgq6DlJMPgukY7xygQDP/arGk2LVjLRXp4CEQ3IvOO/icQavqR/+0tSLg
hHX9C2v3f/8dMEbvws8fFz9eaYMlhBu2DUzWzx8XUIukRyTL20wYLjOfTx4Z+Pado+GlCFyCQ6Uc
D9HgVeABh73pU2DaQFA9iwRYHD3VgJiP2XBbe4a57sHl7GO/AOjuh/KtnjBhsvyHbzP+SOboDfjw
YSxm4JM4jmnAw8Ol/NWLxaDqm9mBX61jFfGdglz4HJlCyGBrLe9TkDigwEPiubRLICV5F8zIjgwg
ewUuRgSgg9T/5LAshtiRJU46Yg6PCeKi1CzNrHTv+XC7UDGzQEtdhS0DqWOA1XJX5ztEzL4g2Sr8
nuQnLBrxRko9ExEpV76MVMNzeAbVhbtxvUpYURzquLF3CCK367rkwz2w2d4CU7nxPI7T1G7wfRje
xzE0MD0KBBPz/KR7Pl4gYJBsTki0P0ovynYGft366B5SYKDy1HHQHkvwbpyoFZmp2Kti2AD9/Ep2
MlElHfqmcBc6lv3z6QpkrMYhK71rZipNvTXZPlxM2vVa9WG1/2BLmjQ51KxYWG0BvUnqQpeyAP5a
G3GZfLRRG80qs1EDrYHD4ve7hhQ19oSSOWustIqtx8CCGAM5BhVHHfhMGacLoP0M6xDmBtz1ke6C
Jk9pzZ7Kmcy8ee3pAVa3/TJ2KwFVtSHq5yBQxhtF1MnVVr59HLh7J7iP0mhSsavPqppZ0AqxEsRv
PL7XePL91qK12HeQYNuY2nmE9SJ6IhBnb2sbMss0hjMOBOJ0kBYo60gteFxEG/jG4YAeK8lmRnwJ
15V/P10pcfpV0vfDYhojwIo3HMI7u1wHVQSmuLGfUcl0qTu6vZxGyNzibELf8jaorQ/BAkDPfE2j
8iF3T0Hs7aTFrGwOOCAUKXK338Rsuk7tufwA6ZZnak7jdAjrz2oQae6o6PqSj6gd5HWOt0CHwgOf
RiyMA/XypKdtyhx/E7orspkG4AiIdZ+ofcADkHO4ur+gZ9N37mczq4KDBDcc5phmZficX0D0yC/m
ACos6Ek4y1pYfjrvtGgGxZbkTE2QY2ACwgY10sAwsqUR8nrtNGATruLXuI3jVTfwYMs1I3+KBxcL
EDt+RQZktRB1ZuyhOtpdtKb5ohdu9Iq8KCwl0lo/Sc+J7rA6FTOqSEX3vSls7Ry4WXQYqjpe0AXg
Gd/LMZ0xa/oTqPpAY9/hT0EXid2HLHdMsK928TrOW2ddcS3/BOntec9Kd2XEFaClDsI4Wr1vwwKx
BwVn4ByzS7jVI5sBY41HBs8jm+VdwIq5i0nM1b30TLW6CJqFwM5/TUVfc5DPBOHVaagS3+ECPpqT
dBS7QhAjWLkGHHlULNKS3QHSuJna1h3w2ZAKyFZuZX6l0ezc1tYQ2bXm2IXrV0Pr+CUx91Q3WVIg
IRJkvE23KrU63WHPAqmV8c7NGPsrkIgANlThpQl/7Ps9jz7REMG6Nd2Hyhg/mDx9v+dWyDukE6fT
PY9fhxW4DbIlXTW2kME+2DYi6eMFxgPdN/zN7XRff3fP1KmrtN/u2YtKEPYj7nZXp92q1SJrrUpn
myM2BwyaypHYoTVYWtBpH6sSaauIieSBbW0cqpFaBrRiGkPWbWpZA9QRWtKDatuYFzKO0SKjeuUG
8jkyfQhJk42BXtQ/0OlkzRuDzZBq56ZatPADvADM6BpWBfAcJVjesASJr8BdxtcigSJl65ypAZIG
zCUDlGpJxZxFxgWdqSF1gQKYXLR+m67IVkkEi1UwhxRqv82aeP7eDeNWfo28HFWAd9to4ivzrPqu
18X61iIpeoWPqbINjaWG2jniiaTNvMjzPbWjrqXXQY6NddWWbGnH2kPPw5ehGNRWmkW8gGc3XPO6
s3YsSpOj15VYqXcLN823Msogb8XSZBb7ef/NH1Zxalff+3j4ih208SQzBBfC0k2REw7iu6Hi2Fga
tXfuXPDIpI2RfDZ0iVgxOiFhFjud2ngNLRNE/PWQXOjKXZ9ZuzDsxBbUgOtcCtALGYO9r0P/m9ka
BcKkGsgthbSOAd4aK557OtB0kMzuo8KZMxc5D1q1LDiIOWJkWbxKj51AoT2GP+G1kR0ecohEAT8w
sjdNeV8LKLt+Eh2L5rzt3WsFfsoFZBgYYB/D+7WB4s93v1w3UJ48Aw8B2Jzvt0/IEgbAWUdGwU/X
g0Q38HxZla+cPgeDOdjPVyU4QBZuDAmdtNGx4O4b/RXAvJnbGNWLUwFq74M1bsPgy3hyuNgVyThq
6ehzOUDoyOwa/S4NIsRyqCd8ka5f9FfX0fOdDTHpJXVI0vVghPIzoCUxBHLaaos0ffkwOOKe6gcR
wqerF+3Jz+GeB7oReufjlRLHA9EXtx/ws6u3HfOjVWGU7me3XE0dTdksDTVkO53BwwWRv0/TjSBr
dqaleHARNgRHA/GbeTYOiMSlXRao9GmQfr8xAAVfJbVSL1Hez6iBZgKfB+2+ZA/ypeLiSIhP0aUq
C+DtCquGew85EAcBBswFVWhWtXIwaz4rafK1BFXp2o867Tnj+MuP1wTFXbEYfBkjhIuMH2gkF9Pj
yiCsPkO+i3cRGhRq3FFEmHqUITJ+4Eh6qQfhrbshLzdQIemfhgw6K+ODjhLwKoAAMzmKQXOQghca
swGvpEcEqx6LHgoeAfIJNpkXQTZsCnwj+m2BOwH+LIHQ5UgEQxW6Z1+1DuKc49u01ELrko8HGWNt
V5ihtqTXZ+A0qJBffdFV0ws1T4JhnYH3Z06dqFWD7N0ey8kjlUSnHKhutHgNZ5mxxjJX3wFBNbOR
FfMYc007R16+193Ge+7sDA8HYM/JF1mWOtKcWNItqVYkXrzQELrbkvMRmaTf41yyE5XGEQ1kUTym
44igpwOxOvyXVoHr/gUWj33oTQIUckDuqTwoq8HqtCk6Y9Pa6s4YK4B1A4jsQ7XW5RtM+mI75CE0
7JCXJQ+uZfx12vsCKjtD9+bpn1vugexbNQmcYI4ZzX3br+cS78h1YTIezSHHuDYaaZ4q4E0uQ8n8
o5mwu/fGqYaAX6eSxVQ24C8EQrOooXQzDlal0CFl4TkOnPiC0Dgc/r7zTYkYdYaSydKoK3zN6EIV
z76qvNaXyERnS+Q7m2DiEuFz7GlimWhOBmEbFIsWlOyuH+UHKnamsUEOGlZRmWtd0yFfZn0aPXt+
iUjGKOqFhXT0DLUEuS6Z+14bxl20AGNTv6XahtmvPPPLO+qqecvBZEAsxEV+D+fLI10nSXmxo5tK
xvEBGf/zTVFtAu8j3ZT2/yk7rx25kSxMPxEBenPL9D7Lqko3RKtbzaD39un3Y6SmS+gdDHZvCIZj
WjIizvkNCp8sFpJqF0yzepYozwfecynmJMD9gJ3MQyxAdnnICPyGDA2VgAD70smRYgJfF3p0kteM
lk5Wls3rqg03bOlXwJLiF3Ag85sB2j1pYQfLkjoULNFQY5clVzMOxqwmj1JaTmcjLIa7bAta74Ze
l3uTJT1UXyqkJR8lUJXfutHRrrItD7MfmrCih2q4isM8uRFzuDxeQq1Tn3sjOEttcARWaz/3JgAh
y5sLugLNAi11T7I1Z573tcwkTyNb8X/nnkpB2nah+mY7XrrK1Etr18mB1FjxOttOvEsUVVvLYpiq
7cWtgw9HtSP+xfiUhhNqY7JRbXmpwmi8Y94oxeuY9MU2jwnRy9YhMLJzM/FEe4xt0Ulx01fZNcuR
KidQz8J9eVHRDf0Gx4eU7DsX8lBgOIL+T+uhuaYG1gJpkmlr8uvN1arw+QWUw2kswFhMODZsH5WV
8GiqGu0eZ715IPQwYQm3XEMFCJIZ2Uc9iMM4g1FHHDF/0bwhu1aRuKqKphSARWc2bJqBndDSakVN
ewomEGdBVhUvsg6jq+9WpgPEWqoib8A0ftkITfICkwZrQS8anr6MHzWgU4HA3FEW5Qi93IqkV59l
jSZY601Wmmxlm5iS4U4Y5NFd9hhGDK+7kkiSLLqEPRHu759nZ/yOVE57ltWtAqyRP2h/lMWwqUyY
RtAFZFEehlp/Ndo0vchX8mboFRGzF5Ql3qg8qNYa7401f5T0PpijujHUrt/wpKm2eVs4azmwLzTl
efj5+LRN5c3rCbI5sDyuMseGfkvSeKeLKX+R3a2cxKyuzvqvt++GJnsg65uX4De1gi8KHz9c4eyE
srdjGPfEWZDZinv8qpJnyehsQfKNF1l6VGG4QdpwHHcQan8NR+ffADo+9SuUDg6iHJ1NasJzmEDB
3vvYzR6HoHEXw4Xg6HUFMjNZg9zdOOa/+hleN2w7B2M/T5TRekhC7UI+u72ABMzWyZiKP4ODDDN/
tatm/z/b5Xim5ozNX1psyXI564oU0alr4eZLd/SvohTR+SpCHUJ+ZukMTZHOLL/fvlrl2AZY5rr2
1PHgksG6NYb2t0wJ265Aoq2u7Z1MCbNqu0wYETy3rEJlryB23qYBveIwG7ztw0NJ1976LmqfPNOr
nlIjfZdImDIO3a1Tlt62Y+okJetPNrRKSMbF7ktnK1Xq7CzYtiRJJEpQQP/pIjW2klFUa6Rwxs00
FMnkO15+R/cwPkiA1KNOwqTssW3WD3M3PL8BiJQjCui26vKlIaQsZhPIbg5xBt0/4022YjGGwTG+
DmkyhNsxJE5XKgNqmppeqBeReBuN7NjdWA4T6hf3MCt/THqdHGVJ1rud/muorJMH1VbG9cSm7WYZ
aB1HiFOfJqfpX62kazZtJZrtsBRNRXMOdhxGK9lamLF3q2rzKBtlVdn3a89QtSdZwi8Hed4pK054
sP9+NVXbRmFtP+GU3T4ryaXT8+FJW+zPh4wUuhe0qi/bZJ0dKthYRQMBoaW/rPOSS1t3+rmPs+vX
QHsaVV8W/zXQyC3S4gyCDzYQpph/vZIcEGd5sC90102vOesERBc0Qlihs1eUXD/lwWD/X2es8Lea
E4D+aokeEUkjSrGwEIAHDFVvnWWpGxXrhDHGH7IkD0D+p1WM0/nOyAaEuns3fO6Jpy6D5WWCqFWW
uzta902C6vZyxVZY1nkYFPFsC0BSaY4H5Pyuy48UI2u9NoXtIoHK1ycPcV2fUsNQLrI0DfBox0F7
l6XaGfpzXbjzLiVzdo5CgaPkckj+ObMir9u1SfUpe6Ra9auHLE5purLMMsaW0GyRoIUENGNZ63uo
ZV+HKvVu6tKQLQ2FCZgVQVho+sXg3SAb/xoB2/XvudSh61jpoV8gCoY2m08m6pez3jxnC0zB4dG+
b0rCKLKDrBsWMSAFLOxjUFMo5pPjbXPnYlvjyk70CLB0bl7lYfBGbNjw0N32GCqxoadBuAvQeVpa
TPiLo0FITfaTrYALX3tc2fZSWSv3bCxRbPckhbU8DY19XzbI8tKqBOGfYD7h3wu8hHJv0F++zkJl
EutyqVNCWs3E+731q99YWGfMbn6IYag+Cc6SDuHnv5J31Z8rspGyvsaDnrBZU+7VMao+BdukbCzt
975jwYMEJ1vupf5reI5LzakGmn1vdRRrZnycvrGRQAB9OauXOnkm62Sr7Df0tfh3q+sNv8YWdVCv
vEHoO2U2IMm1ApEklPiPAFA2suqrXp4VdhteOtdsdp6VzK9mGlwUTDr+Wk6ATA7yBFP4R41T4+T7
sCIP+CW6uBNHpdbuacAeIpK/nDxtvBmzHncaCJDwm9rLQTYYsy6O3n9GuHzS64MK5GDcAsbDmNd6
Mba7wa20V35KZTekYb6WxbQBaWwRtvFlsRkTtmmsFMI60ruVoejbYYhjsEMM9UA4+hV33klpDe1V
XriOKwKrS1HYXNjLibUHRHjRCZ7cOwJjm1Lo49VbyEHJiEWoaoXrHtYTqeygNY1vKIYhaZhk5Urz
UvObYudEa5W8gudWGd/qsvmcLCO9h8Q/X//LIEWb1HVe6PYlx1ZbUeKEtdI6DEFdcsesI3kyzGtm
LHtvG7a1zRQ9301gvImPM/nKotGY7KyWyVcWW/xUV3MmqqdpSs2jnnrKChmo6UNFNGnVd1Z2JuTS
fwOTlpt4JsheojQV6Gbe+OG5iPYi+JSdjV6RveTg/9bLUOCC5JotiIYk/TdTucgrlG3362Vl8V8v
S68mHYptpQzamvxhdv06xAZ6cKV6+arJNOZxH0zWqq6t8iwbcBfJr5Dfu7OKsO9HnnEvM8+84RJm
77OpsrYJmc+Pvm7W6YJZih1MDMKydc8xSrC3scfy/AFmYmRQx8lbWrW/RmpB9hgpO6T/jKz0zHiM
lGgnLCafpqLdR3hV/NHkuxHBqr9rnCj9quztNwuVjk3RD9GlrpTkVCujvvUsu3gh0kJuy+nNP7u5
8+WopJg+OzFH31qC8WtQZeIqTFKrmkX8DhJs8hw3gViFWVr9iAYXlQcyZ0nAjKqUzccceRWaLY24
IRfZH9y6+GTRn62r0SQWhfESek+T+50FJ5jaLvp7MTpJYL195pnmrILCiu5aG+h7103sfWFoJInA
32PTO4yfpl1gY8PcqinBZ8eE0GmWdw0qrXjtoRCsSjxC9ppXFK8qqSront68Kk1Rvg7ToN5a3BK5
74pX2cMa3X04T+ldVtm116xi1xUH2X8Oe2tXZVq6lq0E8dsr8mhP8qVklSvGNVY73ZMstcLw4Bvh
YyKvHUW1srXxVEYaljdjh0YBCLb8LvuORVZfs8iC8R0pBmY6UfZK6Orap3nx3YjASJtI+hxr1wVb
O0PqaLTi+xRMqHl2Jn8KvDw+SvWH7K5oYJNGl4W9LKLL4BTt8FkYXbXHWa/Zymp8TNetGWdwKTL9
UOii2siL9op1LLgZX+28hZJnmAcwZMlzUpj49piAuxunx5+q6AOmwoq5mmjyc9mCMhJTD8krH5KV
HdbdHhUvhQTpUv5/HPy41PJq//UCWogLaNwWqK8sig0tzH70LN5iDTGyTistX9bn2jivy3AwHt3q
fPytW+umv3ezWSwdVNbJlymSluAkEf+KktbzG0fDL6GdzW8qzrs5etDvquqJm21Xwp+Xhyjrg37n
wc3YyKJdWeThCRScZTEw3vrQbt+FUZvXMQsT0phcrLctyMQdEodx79vk/P+Ezb5W9ZzgBMCmU6x5
3nfTwE0O60T1GbGWfjsmrXIKvKo7Qe52t0ZUKk/xhOCbgOP93eq7qy7HzwkyUENU/1XmWFSMTjug
0Ir3cBl4+dUpp+6AjPW0j4OmvWWTgqowViTvJIh+ZnEv/g7VvaUbvI9K09/c1B1xo+HeUxaSWRxX
2g5mQHdsxYxba59bmwjtz1d1eVCwex9/KHaDljUxMfwi+31iqMF+Uupw3Ta68ZZHrbsvK4IQsjgB
KdsnShI/ipicGnvda5JHcQi5SzOsz9ZqEZtvqTqSLTfynPmVYmvFI0W7eHR2SFfvK4wUH612HbZ7
h4jQY6woHNZ5qcBqcBlb2mRPmknD/nF5V9B7MmzjlP7RmlkQSTtXRYVyafW8MtqHmjI9WlMvUHZh
r6mP1jmNgx0pdsgYy5Vrh0QIluDGo9XScHq2dATH5aVEpBo7tUVHVRaZ27Td3DXIFixj83GYd7oV
YJqyvK7W6+MO+zaoWlNzaNyy3QdT/ob30Dj6sCybizzw8/46i42b08zj+d89ZDcB5dUnkZfuZLEp
MRnOhYVp0mIfmZm6e/HmFpxRGdyYfA0HcRQ72lYh4qeyUvaTh7CIfzgRyFJZko22gv5klw3beBn/
1TVOiUWlMbmwrzp51urqq55jafp17QZn1pMrrGMTBcx4slsQw7mt0MpZywtrGQ8fP4I9nsGyPn29
WFBgP1IpxT1hQ/7b60PhaBA5yuON7Pv1Yo6eHCy3Kc9f9V2oZEe0q9/lK39dO8p1d0VgTHtcw3kJ
HA2q6GK3Ig9KhNOK8HDJnhZW2X+q01RYrS/LOlYZ/5xapNLQb0FywFCytQrA4vw4lV3bMlV80eLH
J1v+x+XaNNrpQUhqYXnJabmOHXbsimTZnBQXiRFP32ixy9oMHVxv0LxDFfIvl0XbShz2TaK4qJYX
vtd4uMl6bXSNQ1WrLGMBX31oDVQwuwHuDMrZfMuIBsj6JPPGwyxGyIHy4tjykCMBV0gMhAWtRipA
Hso29s71cpDFtrWqrRpAFJd1Q1WRpCbHX/qqrppEpmLnEjutc0nSZt15xnxiEjaJjS0NduD0GwJf
zCtJzjpbdpQtWoRt49JbLGO/6uWZF2i/hsniY2wdWkezQHP1R5U2u2nSlTOQhtQ1s4s8TGaEYNVy
kGeyLiJhtAYHXa/+1YDUOATEZazsHCv9blLL4vivetlDDiVNHmxrlsuPV/xvLybHarX3gwDiEpkj
9JsOwbRVF3vEaTmA6/p1KKWBYgqt5GCH6qaWxa8+gxGqK9VThp3eOLFvaVaEoXQdHpwyS3eDCNP3
KEieJKVkboKYv0X7ew8PMPr/7hEoVbue5hZ5WA8FUa9rCV61YX7WVWdjGnjtflU5aYw4wlf5a0St
J93eKKoL9JjsLOsfnZ1JddZ9hqOd1XXtHa15mC0mjh0jsROPdF/t7LGlKvxqstr7o7LMmx2AvkXI
lbpiOTR1Gm3YY6treZlHg+bgH5Ogpj2ri43T4u00KpO6StOgW33Vxa5wnEe5kN5NX02ahpyqL0fK
yt/aZblp0ML41+X+a8dxeQeyRR7kFW3N/VX3VeSuY2KXfdy8whFmm0BAW3tkXEa/DKfyMuLGSGan
qNRTBTdFNQRF2dIFjd6tw7aGW8mvvJWVdm0vpiCTEa+TGu1TY2ieq0jlWaJHzsH1EsIlQ5086e6H
bJM1IE7jvUPkcfVVZ1v4eEQ5bDotsepnAVbguXiW3eUhNTyW7arrPF5D1plCjRENEc1eL9xhr2Uq
GJgsSy8E49JLQ+xjL1CBqIJCG/jvuhxli+wDlrMFj92j47z0lg1wJ7Vt0RtIhmWpfiyspG9egwzD
X6vCCs9zw5fMisZPLQOzXltZSx66wpQuDQFI5M10nCpI9SwcwztCmhg0KjAwE7bO/pCZ018Q7VeQ
UIbQT7sBrJHhgVkyERRIo+5VCUji9UaNdIeD9LaaJvFBWdZdcJeKjTFO42vZACaPbJT1NTc5PK6E
0SnBlQDBx47bL83yazBniKi25cmwdPK4zpSWZIf+U5Zn8tBETbE3GwOxpzC82P8cCK3BfR95rGWR
q+9Ut/mUjV/1/+o7j5VYsG3/9RpfQ0Xi9kc8+Tby2l/18uyrbi7d6Bwhm728g3+90ledfDPJjPSy
iwvhP13d3Ix2lZ0jtBVazQVhWIzqndDYjm7WbOp4Br+fPXkORE6laN3XMtfvJfZLN5VE6mvTabM/
O2166ofMe52DrlkTd3H4Dmg1m8HeGiz/N/pS9BYv3VkBgiOvFPe1hm+M+EM2WkgFPQfcLqy5z3Vi
ldiwhdzqeK9zDBY5WzJQYBlkWZ4ikz4cQbQuvI/Re8sCfL7TcbjKElTOlyxXh9ujJEwCW+54f5Rs
Z5/NhfokS15ChMRGNyA3nG/gz6END+18kwcdIOwmDwwViAJ1eWX+aqhBVGK54rqbVrU6G4b/0oKo
ih/yhNp/XaFCJ+AWh2KXpxFm9P9cGXK8t8kN0JceJpzQnTJzg/aYfW8B3dzNwon3k+nALOtLoCXL
wSAqcsmwntcDdiOsSqnrjHBn1PPI8pSS7BtHpu7XdgRdHXufe4dpUqyMZzWahnVGZOsHKjyVZv+o
Udpbq0mmnw2ldK5TT1pNNlSwzfHtVD/7wYLDObc/IWS5u6lpi2OGWQMigF+nMfDsI2ndZl7FoV4c
W83Gu2tUggOWDsScIVTaVl2+ih4YODN8fSC4V75mLHB2NVbYa9maQS681EP2TjA6bVfdMPtuFzXP
5ZJURWVm9i0HF8c+9DAFgCGFrUiXq8dGC+bHIcmH34s/lNnOEPpVwhNRIXgpy1kwF+K3omz4V126
9CvdHAtaOUSb2w3PFmtfAwcahSDjMWVi4wi1hhUbxU+aVcOEqZrqR9Pbr96oGq9JN5r7xDGDbVr2
wTcFGsEIlOZHNSM5mvdTe43VzLiMZDtXVT3mtzESarMLQ5hoOSgv9DCG4KA1CV6RjR7c9eXArqm6
DguRLSbcvwEDyyK9GXCNoVF2Y4r+Sfg6PspryIOwI0Dg4RZaKrg0Yc54myNlaBrTd6MsUdokkY4r
VBfvoh5EeNBb4hqj43AtKoHmaxPYRCIofjWIpZiZLdAnAxOmrwbFtqqLAnDTqXKUc/PG+TDCAK1l
UTsnG2Lxt6H7YS/VAR5Qh24JDpIlqHwQzOFeg+uKAtag4I5qK2fIw+ZmCDMSP0uDrJOtlsY2F7F2
+gCHrVZoEPpKNjs3rwUh7jpm9EOd0uemqpTXEmjXvplNfZtWufKRW8pKdphw2F53VWKe5cggB6oj
rVewGXnONJX87i8riNZKme0S4xbbln4jIjlsw0zBQeSfOnlWx6JaLeGM7eRNPRxCdkb9NLr8MRkr
D1ad6leveJUFo+AB4WeA/g5j4fzl1FOXbFh3pxsTBt/6a1S1jA+NsvebKXB2skG+lQDsAxY+ISLz
iyu2AxVf6RrxPuH5futLLfRJ6BNwrudp51SNs5Hd3IAUgW16zLtL6//3KKuPqrcO8yXF0Ps74kT9
HTYCUh8GPslkks5f9V2UkyieZ5ftIN1kQ5Kq6pkQ60EOkvV8XkQf2mEJcTnGjWw3EfbBtb+plvoh
RXVib4fugPNTCRvk+zW3fHcaxV73Hvg6IxTtocExag8yy7hZZfNrNN/oB+jhv42w+8nlwstD508q
ADqLNI2wcHGKAgw9v6QBZUPbj7c8TdS1nmqAgRv3MmmoqklFqrjXd6EauRdZkvVLlezlzSLYPRK/
el4A+DNt8VJOevCkZM+AhKG8LIcZS6Z1XI3RVhaBiy42ytW0q+IZYUu3OzdaO92sOUPIkqz7CkrV
fJCNkTNOW1yY841sxe92PGU5Pjyytc5Q9JrAcclGWQXTAqitOd1kyQqIMQTNOWB7k+vrxW86Xew0
egCl6xRA+koWv/yqH0Y3sjwufZpKaVfS01p13BFutDa9uC6ynbqCkSlL3vlFgdXDZmJ8m5aSrFJ1
/R2Z2PQi+zf8ZXfYxDPrLD1cYERPvTAJ4HMxDzIFIhsgxXRsdPToij0WS8CRp0+ZPk2qzerRjC7k
pdQ1b2h4QtZOZ2Hr89x8Guu+BFypJ6spm/DbU3pcArqPsLW8e3K0edg8OXC702ki25pmzs4kur51
Hc/emkX6UcalAkjfVlaC9OSedOwBIeDoyQt4uGtwFL+7BLrNFoVmTTcNNC7M8SrPFAu4UVUi4Kjb
/KyxMmTYt5eL6LG3Iv7ELE0olsgZU/KgBrgdN4G5dgudKG6yIMn3zvg0ecuKyEPaN+T1kcCYiqOh
1/PqTY9geSOfceT+H31gbH8WSOw9l6oRHkI3+/T68A8Rh94uiDRvnwQKsS22w8ySEf+i+c2KpnRn
L2gGtxkPcV3yWdHPcSNsik3Ln5CTupcwEbcC2YMkAH1eaa+doX33NN31VRBha7MLiHYqjl8bJIjU
CeDPEHarfuDuIUqQ4znVYtuFZoh69zwV+XPyhL4+CwhAJCI2gJ4diKfl2KzJdGyGoWNeVtP4NAJb
9EXRXjrC8SER+78SK0ditjLaTVho1bZslcwfTACmetqv0JUE6BR9anY3/9FW3Q7/wkMzWzejrNWT
14BtZXLqN15U574WTX8H3R91jvoye9+fSGHzXTSfqAzuYi//1meASfSyg4pbPOug1fyhxlxeV76F
ebKy6opppWqxHxPmH2n+ge7X1uCbyT1M80an+amyTFhb5jtsgOoI5JjdCWYvvhn3hAwUZVjpc54C
sLK+65E+A/hmTelFhVjR4RMy6abMmWCnDLOpqkyukQ2yeg7J21kJHgVj0e1Ai/6hDHn+2gV/V0jo
7iChvSlER1knzNdyJICURYvg1JgyeczOWtX0K3hMPslcocpEeAGI5PAzjcP6qk0GZmjpa9f32pvh
HHsQlCslEK8avJB1gbLBeuQZQMTTPGAvfjXn8VgIFSeuJLsOLZ5PGhSZzZzwY5Do7XcReNJjFB68
qt04OuaJQVFjkWMOT50W1Sw+22oX2YgO9n13B/qxNutpAIVsHrXCVXw1ijKQdt2LMxckLKdiXndB
Xh9FPBzqDmwuUkukZoGvK526HwY4ZoWZA3wF14VsPdn+yMFCpSRN1Ha4xfW4MkSBfXUdYM645oiu
sndtF6GdGakrGwSkQHphP8/wGEwsgHwtyLUj23J3NXQKS/egPhDD9s2qnUBxqMfYE/DDqyrSN9VU
NccuQTj9Jk8reG+p/1vbrKtU5IXd7xq1OxQlgS7QkYySV9Fk8+MCIR5BcaD72TgPO8geOWxns/ax
eh/R0Zibo/AifWt16k3Vy+oIkHzmDotc7FLYH6+bCZBJp08/matsaDKz99SIRU2elYHP7BcebR1x
hTxcBaWDB1Xq/vWMn9Nn7LKBm5wq8nP9h247LyLofJ2c3iGEq7px4v7PsuHnEd58L00bAd8S7WYy
8EW+iGT33q1Okwj9YIxXbfGaR3O1STuAyHX3M3PQLAGo6yCbWpabWYncW18Hh2x2lZcAgd9gik6a
0b3lVltsUS75bPNU2ThBw4+HsCPqP/1FtUVPCp9EtdYUL03Ufw9rs0XJMLJ3iU1CpRy6bdDX+Yr3
m5yybNx5EV9IVqLZomdWf6kKviwtFa/ZQF5fr9i6BGKXxNl2JqC8t0VzzrICaZ+keBtKdSUWbxh8
KrGJwjONjGaybYvgXJeoSiTcjKrW38tA+4h0h1BNU59U9hurbu77DcxF66joiiBmn5iHVCByUbfV
30IrCh9PakOt/0alJ/ZHM8aavEkxTA2f2tzQ9ij01mFnrVFALpzmRU3Fe2Wqke8ZI1tfN7tGjh1u
a2NAXzgEm1p72UHXWCQkbvLR1t7sd4k7rZzmXLap79qT7Qsvx/A9K91tQbrn2gFZrMOmveZWRzQX
ORLE1OBhtUJFk7Lp3ojpx77orQ+jCGFkEXK6CdXbDymaJ25zLJTpp+egf2V5n9aQYf9pDIeczJMf
CdLFTM7jarKA8xW6564IQ497dl4p2TXUbNKsOsVDyzPYHc0t5hm63y1On0aqvUPoHsGu1mdzcr11
XPZ4ZySQU8UQn+ShF1Z8Ijt6SrPahjpsZ8B4+xc3gWBBZMnPbMXv2vrv2LDerWH6s9ZbcmCReQaM
fSphIToTcUTTdqs1OgjfGsxGN06eviIrbl1Hpnu/rdN6X4ZNds8mcHhK1D2JbvbNLks3GYu6tQ4x
C1GsGIcvbQBLm9mrTsNZudKFgSCQm+zrzA3P2NIEqP0Y0Wn2MusQsFI7iijRjvFgwNCM8vlUxMmw
zxFBPgMNN3aaENOlj7KQxSy0VuAx1bYfMEYk16Rtyjhx7lkbRpuwvlQdtB5T2CRTMYBEO4MlcV7h
cxgh/rtaUJCrNlHJm5tA4i0hrFfb8LALnEX11jT7XrHxG8hj960lab+qHatDbT9CY7gDBmRMWDIh
ka9+myt2TlrVFx9KRU7US9rxUFqmtYby2vgtj8uP0YLpE8Fr+YBW3AJOBvsAThXXv04YH0xgOCtC
1foY7a7Dw1eoeGta+GcQF/kIEUTxeawPH8TT2bAlVf+heUHvZ6CkPjwLKSRrduuPsOARgY5h9QGF
bERUG4m3UDGOGA7qV/QnPQISTrCWxVjM+jVXYBGN0cfcJuUKXpIJpjtst5U5Msma5jGy2RMHodlf
W0Rcrw2f9TS69RbAGXtlJqB16WVQLVPHurDWJqLk3ZW5Vl7bhK9sMFe9zbtEYihBynsc0EhGFKYL
jSUKipoP0ChgvyEOevZoaisbyPhWVZUG45TmD7dPSTGjDQLHv3ghpzNte/RE1iCF7BVuWIbfa0Z6
q6zB8SeRGJuEELBvWP1OLxIPT/J42M7ltU+qad81cXCd+SxKbJ/BLL6lUSDuBFI7H00qpqxaUW9I
oaPol89325yYsIt6WhFIAF2HcjeJKXayah93K8gM7dZYTFC7PF7BiE9u9tAVB2/GaRVpRzxYyvl7
0RX4jBTzrsKVbzOV3jvg4HVXDzHEF+7/YAbxO1Wu4KPYYEMwHG5n0NqOvQmSKPSDlEBrU6ODIzjd
xjGUIRGg8aUN6d1Wkqu+PLrDlMCVnXX1ukM7VEGHjYlbQHwgIIAWa2CtOi9zfDUrSEQyPbRxYD8P
pUdQ3cq2TWeU/lAQ1Ci80F0nGMD5DZnlTROV9npy6/6IUId9iYUW86ebwS00hMs0kwdqzhL65hTx
OTcqQLrGeUKabtNbU3yC21HtWPhbvLMbumnVXkMxQyhNcGq5VRGHKv80nbnDiE1Y+x4pmiiKCSFP
jrZp26DYFaFIV2b81thadQ+nUfeJqH3n6U2GeRDTMbf8fupLP2pC5WaXTXcd7VHxc9L1l0YMYoVm
Mx9c9Y4R1ht5QZgnaes70W7ADR3An6JGgTK3MNB2NA1lejQvfURpXVVLrtAbt/wlxmvbkG3ERtE7
hoGLY2rmXhBy3/Whkvq9q95MAjobw54mX2uVY+sVb0LYzjlvlZ/1yA81WppxMcsq3zRT8ldjgN+p
ERXHOededHV8Tvth9JV4cvwRl4GWeR9VCKYV1c6OGHkHmynAPUj0MKW7IMB0DekO4Sg/zdEcTmYA
fGsso1XUjdaqEfxPulLPjorooYAaBEansTi4U48ziFtUZzTHrmrNlsoAKmJgiahjuQFYlhWZyOxT
PXo4uowsnrS6b3aQbDfRqEBZq8S8z6y0AVpZvrZN8aSoAN4Q2G52TtN8aiLVV0atmdxhKTefZ97m
boQlN4cHN8S1aImJdn2UbJCDZgUfatNaZfdRepE4wlFSyV7N35vGACvHsmDNTQGHAp/11TyOuA91
3mca5KbfOj2xDmSaxhRt6Ma+kSodryMgQzSLmm3qhu8OYjWb0dNxMxXpZh5Dm81wzxfU92Jrh4G6
EU76jiHQuK4ImW2QXFU3aQSasFBChFb08pyP6GE1AVNUZpuG7yAJt1Xi3lm1WdyuRBDtiMGlxwTp
XVvV7RNr/DNmly0y5vHd0DRlV3Ij+cF0TwFwDFksnhr2s6FFotlwyZsIeCVt1bBjVWudlT47u9II
x11W2to6BmDjCxc52fgWitFiedP0qwyE5NpykqfIEyfbcutNi0QueetM3fbQ8fazo3owfhE54RkO
laZPsm2H8Pvc2QVyXjFeDOipb4NJ3TSOW/vQldNt4Fk8SQIRblB5+tTQ3dlUXTO8aBlhoQz2TaXr
WH15Hp6lBsJfVRCPa8wfX/ipXGIs7h+EP9OtUHC6mIy1k4KRCQnKgdZ3ahxNagTt9CAD5jOK94j4
DDzXlQI2EFB7W696lhTbykLBvEIJAnR40T5XKRQug0SgR86/HkHQp6M5+SorabPDGoznzw9kFoaT
iNMnJajmVa9qwUU0xqdtkoef+/IYd4k45BOPa1MBzlWQzSidk8MuE+rpCe/dtYYL3aqqNBSRigDq
3P+h6zyWG0e2NPxEiIA3W3ojUaIoqbp6g6gqVcP7hMunnw/JvpcdPTObDGTCiIJJc85vQnBKWXcS
ZgnIa8rRdIyaVYjA6l7XWLMMjdPeC0eCgrCrAmsk17mGQSZ3cDQxw8ggpPZSY6U+FSlAgKA5YnnZ
n6YxHk5q61FErt2fihToFJwaRmqPcDv49v1c5v6eh1ufrFyvTy7xrp2Q1WVG7PeEJJI8pQWLtgBe
0lpdzRckA/p82jckGJGhORO98FeE+i+xEbSnrCk/W78ggFLaY3uQScESOYDV7OczssT9fBqtHi1z
r8ML1zWKYuU4qLOYpX0ctMUQr95PsyxPjCIli6Ap3Dp99ekmoALEEFVcn1BLh89uYVdrLakS1lJ+
eFIF01fmoUl2cQi770JNb0+yb9HLGp19S3d4avUM7GLCtHTVtNV7molfnSj7+71SW+o2JdJB+3wO
pY/ySx/vw8WNUq0z1Ja/VBdrPp73pq3LiR9N4U7heHKjD0hNNR3d1kDqn9UFWdnASz+tMiqNdac3
2VEIScJdbowxuxpakOJmzz9G8s1BhhIlCGbwXReGazqp5Qc0L0PVXTKN7gIJ3XWSzWGxSvQw3Mu8
OYxdg7BCiStimhxHAS9RY7IGDHayTuoXIOZBXtiTH6TtavwqLF+u1WZnJDXL39BaJQIQJVIh0L/f
qzJgaTXaxGswpDoBdDBPMRzzde3BY2t++jL/SdzF586GaMgNpuOzOqaOBxY2qEl8VM+qNqfq1C6F
qqrCRsyD13x5lP/X7hAj+n8cPXpBt5vHmOBiuTfqcY3Z8ncWJ/26s1GF27qajcBImR2GpghI6nBA
VOP/XfkpYunzqg1a8Jmx1wC5oxhA/O3mrxhPCTKAk6GJpzDvk2OuFci5v/TYBO76ZLiWYf2U0Q+c
UMnGIa0ufiAnFxEo76Bp9XjMSvOlQxuecLjmb72s1VYAo0knRKl8C5uipO+Wxc4Yo6tHViwsbviu
f7S6b+2HJUygO05xmiJkItvWPM8G1jZ7iAjerW/5hoPBBy9ZVO+BokFiP1BGECmH8ahVbsan48+X
eEaQzfG0jlkTccYA8YZmyE+hHqPLLTSmVZCxztyaI1owmrOSZJ1X2gRIy7fMVRZE9g3Fo7Kus1NQ
yS8eNv40gFaP9ljirWmmYpOQIjNHEVzGWFp7gso1rLF1yhJi47Rd9aIXkBoHllHrOK/TVZ9H1YuT
knFGyArR/nIP0V5uyMIEHIXgszWhbIvHjenL7A9Q/+05LFN7jSVyuek02TxlCGdYRqV91nSzO29q
/WOOL9EV70xy0o4Uv6Ys3ntS4D0v7JvnxdWeT6A8hMTRP6syRDEh1X70oV2vkacdQIzG+UXTWfd0
wbCt8yT+EdXJB5GkNQ7c9vchiq8Ionq/i5h4GuOCWWruSx4yfSmjtFm1OrZtduf+JDLvEwugj/J0
0R8IlryRGoTj0jcQrYiWbKqoy44mivMbr7DlARVTuZekDjagNK2N1ES3Zfq4qeox3evNEu8IiEiV
RFpF3LsXgP7YFcbDWwmfxEqr5Huo1S5McJIJ5i2r9WohryRb3XLlWzfq30Vn/FGOokGdHMIk2X7y
MHi1pH4aoAM0lhs0l7NrnGYF5NZsppPairnIz01Rj2dnid7NQH1Hq20OwdBqH1hfb+PAIqQKY28T
9vl2itLoA6TgzxijqWe7NbV3S3c07DP0cev3BchGp0p2eTv531vi123gg63vwvlM4DPa5DZySgMZ
5AOK/BsfJfcfXTBaay/zjBdWANaxrZNu38E9uyW2gPVOJvx3i3ywE6RfLYbEzKcN6xpUeb14j9iH
wBriq9WEhDa0uPyV17+RFUjIkSb1SrZucANtHO6ixIMw3Eg8tmQmXwgxfM2mOMo5FrexE/61R9gi
KcEzYzTd7lECpztS+e+cH3tSOe+MXFq+etTvu9WRqlHVVaEOf5z9aPs/L6F2uzJU/TxiZdoxIvIJ
+2MxNb5vViN2x6quttR4MyQ6B6n6PzYf+x+HqzZV/KtNXUe1zYYoN5ZeTyvWdjnab2VZM6gum7rH
FIZw6n9arcFmQrDszzUgu1v82P6u30+9l/FMGlBztF2Uxc1JFfUyzI52hfiYqtvd/J866tXMIof0
qZrN6M0xdD4Hv7DWgIiiN9VWFy69e2qPe9WmCh1uup6M4dO9qXCz14hu7HGSwLnxaKPmf29TO8pO
tuR3Fq3j5eL3tlTrVoYx6MdHGyvONWL21ktl58Y28eto79RIjVda41z02tYvYREkDH2T+NH6xmcB
EPlm6tp0kmFcbF0MiK7VLFk+RfMKibfqewLiYp9iAHkgMQJrGXYiJnsbwwyGzdDmxFLC8tmthu7J
TvO9zxh7xsmTKZLM8iPMsX3Gkv9cItm6R9zlo2xz7wL9UN9qLLvoViL3eRRTygxff84mcUIMpTjj
3htjqQOQGxSV3FqB4WJ6UqAfV8kfsYfsJDc6uBHQfy5Fq39Hb63cxKNbbnVpvJJu7lli9sg0Vtm0
7lA33NttRaZHR5DJMCHKMfXeZMOgfzTeCGBUZAubgkhSjj8UFlSR9Udaf1ld37FSBtDYR86nHO16
U8Cde8sTRArqqfpJLH8+q6Y2MvtLkBdHVVMFROFo10H93qjjVZvozY/AGdonVRuSSpJhmp6FmANw
aiLeVEU2vpVxWEKDTcatFo3jm2pLKia7gKMuqhbgynlOmuI3MjR/HyAnpKqJSoJBWa6hisL8Kxmd
+KouE9QyOepYF64eBww9dg+21uZH1dbw3T4JLbwEHTn8udqglxi9GrLQMfHM5p3nR0t4gm5btUVO
ci1KMqiqyakGULd59Uv166opGeW81mvD3KtqOnfV20xU/H6FEgtsE6CSwrwqkCtw0Ne0Tr1D2tG/
ItnyH9Dt/ZBOMj83wm+P9n8fR4i/BA5pmTt1vceBg5HcJrJxrGyKcY2CU/WMZKB9tKZFP6dJppVq
U8VQ6dWzWIoo1YBzmrNcNJ+g5vx3x+NgI5PeoTb110eT2przsHp+tPlp8VsPWmY/bRKs/LZLnyuT
lHGMWe9969HmagIQQRuc1BEaGab7YWXU5AfNBAwjTFTH09rGDEUvxEdEIGgbMmfYqaoRVwVuCD28
a8/pPuIwXEA+S6xwOTgZ4+KQxjGg6qU6xn2NYzA4E6SaWHvF7ocV5ODbKpsI81K1SaofzA7kvhh7
92Mq2/EQa8zY1N586rKDaOt5E9lw5QfheqewZVLiZkTndM2IEUnL3XdvKFmCBfGnqjmFkd2WPIGq
JX7ovlu2g0qSKK6qqeojZhNFLZ9UFcSUvcbD8XuDzsPGnJrg3UkGDUmwRNs6QeC/G0yNDnrJpE5V
K6Re0F9jkqMOtuguXmEwnNXOEETH+zeT13pYj7PFd1XXr/py0Uww3RVBUD6pA7ElZk439zgjYVy4
Um0jI8827lChCljfB0k9QKJhyJvUwKbGJt/0QsKdSxpHDNBF1pZryoOXd7vYG3Kwn1GyL1ELeY/G
a123xS7QMIbOx0X3cnRvBAkckr9Gv61AZX1o2UB0Kte/9VHG6D6XxYdjTDPzfHo5TGNy5uKWd5YJ
dGd0RPOPQZtItgThJ3LQWHBMiD8Hvb1XtaYe23fPOtI7JlsXL0sPVNDJM80A+laGFHUZxh/dRCQr
b0hJQaMxD0YZeeuYnMAS5fPWA0iXbZLb/Y4w1hIb85nOF7e5t8q1bRbRITA3iI/6r+7iB6MKMz9Y
tvZile233tSw4vGb+YUfjQxHNRGvzlm7aBa0yJTk8Tpya6iGJhqCqGZVP0Q5vIZho7/jZKgQN6vW
DsJbQVwra5ir61rD/ZkN0EVLobbiZY7hVvZzVEb5vcmYwuSkWcNb2uW/ate3Dh02FpfYQR9uZop7
LpriD+be3S/fji/DVBi/sdnYZUHnsFh66Wa5YkJeksMWAriEk60CxJW/RQv+Oi7bVYQ3xoeddscE
IO8vo0AYTnvNsTF5M93qjDJvuasM4rSllpZbf0xrkt7JNyZ9zX7wITLEIojRp8/Eqz1ULYEAN/nV
xj/0SLr7oDMWdH7pb2adGGGZxhXG2T5BWx1krCvNq0zH8n3s04VdmMcnVc0b9EYBTTzBvHdfw34m
D9WPDVwNa3pNWnvhl6XdDlRweugaNEIcrTxg94SJQ+62B4J+7dZeaOWszK03pv78eUkOkgTFBhDU
NtVI9JPUylepKRKCN+7KNq+4Dr5Fkh7IoqvdRaFZ4fZdgvrSjPrD9ASatUV5dVitfQzSN66iM3dq
H9KnwbnHQ3s1uV89nfOHHXvBraiR58ci42NwrBkXbUyYl30TQnDEmnE1XWo6eotvzUDkfqkNJIvf
Spx4VQ094PqtC7JdHNbOh6gazHbLYq/29YGjX72wPdxrtd1cxSiPtp7pyFqYh6zJ5aVYCqGPZ5kK
k3ANtbrvht3gay5aRqZ7mUzDY807FysiOmgGqEZr2ZM6jDHzXJwLs3Uv+miwN5yF3NpJMiBYu9TV
LlWQwMTmabioyv1SRdM5JFUrwqjFGB/GoSAs2cUYpvlOG0MYQjlMVavlD5AEcDl7gT2TtQBORHUS
JkdLX5fHPp7f71W1x2jr4ZQ42aXIhz/sKq2OBRGvyzA0fxcoYHpbfOWa9b92jHowPZv8lMexwvIM
a9VNRrMCQI60yHKVRBAMmswUwQA7jF6szJ928QCZ0sj16IUvCZKAO8j5afEwUm3qOB9roBdV9Rv7
FcYdUYbl/Ee7bDrki1pXQ5cxapnKhcYmnsMYxilFmYoSgDEUyzGvSSIvbYlN74kQUAScwxXvhVN+
1GETX1QtCOZwgVbiSL7sHEWq7bXRTVlIl/277pbms4vvB4gRAeiFIxpgqSyOb6oSt+SY0KuXT6pq
CKAckPHyvarWc5kewzEAObyciYxn8SLH5P6HVZPrzOukzaM3VXOKkRDriCaKqiZ4v29dewlEL6fH
rlOf4GK4K1XNTc95baHgqpr6fSIyD7lbtK/qtxcLzmtyUg0/zeV3L8Ci2TTqrarWmMvzapa43ajf
5hbIIKUIQS01dbUkHF7zmhAviWVSa45R6mut6dqTS7KAQPLc0FfbVXfQXTJDEeafH95Uzas0irwf
AIjPLVt40vE9dY78i7jF50wk9HvdQxchKR/f8PlmqGdquMKjs76A4MgPdeWGJ2HJ+ByGWnIgD1ke
KkQ8X8wi/cyRZ/sSs/dmz/i1e379VRaVi+VyNp2MGlNjPwV9Q+wn+TqSiO+I4LMwMCI/veRTmYLE
iaIzKdJ9Osl3V5bWCjlO4Bt17j4L2VdyVTQGrzdf6pAXL6rQXDd/IRqKRHb4w0PhcT1kMND9sSGf
FjUDgCug53DodDQ2e1gsgZjOgOXlse2an9hmakfHKOZ3p2947aZXAz/4T3zXfpXSX5OgR7m7Dnex
G/9u+iJ7SdIE3drc03bQ9PXP2kkNJq1iZ/im+xG7e1Ji+TdLynFnaUm69bX8HGnBL6br+sluk992
Uv3sp9gmvdN4BwPEKFk2H+MshMamNs1RYIL8EMRW9udIkiifHR8oUkOy0uPDzpop2Jgx6aUGIMBb
Ve2JyKek/DA9F2WK+QvqxGQJjG+NjIKDE5D5BPieb5sYeUzbA6w0goXvuiF8cv70YX1fxtJ4s/Tu
BBG9WZGFinZ6RUTMQe6SwMtEvFdnbt561ss0/WnieGJdK+H6h7nokT+cACi3a+KM2sHQyKvBaWp2
cOdN5EFC6/QLqId+yYmAbdBXcjelWy4+svLI8IjEpht9bwq/vUmTQZsm88UjcQ+424uJmFJo9hQ/
TUH6ay4xXZxGtHOxWvxLQoOphRngBhh1a2eIxZXkrbF3Gic+RU5JVD6p/U1U6tYnyM+fo5PWf9mo
YJIL+p30fQP5OyZYX9WIQ4yiX+mI1B1x7hvf9MpIXhtQKqqmisYRxg7iPMGx5QhVhLUJ0mUKziFk
lTdkVAxgf+kBbMQ2xYvhZTBs/TaTWt0GJrluVXUQUrwUKVrwy84BdOFttCBjT+7wpJos2Ad7L3Gb
Tednxi0YLAHKEwDRUlNNhuUg+Cby7KROWEafo8XIzNwlOVRGuKh91v1tDoG02kl9VTU8qaJt7odY
6Cw7J1Y25KvFSdUC0+hviZaDEPCQpFdtJh4hxyEoXVg0nKAKJiU7Pg3sRZcTIl+bt1mT6aAROIJZ
dfram2Qflp3aUkwjgT8N0sBRHUGoezyFFSpQj0tGfn5CfDW7/+YiGat1Esy3OSXcMTuGeetCrNHK
Nj7lRcxIV4n0L1e46Eozd3rzYvctH79qPHHfiWmuZ8uZsCYprfd6qn/FGUITah8hWn2NOGVwADFq
v7sGfobaEIxbdWxpmdGpwaZmrfaOOpke7NedfWi/Mt7XgGHauTgFMTMIqGjJmyoQR6m2TRZW2+y/
beacFKuoCRDvds3kbY4mUF5hgPa3vc/jxLr5VW/dMqnR6YNpOapqqgX90ZDAQ9QhxuhaNwaw2SuS
+/FlRxp5QqX14C6nN1G7A+4eIogOt63Reu9NFVna0dt143T0otR7E2ijX6ZUg2ZuAkCr7Ah2NI40
e3UwEcH4ipYca5pQlGtQv92WGzRtATb/fb22/6sqtHALsx9gFLYpb3DpTCzuuv5eVW3CbjetwXim
apiYVnvZALC7V82Qs2SxDwFuvKimyZKk8/pUx9ajiW6qbZbhySj5MFStFdpwEE5bcQR/VBWDO7/U
gEOe702wIHG0GoOV5ZXJq+fzmQu0s9zZtFfkdskUW2P0popAj/d6ZcmLqk2h312S1t9XZp5ka9kt
UeC28VZqb5UwyueOSeisy9Ldo80Kst+BrjPoDXV3NRJYZb89vEWnTn9TBe8RCh4D2epHW2iPH22i
T08o+uhvQxSmT63h/vE4IGOdgvJG1+0fbT52ZWK6X7QbRgQrkBFaO5M7P5lJ+iqmoLgwBhYXUuin
ARLESdUwynT1ldoM8vjNELY4/qNNneZ01c9WhNHGqJsCkE/pXVXht0QJPQgBMNRpq3UNkC65mHbc
ZHBUb20a1rcwqwmvBWmyV21FUhKrTIGYx2VVr+cm1Fe8++FRHWxbeLRWqBRbNvCfWscOK6eb3UZ9
0t5aWb8JAoXP6L22typD5NaOtXCtQwfF62E8e709cAPYGQOf2pBIBSlluO1Nn9v0pUv9o9qpmvAZ
Mwjed8HRmMf6MtvT2W3jgec5Wh+dPdanYGp7UEFzVDy3Ub0t662mj/Wm67x2YziRBHgUdjtbs7zn
IYOikQ5httiPbfFx+9ZZYQUffngK6+HZGSIU22NyUvASfoZ9unNiBA8yh5VOxQwgqI3mMCXul/RL
EGztUR8imBNaDKZbH8yNYA6y7ph9lAH+QmaxkqCE11OiQSQNGc1Vtg98DOx6Gwy6ro0nEBMfRusl
+4gBgQC3DiQdkPIwmGddojUnDM0iuQA7ydf2+WR+su6iswG9sKkt/VL0+REzau2p6WvoscPoH4sB
ApxlfaTdmLL881kng/Yshti/ycIxTjMZbeIdgmCiVa2KchZwplb6hJMu6sSkb2fcAIJ6yFZCMkay
GH7Wh6sRd8HrIsI3Q2Jw58aG9xhZT3aX6jsNY5RVlXxKKd/JCG0SYdS7yhX+eShwgyEQwOajmEcU
4F2rOSNa9g2ExYQLnRh2tRfj42qa4WUov7hMfEJuxVqh+zyuPdsic1tpxlPBXLVwJv1q5Vx5bAp5
dhCcjWJAIoWG5WJmwsmbs0NnjO2p7cN2i33kuOk8L3rK/VZudGF+iyb8A0BM9dtIQtHQZX11gH9c
G9P+0NKkORSoNT4hkwiuhDFlm3eeeKqriiiJOcLfkuE6aubhCSDBoW8RZBRtti7beh8UU3AsrbnZ
5MwbWFrZ8crCTWvdDv3BaRZEYNQbW3t0sx0A4Z9INf1YzEQPNlnyNXdrWAOH69eosxHB471xOw24
XibE2aBEJwG4FloSrNh7i9HecmHb6D+bzJzh1dnteQRocNSWgIfVXdWM2lim1UxReI168iB5jDBL
mSEZkYxC/zCLH4OrXfIcni/iKOs8vYJe/kv6VnMi/6YzEmYtmmv6aa4a482G4WHz2pPuddsxA3/j
NWurjJOnvmyiUzQxwygMvt85xpcn72vk9sbl7a0LQlbegCaFl3xg1MsEMyOG6jZtu4/d+adv6/7T
5GdiTShQxIRC72AHvNXILbneMRpiHCEiyDRGiWlZ1S6Rkm8QAcr1mCZfXVHjkp3YB8byIQOxgrxV
u+OG/tXmWMRMhOHJPmDKIRrnlcCIuUpBl23CtLsFfgfHzO9wf9Ot6hi39IOpZq/lOHTruicm0Jav
aJrqT0OSGE9iKTwbw0oPEmZermIzCrd2D1IvNkxWKJrX0/c63TbKMn8NKGuXVNGXRuYBJYYERSFC
Gb8GZ6w/BbLmDNqHvsTGzvPhNJkRORB9gp4aMD1+jjqAPPLKikSsyXs2tX3B1rxY4Qbwkad6zJ/3
nAVCvZkhF79MAQH21uxnssLRG8IqDJ+iAaEU6j04fDt9mkBerrDNYlbBorDPdDg8tiB4LfNo5waL
+mwzfEV+WCBQZgFv9M0cEINdAjwM97HEqtGEML/qDahM4vcIaTAB9rvtAuB8resRdfZWdin0NULT
1VavehDKvYYBi6FryEeiFxNFIYmF2r/Nzfw2xW73RKixWMt+RhStEC+wl9+INHcrBz35YzCboEDN
0Dl6rn/SwiE4aVnon5wFp9Ok/Y/OD57qhG7W7jS6sbxpDhKFJSxU/xwBou6bvv8T7wMLTrAbbbU6
m59HvIqePILH1UIgjnLzlnv+GfzDzCx7CrmD458Tq3aiGxHwpTTdmlYfrroKEkWRNgQqRGSTdaud
Q+M31crJXLEHul4BigscQDcMBjvIzCevJCllVmhuIR17q53eJ8pTGZssTff1LOz90DbBH3nwDpep
10X4S7rtBs47Y2mwQGS0X4k1rEuniE7mFOGP2OjdhpV6cBgAnu0dcKDgTkhJaSGLtx7CvedUBD10
e8Oc8TmYnPE1H9Eo8qghJpNthR29l4Xmnh9FM1beveoy8z+6LRQxbL4uTsjcMRgdcIx+AdCzCYJd
GIXBOg5QXzPo+tYsmVemHvEphrZ1lm1K2pTZx1demtsyyuaTLpFvQijqaqTRb2dxiIKq84RusXoZ
WZ0xEC/FIp5jl5PxpNutuI6DmC8iXXpuakEdiWubMNVt2nxfR54er3OPxwgm7KgJ1h/9kDPzcJLP
LDfRObSrV8ea3N1UJqy/lyL0n2XQw0MTRrrt+mvuddkpZnlwykMv2VgVBADY2MnZce2rGVmwN4KJ
Nwq7xxHEFfG9dDtq7VViUElgj8VZvwicGcVBYcDcJSMNVRhYou0sXlcgMP9baD35ogFt0yrALsOK
kdQKa5AaUxEIwiz4NXjIni+JAE2aWzPE1hXDLTgSmIEGcKyjATTWHI0zK86QcwmNPCEofeRFrc6d
Pb/qsZygdoTuZkKVZj0vVWQK5vVg87Ds3Ado5sU5vJIe6UlpgC4K7OoMIuMwzjBSgCtderu/agL/
p9JOs42JiaZcK8xcvBD4HfBnW2+cSzgF0r9MuWEwFeyLl4DU3Cntmk8J3OgDrw3QhtWPeEzyD73E
JSYQX34V8nKrKIG3hApaabLSyXmhvMA3nlUxM4QBsAq0TaiORgMce7ValRpgzxCkwNyW9kldBtfK
96SNymOR1nTZU+9tMOwGHkJKARBcJdcVimmJV7l8F+7apst7Hg0ovS1AAfzXxl3W8feQHAmfUwKs
h0zGnzFScIiP7mas5TaeN0FwX/BGALQ3mcHTRf8319b50P7FukacxVjs26llmAQVmHlYWusZJCEB
j7Ntj178vSpr6xsS8ihyTm9mFjmHfNTeJEGAhd6q7xt7MR5I/9R765AGU0y2fhOkMjjGiXNJSaWt
cxNZJaGXCP9ZIMbds2+b85ORp++Tzio1biJkFGMow4tJUxOia5N1/D2gQJ93BYioaPudS8IbLFft
3oUj8vmvfvSMG7BdH2lsbWYhYNNPGwuuvsyHblPlbvAKC8B70ed3CYLv1QKM4JZRt2vS7FvNxAD5
ygRoZU0yVVVlbhbM+eoCgKam7bPej5k/WTnwF2dTRr21bupqOMCOqN57u+0OE2yRtaqamdeBN24d
/EK17pnpMv+P6N2NWUdfs6vN+yrN5Rnhj9dBAva2fTd7iZByeYk6oyUzjBSmN3j51mndZl9DA7ci
2BlahsRcwc9bmBr+iFSwF5NkrKKVJ6diyyr6xSLOQS++KYqXPgYs9qN03zEtE8diwczUC64uBmFx
tL2XZMGNttasHwFGxAuSVBWzmXxqmhVu0/82qXZ1eLF8du2pjrivgYBOtyqqnFIBPTsT5LTRNtEm
3M04Qh6c+D3tQAqEt6mL8l0EndcVFtyicbohVI66IZ53d10NhRFSuKHCZsHgpx5K3ovghtrRhzkk
yenn7HfRCVyWI7dMVvklalN90U4Dl+ygNjNJBAkWFv/e2FagfX1hoiBUa/t5gRQyly1O1QDcOurw
eghXmWYscQRaI7BYW7Iq3z2t3GR6hEPulz2MoJiXG9ctV1RbD3yia2S63CqoomqcZDEXB3Vk4gnu
DLKI0d/ni+Ui6igj1ueV6xX5Rv3KDK1pErAIny2ufvuo0/dKYcQL1pDcxyMYzl/98vwmO/EOJWrU
Kgesikzdf7WZskQmpYXxnaoWRbOPa83Ef2b5TSW4zwjvjIP6k+pn4LwcJ82IOMnQbIO6/lLn5VME
x3x5jPcnrBoVXqoMybo4C2n00TbVZr9HagVPJkAfd+yvehug3ZKhnuZ82upm+0PhgVUxAqPuW/h1
xFORHCma0cWMqPFy+ni/26qk9x3nFevRnwPMxW3QxTxRFwnRnci6m3r2bua/jMR9drK16NadMUFv
j6k76a3qlHss/0SMZtvjoYEdNoFQd9FGPS71NNRWjcdntlKb6i1wYjMkr9yvgmooT/g6BqDP1OZS
QETg3dD2DV7v9C1jJgEiAHPGahgj0H9sqrM9HClAIvtWebpvynwADeUmB/X3pq4jRt1tUpF9k5N5
Unfufpeglq4qJ5836l6ru5KJivW/MBBfWTAA6pmoM9SWaru/DqquCivHMaTrYyCaiD6O/Zt68PdX
U92ax9ug9rREPlcNGPaNuhXqR5pDy/0RUWWuiaAzy3Wan2KxDUHu8n5/7dIbJMAra1cwG+CtuxlN
KWDaxrtSQnQW5vxmLl2HGraL1PX2MpIggbHjW+nQOVHC7dATcrKy+l9/+B+/QW1iewXZ3YzN+5H3
p4eaDA6lg2VuVBegxvceufGDCyBresvh8t5v7h1O8Y+v5h+gin/fQYs0XpXAmpTdzopLQ25TP/5T
6wt9+7jDdIIn0/OhdD86F314LTCx3KnfMoTNS+5KfYdG4yDXXRE/idHUgHks/dDyWasz1db/2xb0
tUQ4IM426k0Y0nzHFIaly/IimBPSTjYc68frsxzgNpIDbHM9IsF2UG/w1DvjYS4dliXNtvRGjI/8
BVz5//5dt8qPYQxWOCgt4AoLIOXx7sn02TcXAKNVue0ib0P3tnTL6k1S1UdbRfRn6ZEcU3rb0GtG
MCv5qxdp9JHqeFU8vtZ/vKL3TbVfNsF4CDp7rd6E+ynYCuy1T9GRIFB9IQv2bo9C9/HxhT/eZdWm
qtHyFurDsOsA6e1jL9mpfbZ62dURj/P//Qqqunpqaut+jqrfN/+1X1X/1XZ/bevGdf/uerCVI8Gf
28cIrtwqBx5T5YDcBheE8zJwmAFE08hkoTqbO3woyNMzL1BPfHRNjEG9l1KKq8fcgPXhk0nEQuoV
HtvZtQSUMrb92VmwqnKqr+Xo9zvblkwlOlPf6FFF7GZAYGZFgneneAdzudhF2nJsN1FSv3iYFz8e
vPqrqnr/nB511fh4Tf51SjXm4jBgP6heRlW0S3ettswM+pKdwnlSd19dpALPOINZ4bUbQmj1a/WV
wGqnVW3+o3X0rT9KBxEltW6ZcQ3eQqr77iouRcwN61MtPxIHhxqSLviGKTM/kgG4OzImW3WPVaEe
e7pMTxDKZY085z/L2TwFqVXsdDmdM7tGoCzoD6qTMei1BZzdGvXcTVxF9xHAEl+Q8oujuqB68mqL
nl4sbBg3Gb/kGLxiFuffMcth5t5CPM92pXojHp2BbujekfMev88Uk7EZZoj3j7tYFx49abYMM4Vf
OJvQgS6kSCXwAv4Al2wxEw+QH1WHkFuDcmKhizIZzvauY6YmW+B1m/3se8cZYA753D30SDSKE3dd
4Bh2n13dV1GJEVXk3Ezj3gnDpb60Vmbt1PXV7wrdZDoK80VapdjptnVVT/XxaNVW2fe/UmtOVlNV
ofQPhfzvBdqj49DU2K/q94kdy9MaRxqWD2D8t0bhlv/D2Hktuaqr7fqKqCKHU+fc9ujcJ9SI5Jy5
+v0gj7no1TXXrv9EpQS2MQjp0xtg59dpd0aQXd8BTSsOgrXTBU1x4F74k/tJcv9/xT8xjzHzH8ML
+ncMPVMfnHJlQJBGFsPScDjJeAhsRvAVCoHrnEsm/hlxW3sysUcDeLCb4Rvyn8FcdJhH9PmfvN/Q
03g/X4S5VeREl///qZir9bCXzvNQL76MKN7n4nNZ5O6VY4DtBxNahBnERFdqzJ2Mx6LoIj72PuUS
WRw2edTuWfa1/8Lq7y9K8T0/zTLux+apvQQWcGJDEHsMXvRi/srmCKFr8ZiMGXIwS2/QP9BaIZ7s
t9Euq3xfXovu96w7vUEDwCCNF9/nceJOFTO6OZnrhjFhy0FBKVIBJjZNwsTPmZM7SlKUP81l798+
H3uYOOc+Q9etJV8BT9+Y7FKNS/R6Mzahftjii+jlQbVVeS+mZWJSJ3IiuZ96mhaKIhtBaF57EEDm
zqLLXBS5OZn/xrlu/owvxwbpc4NQB2MYY6YYOBuAAOlOlMWTxxWPWMZP7fcvP+ZKtgikTv40jRR/
4f3OG797EO334nYNUNIFND39B37TILkh7pR/z4qj70MVoJxqZ+fx6isVxIMpMi/hvnBCBMFDtM4N
8xpQNIhk7ieKnfuzU8p0f//20518J3vMz8x9PnO/mUWto6YN+yf/ee5E7t5LZL+WxUH3s37q9fUD
vh4lKWxs1OaTMiI1K8aVefYgjv23urmLaL3Ps0V2TsT/MRdFThz3P8/6aTkjeouOXz7q3+q+nPXL
J3nTgI/RXNn4MPqmRxwPZ/YqivG+VhUPvEgIpUDOhEbE4n0Ks83JXDcmeIJCv6NPUWtk753EcCtO
Pnf91CKyru6BEGIL/n5Hi4dFPCfzwzI/VP+zbj5MPHei37/V/V9P5Y7pRO7PQtB+/crGoY1p7TQX
Fi+uObmvZOfyp1jFv3X/UndfT0ynvX+COM+XPvdP6CLnpEjdH7lx/KUYGsQaVOTmd7QYQ+aiyM0T
srnzl7ovRdHPbREMaH8qJZIIUWZC5OPhZO+d6a24he9ZUSvKI6FsltVJkWxUJ3uch3fAVNDG57I0
TjRyURYjP3Mhj4iSkRj2PXTkekY9LsXwQPQfSdYKZeC/dLX7oGHKxBDE6JLlIyRMxN9W/zbczreC
JRb9c5/5Npjrvtwuoihae6+KCVnYML06edRXjaXG41KsfyMABoSLov7Jq7tgc3/ixUWZk/uwOpfF
5fqfRdEwP7qi6BFI+Tt8i/KXM4i6MYnATigRj9E82N8n1vd28f/MR1Z4lbB4S/YGgRFtipB8WjnO
3cSxIhETg7kocl/6iUF0rvv0w0XLl0M6p5DWo3YGFXgtoVLgGiB6ECnXFJAc04srxxGvfhRDl5tE
SbITVyaP2jTZjbK1qBLL2ImHff5H78/+p2Dmp6nC3FXkxN8bZC0RvXune5ArtRA90cIAmRQVrexu
dHK2Y1BzUYaLeETvcUpxB/SjGlZv4kH+G9UqZW+NdTZbJxWbg2ma7CMkgmGJQ1oTSVmxW7mYy67h
Seif+cYin3SHrdHAgIwBeY58GKribXXVPQrOtsEGQCCjXSOuqvhfygQqk1pkT3kIz0TwydXpDx5r
RHfqezzzy+UXF/XTX3Rfut6vuliziOz9MQ/YnBwdfViLqyw+dk7EF5iL4sJ+qbuv6kTLVzLn3FM0
zz9J9X11aWKtt8DGEKs4L3VfmizstxpCgGsVxixFqGcIkGZ7fCZpNVT2zjQLmZ6p1XGAeapRhHdT
6T0GSrJVpnPIUZmcc6+sF6LX2CT9ThpzfSW3CSC9rssWVcCjLhInsfWl6QDwVMAUneLI3siBb6Rr
JIMwXGZlvyYqCWp4sPaV6lUPcLLYa0Y0FuJ5YuFeFMqn2O2fJkT7Nw8Z2G/wb8oVqnE9qhwURV2C
4FESsT1R9qhAhGYRfwsdC2VBvTkPIVoIFrCFjcre/tYx3PEaF9VP+I67Vlfylz7VcdWK3Y80Z0pe
4gN/cD0ZpHhSPbXOaHx3iNazs+t6bDgoNeo4XbfwqrJ8LUcwvSzJ82dVjs0lijrAqwJku+RssgXQ
CSWPqVGg3yTLqwKJYJShcnDcGDEWl35qIZSEmUCHo4AfKdsqM/PLOETFReREkmSZhe5ZmiIsTBDe
yEJvlRfID7lD966zebat5UnKL5ELDTsSlDhWUwB4Ybus3MIsRPVahvCpuRiJyigYruokAxPk1B3r
4SqzDyA12F5zCLbXqH4N7RBcuymB6BJcXTn6QFZT2ouqPMGkG91FVLkyhM80g90ay7tWqGFfZXZC
r7GkKMuh7z1WEDSEpgO0Kja5limWonjILoauay5K1DgP45SUCbA9k3sLdjU95gZfTeKlklu4onXs
zugDZnN9r6IL4/4eomC83EugOVD+tbjn5uOLwHAeUJkJloVfL9A91daWYuirYahSNN4A02eaoh9M
C6gzsFZlpZpqVC+wgkcGAwfw3PHzUwHV7lRNyVzk/txGGTHUDmkjE25arh7SUY+1paJrykEk2eD9
U5m1hbQcHFjujh8TbEbU4Kl1AYzaZt++R136prGVDi4cuj/Plg6fGWQiaIWsQCWmHX+z3fnqp5H6
PlQRaAUEcZ68PgF2jQ7Ww6iwl2wMkXEs7LQ9qG1Y7+I4zC78BQqU/1r+VvUSN1cS62dZa59KVIPO
dhA9dGZRQX2Vym9hy8aRhdjjWhRFA1uhz8ivp+uyX7QYdyyGqXuoxJjyhWC5puPYwabKkqDdMmas
Ph1spB9WPOpHcaqy0pWL5fg7yGE4dSbIom144RSr+RvUXvTH98foft5SG+uHqqnXqYyszdLFYrn1
kkeMCkeC9lnFWtnUjxAtqm9wz9sLoeO9KGG0W3/DtA4yVNIj1jT1EHWWln89KLKfZBs9LlwDAWpD
+yFiMWUlGHQn9NPaU9kRVs5j1E5Eg4WSxR4ZzAg0G5dC1aV6i9imshRFcXmSWJ5eVRaYsOn6mH0P
0KWYJnrh1uz/3H9OHKXu1sxKOGfT9UN1GkReMjj403PP9J2OcorIiqTwRhjuc1ncbX2NhOSnStEs
WhrIHavuAeAMCDyvW4DrwlIhLxiU1PKtLD1/15qdh8a7X3zk+Ua0h51fbmIV1aZilCwC1pKNWzjx
wH3lBd6pmZIuQvfE1tztp4a2jbGTefFcM1xDYQiPeZ/gYTglIifqdFbZWDaYKKqFSlDhN/g/OopD
7r3no5sec8D/yyGx3YGvkJXt19PUTYbI7a2/5DLRwOWXbyd6iw8ZslytTnE98SjYdtSNGgYsipTn
YEpSBCbOoji4LoqFgdtBXpdDgutTcy6jXL6YO4kcDnpHXnwN+8gcHNpEVfy8cPDEGCTpYL0YQPFR
lhKtXw4VRfHBNaqjOwsh8Puh4tM+HZGo+rrJAWh8bZi+1ZCHkB1vY2a+xdiTglwa7fhYD0V8tPsA
wImC8maTsM8os1uxjjJfeZRzvzvZavkj9RX5sTMz+VH1y0vDAHthbxqmC6KDvP1aDf0vq6zVowm0
5MVOOBWbOfk5Rs3gJSikV/jI3oNo1HPv7GaheRVtIIXXMYS6b+nUsy9fok7RnxQ3yJ6VaC+68M5J
HuWqgn558ct4OLWeEp/7KUHcT+0WelSSNatxwZgNGm8qij4QTdnIce3fctThXmoTu4S5FL8kTomO
tqLVS1HU2qrbabimrnLdQBF/YRpN+w0bK6SLjF5dBxAqX6oWWwQZvt524le+AAXLV2bi6rsey8xr
bvZPQGiadyP/PtqV/WpIdn1I8gDpJFNt3qsRIIVsGekVER20dP32j2eZ9TuQLXU1hriIm5X7pAA+
Q8O27sB7kgv9ej1iDQtf+J8qaJF/G7/UqYYFKjYZT3nnlGv82nIU5qzsKZEM81DFzYDmdps9qTCm
v2H9vhCNEjC2JxAYrzB55bOoMt2K/QW7y7ei2KMmsVecIVqKYhna+nVkl06UxBmbTj7LaL2pMKKP
3jCCS8gMXzuWaMVAiy5dVNjM9EzQPWxWYPGQ9URadl24nXUQLW3tOmtd6QzuO9xORpeRB8GY4KWV
i3YJxyc4iKIVyCYwhaA9iqKJERE+kKp7EsVRGr7bvPMvojS0yZXxOr1qIfget/d2ftBJtzip5XPg
QiP2XeyqurS4AvRZIzvR3nKnfo7CWj4CVuhuqlrzqISoyheRfRIdRD26iJtcKpOLqBKJjspRYEJg
KBsVw9UM99jE9G6iewgd7Zrqt6rKNnZjFxgWlmtkzPOjOVjZMWggy01iwflRkkmqprCRmZWHVei0
iI6bQfXgKxZW4IPxhEJY/C4bhbNGNzPfiSIcHSD1avaS6z2SlFoLlmDqprSDu0DTD1RN2uOuLNcA
xYv4HRR1soWOb21U9j7eTUM7prZkPOp+Yp3zyABgMXWrB/n3AFpyz6tNOTOtU3AjImdPyajE7pII
XgV+95+6uYvIGVL9u2hVZftvx6s1AJjGDB/KfqwuvVQAl85spO9Adem8iX6nsvus9535Ulk9+kCp
mp0SXzNRNi5iEHHd+NoW9k107bX4VAaa81ZWqbyyy9A4x7mDAUtZopaCLuwzdKSfEuJX6zBb2sCG
TnLOQ2X34fdGASBmaHb14OiNd5BMK9oGsS8/oqpSLsTprfFNzp3qZ8O+ETAiPUSHcdB2xGxzVHdz
4+aYaI7zuFsIWyrpIkrKDGVcNKpOOWPqycz9Veuq4aFEnPxvw72PaM7nWngkgJ+R8V/JoyeHK9Hu
g3s8ibOFlk2lWUAnLCx9fy+KZtVRon7Dox3ce3qKejP0yNjKZgd3ez6FYelHE3j5wfINaR0rmYot
VWftDPC+e7xuqpOi6dbGjJLhOuDjsmpruXrmaZSB/tjWB3PnG9o80p/KebK7iClpnxmb26NZZ/pP
OImIReqM89x9PLRJZEFS8cZ1WRTlJVTrcqdrRXcI7NrA3dfNsSVoLPSxAKsy8MHMVHNksdzWfQ+9
/jkKdOm3BNLy/kFJqiAVlxm/hrj77kuS9aaYVYLasTI++iba4ExRvAco1PY2mUTFZcmNj20cGlvC
AfGDDRUIjHNlED9jIDPd0X9nAP6AfCj9Uj18kEEnMcNmEh55tv47QRlZbdonD2uOqv7WNmCW0Smu
npyaNWHTFsoDuI0GeA4OS/CurBXBNdfdqaqGB1VvTZIGcoxbnNIkR5GzrJItQCQQzk2ErAv+Nd8U
q3Oe0th5U4ZQOuut43ANkO8t/bg8iGKjoTyXWmGzV8MWYSqFedm+yYG6ZZXtPHsQ0hdF58vntsjd
56Ac31XDUy+iNE4IcEs1HkRXR7GOgWK4V1HyW29bx3n8Tc9U99kd2UvMjOox1yzr2d32bmK9h7wq
t3Uv11ur7ryPTN2WXWl+5CCysMwpyl3nddkbNnfL1gjsb6wjT5g8ZJfSlRDP9yBvNK2vLO51U0OQ
seOMs+7EZOm3iB0NPEQIr2mB9lvYHRqIqfmW1zzPHSqt1FaF2RibDkvBSzMl3BjDqsIbeSWKooEN
2+xSjbhtYVl9BOzEJ3tNAboBw9EFsbvsok2JiRTv0Za0c2oV4zeiAG9NHgwfQzABPWr4HOhAIbkX
q2/h2A0ffRkYy36qD6b6/+5vI7k093dtl/MAT1tWno3g2z/nn+v/1/n/u7/4XLXoYG47+lpPjXDZ
sWC/5d1Q3lRLV7fmVIdcRnkTDSmL33ud6IJQZHXLp7ovx/LmRM5KcrahyjtRJMbEtnSKSt5wZyR/
62Tso51U38zdRGMfOs6iLOEbePmDlNQGhEk4X71Sdt7a4llftejYrJJeyR5E0uv8X1n7oi6Uqlir
fiSfvAIiHoOUKKDQLp/qKRFFU5Mg3d/LSbFqWa6h9fhPq6ifi+IIUYe23TENALTNVfczzeWYQW/s
7Yecy/W9xf4DRTLnPYLPxE2Vp3vHhUuq9ta3wWyd7xoCdEQLne7BsG0MRyP0VrJYDth9hU0M8Xhf
5dJGU53xFUWGbttwViF4+gItay8+w0+A87VFbZxxwnYubqOw0TWdG/OKB5Wr9gxuxMB1QNM2alX3
B7X00eyeDHeEo87dXMfwM8i5LL5Eg0hatLrXNiArmOittddjPUdcp3ZviRVJNwSim5W6c7ARi8YR
TRcN7RhEyC19wRQEXkzYl1upSNotiz9k8bU/hV5/IDHSvQYhTvBRU7cPQdUqOzmsk73bx/rF91Q8
MaR8fIn9+A+gw+QPB/vYwR8kXUcdC+vfG34yW61vvEuRVdUtmxJNZnroZ8glTh00daIiVUA2jDq/
KDG8eCST5XXnZM1F9BfdMHhaYxo5YICGOE00ebIDmcdLto1uHmId+KpV8RXRIQwiDIzRtEbuN/ig
lRfDa6JtAbXmHCWQKrReH0+WDbIYdrx5tJIu2GdIGR8dPTD2hD2ygzOM3SEp+n4vyUF+TLQMYx+3
DU5R5SLx1Fn2KcoHvF5LgiRBE7mbsK5lHBjkcmM7WQ/RFdFlBKDaK/sT+ToOrebmovaEbjDYQUYc
0EBF2z6ODVY/mDv3T4GBPHKjL9rGJyjlZfJzxR700u9l7aW3bbS80T19xXumXRTB0J9dfKiQoE7j
VTH4AUpY6MfxboLw4cbjj6iy1y5+ZG/sXlfo2gQT134MHsGS/glMefwhRdoPAr/Qyw2PQLlnq5uk
5uXsdvq2nc5gh/h3gAPLsXjoWVCZAyKdQEx+ZOAS1Ub/7oA1YAmYdEe0UftriZH6pMY/IrpWnh1j
aJBC5glgZZTvkkpBSAbxvv4SotbCpLzfpboUPLmSY10sBTatMIL39RbKneF2uzbuhjfdZO2kKN6T
nfGkKEOaIRsg928BAMC1l3ftThylhtG+1DrlkFpKtyKWmB1gBIUsVSdksOFgyOHWi3uVPiCIKLqI
3KdKc2oRlV9b5u59IvQJ+YD5PKKuKGx4aGzgLRMcAy9GXmPlWEvNS4OB5aF35QT5Ci5Jgt42ccsO
psdURNHOWQ91hs/lVFT1AdKSbmR7UXTjUlnATgwXmDxAkjMtFgVToqY+fk+5PuTH3okKHCzIiWTu
I3KiDqdxelcqEKUuBY31fzhuRDAqh6D+X+cWxU8fbeEjsGcmtPhUNx8iPr8P8vGQxG/V4PtPjLnu
IgstY6+6cCvaVHuUHcvdap0vLceUv9lysvBqFtlOlMRBuuY81k3inA1D2iFdNF6cpoJSWKf1a9tb
xULrLO977UlPEIqcX7qibFKb4QAd8KWnpGpAB0R5myT8QzDjAXWQ8EcRlCGvnap+m+zul5HR5Gfi
3EcZEfczRIHinCqFv0HOdFxEulyc5wbRygTrbz8dS56stpZy8wJEBufm6QziENFxLrZmby2srmTP
8j8f8uXUUh/BF1LdlxiMKoKZ04fMJxDFuJN3bH6Fh5XdSdap6T0MiLAOxfFFan0oJKp11VFyvMbm
NPoqGQgD3bfvdTB9sVSK7Z1FqOBsyRiXhDJS//fiVIdTd3cOpkTUAcFU1viisQsytc4Nop+oK0o5
2egdrgCiWJtaug6QhVk14UB4vyh/BBAXnEwu3xVvgP7W5sOLlbNoL4fKfUzHtF0BFWtvahOihmn1
yYOtIaoSIuJ2Hoy222WgalFwDMDsY1u1N2IHTZBpFO8sObiksVxsEta6VxmtXSIGRK9jo5QIrGfJ
M9/OXxLztl8jEwUUY9T1DzxF39wqNn/mhnuQCWR6KOHAa4rKiKn0c5bXJvJ9BBnY0Gj+9INzctM0
+6lV4XdJJ0rNaAmAHtSQYbS4YelILRhIeiZj0j27ZVehac4CQrT2lp8f/QQqoGhNsfA8ue1YLURr
GPsJnpdoyonWoTbjSynpH9F0JnY80oe4LB5FW6jbxJwQWmJOHjzktSxdQpyEyHvGGDyInEjkxHsf
VbnYz1Uihxuqvwrx8bkfNbfKVmJtQzaiFqLOqnzkJu0K3inioMu53/w5cpecKz0zD+6o0ncMcaWC
ifTYR07OFpHL5okSK0fHbpSjDI8KznqgbOMRqRjRIJLeRjVoKU19Skkais18jOJKP/MxR9nuP6f5
1MWwQjhk4uTz2VpsOpatNeSr+3lFsxuHfMSnnqMpSUvssPSVZjoQwabTS10JRRAG66cDRcP9I8UX
9BPZ3Ti6/nKv08Q3mD98cCJuQddq5H3l16t//U1z77/nVX4lHroN9+8wXQWR+/Rlpy93/06i5f6h
TZ48hAi7QhXfGrUtH7Opm+jg6iVhHpEVLSIZxOUXWd1ukG7ofjjsCJ2lptsw28BOra/OVRQUyxID
Cy+AauZV6XcjqwY09MA0tvLe9N1xaznNb2C5wypGWFEOfrZqhHWkbuJH4aAP5nTN3o/rX2XiOhvm
TEcbCdOgUIOVYg6TlK3z05SwyA6bhVQykCM0qyOHbzvEGCvcrewyemGduYOE96xXrbNoeezQ9Rie
SrcAXNw8K17PyaD5oYgdXVq5Olkh/MsC1BMBnXVMdCvT1e9+1p0kdj2HDEvEAQmGfNrwyyQ2HSL4
vjt4xCxTnegYSMqtrCPpKocseXP8jK6Fe9SZi2AvN1V1fQtNKo7O9zoFE5fFmHXJfj7KI5K3Skok
l/BNla6iAQ7a93qEcVXULVTO8bEqHqtY764dE6HaKtFCT1mSdyOQEcTLQr6I9yzlmKzgkIPtQdFY
KDvU/aKHaqo74A2N+NIqPQ5gUzLE7q3s4PEn2dHyOgPUP0lGtHgJx6zfqBlaY6IuRYFhO+KyRsD0
n7pmZCKBpKm6LXDRy2zDfUimBDkKJ7eKa20i1xTX6OL0zGGu45QEsZbv7MEaFqLICKJdQ9QoIAxV
96q5vjL118CotYOosqVCRZesH7ELrbK1qBOJproq20RoNoounxpQzNOG6v7BotpQM/Z3hyzdiw8W
da7fLUyn1lb1ULJjPX1J0RhEcno0TAQIpyqDsPrFsqRV5/nhLcvXGYTga60owY098z99ULj7TtHO
CJHHpx6zqqtI7BGtf2StjM1cFw9tiokbyvyRLIUSlEZXw/O6OURGZFwJ9hv3Y5vAXI+Zi/uRX1e4
aNks2twYj6HRyO3tvYxDUrEps1hfgvOl3c8N9ThNnsPKfhgdZgftWLBXVDT61XEi6cEIjt5U0ILw
b9Ib5XtD1PIw6PG0LITvg/sfwIy5Xx+hchSPDL3iRJacmXhXBFcM75pLng2r+x015oEH1rheoIpc
PWRl4t10gmQ3Ncwec9frj6KbSJiSqQtsgfKdKIq+CirrK6MAOS6OEnUwKmIoCdGZNVy/dGTPucap
5lzR5R4PmtZ8eG6JSshUr1pJi5NUuHBDG+a/6IYC5p6de/8sejDzu8qBoh2DkfsvG4J6J3mOeYUs
al1xECvWim/jZdCP1lU0KDXinnLO5owoigYEU/RLETNhxHlDQjnWr9lK1rRlGzD+Rq1xmvv6xE4x
M6usbawW4cYeQEwgZ+nfctgQK+xZorVmoYy2tOrC3WiOhnI4+i03pJ6Dm15XcEO1iPhBTzzU1mJM
hSYvE5Ewdxlxy8LNUx17Zhu5hx2ehFmIOyn1uQgP/81NRfT1XtMaLz+8NRzwd5O1ios59EHksGtO
2L8+1BNLqJkgjCInkk4AJaeERS3ASVGJdG2zdVR2vPsQwZdsePLvwKsJ5y0z7S7fZHUkzFKzip2I
D3PCHBmqgygngvXQ6smrPhGPmolJU05fAW8imEem4B8ZBcJuqEESFEB39yAStaj7EYOjctLf+E9W
jZ2fQaSigVGlyD6K5rYdYYiKbIjsDJL/Ucg2B8L5bNqhsne/YvaABUmEzkhom2whiqt4b0bs5ThF
ZbZon2B3AMMM+oK+lgZNgmLX/B4a/ZeLWkScFdse+6+VoTx6+DoesqZ9s7isxwA7sE2t6B/+oDvr
fkLVRpwmc46MOMla/N75aouc+AfYw/LXuse1knBJO8qNuiojT9/VGLUdTC3L9yaLhKgIy4UkN9tO
N59jfrVh9DD0IXXI/MPcAkrJnNxGkH6UjFVYQmKeSGnphLi2pj9L5BJEG9YFsiC8d1vlUKFs4RUm
G11ajhJfFPenTxcGijLXzXQqJBQtZSlJiUu8n4Bb4Rs/9cSX1ppxyrqyP1S+2d0TTQ/6g6tOVy4Z
PhJFLQ5QfouDkxaIjotsajutshZZYb0qciKJLLcA7eSghjFh57PJjiXXCgg6TDr+9cbKHSvdBwlC
ABNHdPqZIhE/eC42iYayjIJvpjtxmMYJoyguRyY4pyJbjwS80sQaVvM/I+7TuShyjtJhbwWBl8E7
QyeQRJtgf3NiNLq/bXTjGE3Ye3EfiCSYih1bHJsxqE6iKncNzB08m9mIsDVohaOBKbX8v22WfYuV
qsR9VEvhgE2ssXvWatRuHyHyBUmeazrpQxQ6NgYiEcUwQIVYCaQ/JVPK7ogxZL0YK6vFFUUK+6Nl
ZysNm64664eFl2Ct6+NPvZLtglWMKrtbYj+/nLh/UvJJWJf5CL6xGYZzUOkHts7XatLCG43OSVb4
CzTK2Cgdc/9kgoU5e26zZL+9WnRDckkUXhGpUxgrB5XVo1zUS4aMnC10Iot50eyRG5iWtqN8g32v
7sYOByHTxpPWeq3LOt3obMKAYm9avFgqbxPUGFHq6UJqE/ZHgAmueOEyaIQPuqqYy0EZpLUr1djC
tOoG7X/k6cZnTY/3aZ4Tv8OSKKj096Ir8Cwc4g3yS8HagOiX1c3J90p5wcsRZrKfZasKQobfnBB+
BU8SsqUryWy9eiFBFbhUS0TZgk1XTB7RtQYKlxAFm9PLMVc7/I3tapUjUVHZxBrb/k9lcWHs1sEq
hePH1jl5QxQuAwy23DSU0TXFojRQCFe3MsK3Wog6PqaZRfsndGFkyyCplv1o2FsXrRspr3e16nMR
0KELdJMrrftwxatOBxfTvTj2FLrECJL5WPXL4tU9jS2KgnaMZe7TaKtJA0RgCbx/00lbZhTjkv3H
DybP/toe4O/nkhmhTQRMxx6Ze+pwc2zk0YBv8sO91Bl2kX3rkUDaseMpnwDT4p5h48Agp/zROSxd
OPONh2Cw7dkyXluNjuYUrCdf+lO7eMuU/Xm6g9TQrM+xP/42aFymFS/KgkW2ZLmXTG1+FgnqSCqP
6FLpWsyaho79Rt/CMUcO9RUB0VMWVTjgmvDEYHCvYsIJmg4pfIzkeGnWk6QIWsuLXq1fXd4XK1Re
F/gy4w+asIVj81lm4QRoQoztElTOgKKXcW4KaZN4lXsbUFwfC/tHHuOq58ne96GVNrXNQrBT2tU0
AWxNzT+CldsYjv9LQod1kfV4Eyv9+OYUBCwIQCrSbwuLRHSNtGCvKUTynFC+obhgL7UhXrl++zQo
9gYjXOAjPlAsSZfZbWWFJEU/o0JpNmPRN6vBj/ONZL/4UpoujDBx12WcEp9p041hStlp9DlhVxMZ
DBTlwevDGmnKYd/I31n5+0tnsNp1Uz5WEVatJX5dxPPXppO/K3WLPAsCSbaG6XHdvoDI1RA7Cv0l
Lp7JgtmgshzRX104GKYu6qFPFqHl7wxdkhctkl1mqL8gJFbogCSR+YqZHxXyKg1xX7FRDJWVZqdo
nkHb8Oo57XfXK0pEnbJf4fg2qhHia7H/E3BusqrUZywUn1vwkuy6oJbaHR0kU6e9jbpv7BWxtn5o
LEJmgIBNV/1D+AYJE/M97IxL1rNpHzsnXaVbonRnTWb2z5gerltch+u8Orljg4FsOmyx5zVxl039
3fAD52zi1U9R2nwoDYbycj1c9ZCZfzNOcr0ZgUCs0dno0xmhU0QmGzDDCBt63BPLMmsQBAu/t1yk
RZljCixp0j7vmWT5ulIs6y3XXl7FFgF/LAWOWr4pE8O94W1Yr9naCZd9YT2bfbLS0oaBQEKGNo7f
8LiPV4rDhndV1sGiqpJX8KKQHGvW0H0U4JcEetMsMRKefGJBRvfrSopfEPO/IZ1mL6rX1kSBrggi
ePfd3g7UX5kU/UoC9WdVaJgFlijzy6yhiHBv064ZNnbCZkGggGW3Y3BE/uC9KURB+wSxv27IHuWw
uBRToCodpo3Y31plYb3Q8YV9oLJVqy/QvSvXvWROdOf8ofXDRZCZREsmoG7h9ftM4aWQgBEyEe9D
64VR0/SWobIvk+DBAoixyOPskkTZn0Sz9kVhfq8CFl69fvXtOFnpcrwDqEI8yK3xa+lcePV2d6hx
M/OQql4VINDXjRaiyNO10cqUcKNXpXpYSEbar1xN+mmjbOS7LUD0QFvrmEqptWVuh758wuaNbehE
3xIF2BojkUw/fU57eaPj6r2xfRP8MJiVwOA2k7I3R87CQ7v0fHvSEPvWaj5q4/HLMNbxCv2ZJ78c
f2a9+apmw601l2piFhvT688j0pyRifJchf+kYprnDBlrO6vQGcxUdtT0ah+5LjBtc9sF0soO8Lp/
H4L8w/HiJzNvTr0JplHuXvw63lVgcKKeeyKsqw2SbEjTtCcf4UAAbQijlbGxinJW4FK50kqeT1Tl
jXhXVFlHEHdAMw59aEQD8K7wjI+h7j/wpk4WViw9VzZCNnWgvldJ9LNDTk8r+nf4Zb+B7YKL1bZj
G+wbPXkaoJEvYzn7ljeIlwfoMLURiGqux6OOidg2YxsAzJ9G7Kgat2xAIqZW7b2mueFphIegTXy8
q63flV4hTcEbFo9trN5THclfBJQXkt5heSmnyDbFJ7VObxHSPAtl7Iy17jjb3nT270mFQB9qQ/us
N2r09iPA8gPwCB8fTdzYj5hiZBd4w0D4LGTTVZ7I3CWyQ1S4Nn7KSX2K5O6t4Uux9HsNAGGg9Bm/
OKV0ZOR7BFyWL5rG4tJ7FwVn+sxQt3XY7frM3VS7qks3FZeFQYKVP3uH/YK9vYD5f4cUsJVfAqJU
uxo/NbnCWKx3TlGG1mejReynpJsu4Ont/h9d57XcqrKt4SeiitCkW6FoSZZzuqHsaZscmtTA058P
zb3XqtpV58ZlIYRsCZox/vEHL/zJcyKUM/hp5di8On13Mv3urvfygDyH+7qLPuyCvhEJGdENKn93
0dTjT1oNAaMZUh4E0Z8z5wYTAWzjS8qGxlBUNOPGs3QIxv1O0GccfLrlqrglerShDkh0sCoul/7V
6QCV59wbV/jwXPJ0bFfSxRFQFxCOrCJ6qpz8p+7GZlV0uVpLvycxEtFhE+uHQfcfXIsicopxzi6j
4Wi1VNl1H370Hdfd3JtbBzNvtx3OFugdzinZGos7R8uZhsoQK1G4U1juvuJBCNEpAkKzwA6bweJD
dvkYiTyZWdCNYt2bro/g3/NWQ6qKdfHYFnhEDZmmb00Lz4a2SR4IgO9CvO25wVFJ3vvf+tj3JwMj
Mroxe++F3ZMmJmw3/f5DdDiNT1oC76X/aFp/Gw1YirYJGcV+5q9zIIKGAUcOMX5d6hoXD0WYFGkg
IxCBXtcLEOtsX8yDdyBk8tVNMO/hDt4P9bfRURtPisuzwl8nTU5Cq0iYU3goppwuMnkwWH7WqJNg
NZHfMyfyFCXVLyGj8UoYPWMl6zlsPYJKyi8D5zpvblBJGCSChYlHPmd57iN5dCgWo668HXyGhuSL
YHV1RkD0Qq394jG0COxoyYowxz+TTQeQecN46/ncapxpnXn9kjDI3dwhQCpt8VGVr5kpuTpU4DSz
frGHYqQYz7OV8KjBnBzeRpT8DuDZ3dGuFocse8TvbVTPdqU2hmmPFFaEZiQu3g5Of6epsT4kWnZn
RRTkZNKWpl3uLJApKWdFQRsPO0TaVusUawChZyeOvvC3wjs1g7MXG5IrgJNG+wX0+0yq7BA61kgy
cMe08raosTHD4l6scti2+9mOmnWLI6av0iCd7XPT+3BT+x9buyFq+ZQQzFoCQmP4CPcuqzdIGe/S
QYitXsp3TBZu+nLG8blaLJo/pCC4evQNxPpV/FwLl0oIDpQHSLCSekTdWSXYTEJBL70dpCWbaEhX
BamDuMeZUIXYn2mPBeSgJjLbHXMrrOnJ1J2TTLkCYz7hTBAqwVTyx3bDYZ13OA4Xm9hwdokzfszj
DcyZ5xxG6opcELkpDD4nosRvUWJAG5np1x20St20QPD2q4Yz38JtC3APeTPbo2ZsHQKPVr6tPYpK
bAcMbpdFqlrhg4oUaoJAvVvc5Uj/yFjYNOuIdeD7EFtfpqNN29AcMEtGQoqjIe1pnmNvR0Vo+5z9
lYZ2gMKE2MQY/Qo1fpfEeCRl1q/ldOXKGYH7bVyTWDeBEG3sBU39PvF0E1c5d52RcrrSfM4S1zY/
AVx+yFCuj0PG1NpkcD8RVZSZxgOGfcUaqgwCSstY61llLy/YJGDEa9NksO9lO2HjS2uM4941Bo86
IK0DrOZa3FO6t9SQ2FF3Ry3hbKsasWrz+jnNS+RIzg3GmOu5on5WnU+qLyDFysnjnSJxHNfO+daB
wl6L78nw/9TFnK4hstWcpv29W6p3t1V/cBLdz9MUOKbxUY2JjVuywqIX8UU4Njb+JKoMmIPotXgc
Mve+bz1kGWlxHryeAYrUGWT776ndkWhfWE9h99ALHatuPERJECNxR3fD9RiX59wWJ2E4XLpRR54T
c4xGdy81XcdQlWodJ/odgSPP5kAqpt+X2yieHuLQHuACuvcMVAhwSUM8m+c3z3/wHA2SiLl48RXd
GHRdSoFNgYl9XbROzWo94WJLzPlqaHrmDfFOq8tzmT9jm+cz7Az3nJNBU8fWZkwNOrHBYFczKTea
6ViBd9NGGHYC+sFdIBvc7+GclO5GSf1Ny3NGLb25C0c898aQMLwcGzTp9kE0dH9iCfXetg7UF22Z
U2Aod2VTVdJ9qYueHaikbVyHc1KqEj8wqsHhbchDyH0tCOHmltIyAs9Lvyc3fouZU05TXwTagDdg
6pvTwZ1eK5Hkm9Dc5YKBdIkOFQ1qtHHIgalE/5aV0YJQ0/mHKd+a7zQBNwRmJY0B0kpenbZLEZFO
TvY8jty9bVK9t7Wi5BicjjFhy3g4JiTad308lL/rkIyMLK5vuyjeWgSJbP1pPNaZ+ZVrCHbjFOf3
xW9Idn9gJD0zEK+2GhyVleSK3/iaS2/ocykp1d6W09bHBXiagNvhc8l1mEW4s1XIAiVKhJypVtqi
/ctDsJAk+a7C/KS7GqbmaU2yUGgzekrafYzBxgrSkrtqKvNbWdhO5c+G45a7qDI+XEPbu/MIfuLD
5rHq76rC6hS/7m/8Zj6pqNVWmvHtjOUwzr5ZFpAGiwvBfGliIlzvRu6mXIoIDstPKDFQv4df8i1v
Q5+I5YQ1yiDovBjcF98Yj1ODGQk+c2TJW81laMRnyZeFJcp9kvnmTlsil+N6OuW2jut7UvbbJKFP
06n961q9cI1CA4FUvyyHzqaJph2vYwreRxjfxgdihZ4zw9TWJGDtXhCShislQ9hD3/74Kj3rFWz7
yS16qk2IqfYM44zoaqQTxzzzaVNZokKLgpdrE5ItWK9soNe86475IQ24VAWcCQDbh4oPb1Uq617L
MyBDYb0NzC2NSA1r0n8WPxU/OsW2eIpmZ2/kFOgiIpSP1YkKAKc9eljPxLtV9hZEY5yEAazu/Di6
r39YeEMmPwpl5RgP97mgU3Ma9DSpIhZF6G9xQ1DDZFbkQaknDEjzLRyuu9QdTowVEPpp+a3Io25N
E3hSi3PrZD0an1Hpfbp9+9LqnJiZ/UL2xaPplGsRkVNIBDAu4ATJTjdtw9WCrAuG+L619Le+s780
dwBXhunWWmTXpTpgTMr9350TC8XEcJD9bSbxAWcBgAa3mDcb7+HSvHpadJpxKsRS+5SZzgxw1/6p
5biVrvaSE0m8cmNLBaqi8NZt2AwhZwtVTF9WPlJxoa9skd9UYfdVCiQUcT9jSgn9qekf3VwcrcJp
A1PrqalK6Pc6BtVjqmlrseTz9r6xQQpOFH1a/YmLeI9xxU2TxFs9s79jrwGnapgCkqRKlGKyM6f6
NnMIFG1kfqgHIlN7vd7ACv/MjBa6qElCt51s0ozBc9rBfwtLjIPtDX/CsY8vblJCElanUjPwd3KM
eIXoMVTWQ9ghoQjD37nUnkyihEanip+07APPxNKezUCLdNhYyryd8B5bW53xx+27g+knj5Viso4C
8LsLlw87zj8mY3jNSnTVpC3gflXxPyfqdsrUuUqh54XRJyXEJ8Gq8cqthq1dTx99vejydG7kWuHD
CJwrvMdN2HbU5gtSOe6Y4sVrawKa1ROTAHgTNCH+8G0SKbK2PBU5cUqV/VB4SjBB197nSJ10iYW0
X55NlnDheruuqrygUJjcld0mUclbkjci+JV2/ce28q+wruFamtV9gVtj5xYsLk5D2pLdYY93nEu1
CcmPh+WEVtuoj+iMHk1tgJyO8heVxX5S2BLGZIOmqQ6o15cDZyOc81lYa52ZKh5cEVqQUgV60M1j
SlJikm3nyD2ioPx0hPzI5/ky4PPFWM05c4W8OhlubVq/9ssKDqYX7cwmDVzVQzjWSItK51vESze4
1s47aVsbG3sD7j8GeZR54JlcXcOsD3syHXDRhwY+ej0m6/xTteU/jC7gjQuesrKo6DiLy7OVv/Qi
WxOgetfE3Vs8MAJfTsF5ImIKYom+jRxOFPQTt3Me7kDE30K3uwW5vYQY5dMloEPLpbEhheiYi+Kx
i833YnQEjV5MWYueyvNxeRIdN8YyebxSBSIdUAbwuN7TjT0Sqv1Wd+kfut8nVKDdAdt8MpXncI3u
5c2uT00dvlMewMeIKVFCgPqTxiCnMQhb6Sc723iFuYdlBKyXThYlg4zIh9ROlVtrt/Sar2MBtjv3
7pa87HJd2Y6ipx/9bTFjRTOLPNuXzbmsNAYEHGDjZdof+t7VhBZCJKG3H2cN3WSBZSUhWdHoRTdD
omgacU5gtq8FdWoTWzzZu6ktjBstZ4IlUSIwiXBp1LxYR55h7KbJlwfkccmqmchgGg2reNCmFtN4
N2t314d/t2FDn3Jdtnm4dpFwYMRfm9yrOsLG3aIiy2BJfxrfPJFgxk2AheOOUyD96VC5SNIROX04
4MiGgH/qWr225//ZzgaFai9CkD5M7GltXua8aXcDFXqjuIcNDQBk0j2SL/zZd/mi7OLuM2vqIIzB
37nhr0tmZzDlxic8Mu41LXS3VBcROcf5u9ZjqFpZlPaOMn7C0uOiocIuwvDLSkUfABF5a2wDhG9h
4qyX/E8Oy5InbxK1lGyxdoxdOHyh+yf2zT9DC317YhEO+/CAEzMG6SBWnW+++hmm3/a2nrSzXN4u
WSYwlgN9SuF873sv+Odhe1iSLDGXwTClp1l3Hor6UqdiWKW5eiwjps+55x2aWgBpupfMRE3uet/N
aGPiH8m7yc7v02V04GsFsOHYHIUeqaBtLK4InxR4VGU35GOUaxnJkRl+t6a4VlzW1qEcBIE6Nt3b
3opigdkEzA7dwZHAcGs8UTPLxaExajapXV+adHgbiyVocUyHXWgVvyqZ23OH00YEvK3bdMpW5HOD
nSzmA5a18WP9LZncsx/9mq3FTLYhD82j4awTr2R5TB8L9RJaCe5CHj1aHFnRCon1auzwchirMfD8
lN7ZtdWKmeouTXTjNfNZrfGOpbsFYhkL8qGM5Ch60BdnELf02E+OXry2hZdvtEYkEC2iNzxGkLB7
5g41kx5A9GAZXEiHLrFDIIeAVH2wwJ6bwUSsbvIdm8u0ddYIhrSzbEeQKa8yjxazsK3uOZ8zSv5C
AVWGA8MVLFSQuDNxV91ID6eRu+SVuRdkjmOgaBqejBxDQN3C8mWoamhVAFZ2/Z2lEu+XUu3zCZzZ
yG3/YIpDV3T9aooYTLUz4JPrZp89IB93m0pblZAe2ryKD1E6LAW0+W4jcVmBVkbYnYzNnV4UDFZM
+6taRk/hhwRhCYxMo3btTi2YJTTZ5iZCGthTjNyHDmdlWQF29jq6k+F2QF8XwFGpN35p45I+MfZw
lsSaXoL4JXOvmJdxwuCMkO2aGJcKyrvV2GT9vSQzfd0Sb7QY8h/B5c+RLYO8B7cZcdQwFLAmtVR9
SAeJ4wd3hFiKMJB9op87pW8LasrV5KKcTmYSy4V+8Wth7YTeyy0OkYdZpu7KycpNbBLYMkfcHKJI
tEcF3p55ENzTbHxxSkimevfM1Izvv5yh/oDIhkmb3uQVsDp9Kz61qUP0yrDFiwEXCVkmp85lfiob
QPvaGjVEsfhB5n6xmTuLm7Fq37Do2ZT2Un9WSOPm4WBnrKR5Ur2UzmztXbOCzSyq6Ua0y0yogU5D
/AYcPjdrqGtz8sTRbmxEzGmhKYEAuwUI5EKjzXLslyJvisA1yjDAcqWEy4nqtU4DIttKDKCWS/KS
j7xFNnEJW3ljB0KIJU9BnmyRvnYOn21odM4+TTIITFz2yHxeGof/WNq8JXoikJjIYVljJON4w6vt
2xCLs+KE1ed4jKp7HQiFM6pchXwrmzhrsftuG9o93tuopy1BIwNTZ6osl1nPxvHqKkijYS9o3IkX
LohY7UW5Y1hs4RGz9YdzFRPeglb2U3dE91CY4WZIp1dLoboc3OG5DdF6QgNqdiVBNCzR3WVMZnbS
fgUpQcA60VdtOf3a9fqbiBkqwKFvYowSTcDmTv2NfzMf0ZTeDXqvET7toYAZPGI3SoQJsoZPa4LQ
mYSN9CRslpzJdojdGhcSqv/6LKaO5WYszQNGJdVMWWFzzona+B4j+1M3f4dx/sZ6hnALjMJteTe3
jo4zTggOHX5ivsWrhels9RwFBSND3GtaRCbgHpoabhUzZocUnzQeNm2svfuN8Da90RC4lmTVmcmf
u8lnj3Q8wUyHsVegG1Q69DmIe6lY6Wt3GPuIAE+MbM1t+5Ba4XTjhDqzDVofUULJcaNq3Gp4wcND
fuy0XN823h0eFxSG+vQyjMZ+bnVQ4bF57gYmIo7qAjMq22BUvkGhmM/89dE5brv33GFEZv2aQ3Ln
0e3TBHNXHIYRqhHtQD8ygI59jZp936Abv0TkkWgVYdaEO61Vq3031fBuReR65eE56+FWiv5beQD6
dQoED7vyqQMUIO/Nx/e3dAA/rOchpD1McW/YIND51Bb1WuxOx9EluqBI03tN1Ljn2xOn3FxXqwoq
ytoY6PncxRO/rcsf3VJf3aBTsThqb7D27BbTbVXlX3A3SK/E/ZR5L52x6TYP/EcpZ1WcAr/Y+S7G
Ahey4TrT0n2hE+jchNadbP30pmo5ty25jviQV1PtQw9kCG5I397EnVK3tbexYM+uvVGQttF/TlN1
4Q6bUgVbK1Ejn2uqEh5IvZ3SRbDb0XcQ2gZBfq6/U0RWtArpo6n7YRBLoNe4shN+AzjJo6q/lA7K
XO0PWLv60KI901cdaydxO7SM2eax/OO6izeLoDVqWoh1A9+Koc+7yJ/bS7L8sEHfCpi0N9dNTi6J
MgJ5qDOH/7ZdImjCcV9Af4STa7KWEqzuaT4u/s0wrWvJOhzWxlPaJynngf7aYi+xNkzTDSJr7zmO
vRaz/xolsUDlBqZdtYXaNCGNTKHQQaSrZqzkQY7t0+DW885MrWQzNPntCGWM2THTOavJ5Y6Lh2Bj
r8/wER6Z1TKJo4RjjUWlj00F6PDGatr+dqi9h7zkAy3nfFXURnPb+V1NhvfW46bv1XiydIw3cB27
NOEEyA/M2MXjl+oNXMRdxvJpb7xYDszCuv2oJU4uKLoohYqN37iXgonYup5FG1C0bkKkgwMjVjxz
lqAN9ZM20zp0ho74wpus6cctxt8wF8Nbf47OkUOvQlu2zcw6DpSWgccY6sYgf4AiZ/xhycU8yvXu
DKu5l30GDONEL/nE/FNwX4pwkG606XckPzgNLeM2sa1h3ZVFtNVykhGk4f26NhzNonsZuyFcCWyQ
A3fSA7edWJ+t+VuM3r6xiMlOf12HE3Qu8j9yRFurux21n0aIUTlFR2XVz00GmaLj5DLbJ3QcR7+B
4ROF8SZMGlw8enPl+uLPojihEMedpPVNKwhN92TCvM6Zv2yGyDn4UH5uECo+G0vMeFRrTNsrPgBX
fLc5Ykt0RBXg63YMPUxt0vzJd5hTmy4ZRXiB3DjVdBkspge2CN/jOxgorCpBqOZNb0LdH5rz1Gf5
DlrGYRrCC3EhSF/AIjJjhKrjcsxoml6L0v5p5vEsRH+hSsW2OD5mIXtwdmoQgtptJnrO7qU6Y45y
cdJYUM62BciJtZd2dzBGctCL8VGbZuPcwwUy4QFvq2RfNJS4nW/9mJnVr0qnfdWqbgbnyrgZ8LmZ
KDMlpKfGi48dszQwt09TdN3JICw2jb1pq3Wdv27nKvBFzNmS3Oc4MwQRa33V7LBVOsCZ5Fae6Sb6
/vojd4gTC0eLxGntJ7L7z0xkX10Tz5z95k5JvheREF5I3vrWmduPyAKETNNFTp8yQbPIeDIrLwoE
FmUgDExsbT7moRm2EJ9YYW/SLn3m+39wv5q68dcReAEwLaB/6+srTdFW2dHP2I4Pren+1Hn36k3t
I1OIMDBTDZ98l+AsH0cpGdIOCGNh7zBH1UgNdgSUbCIPvFVfzJKWX2fq7IbWEaO0LyNUXiBLeGLL
NKvskOfTqeVrYncOw+hg/nAzWdPO5Qoqo2pXsHCHjvZm9ckv5mYlyLMcd5UOrQ35e9z8lG77Ss4U
aHRZXaTYGiF3TtZ03JX9fSEG3I/LLzPz4KaPm95LoNTpoiaXAd1pvcTPaBMEu9D4ds0fBpreJp79
8wglbV0aWCNAvU6kDqfXj29GezZWaRKf60ojtdIqTg5qtayUxa6bbH0Dbc6mulBBXzo7Q40RbmO1
JIJFPpgcGIc1Lv9M3DQ0pRGKTtIdY4TXvuxY4XdTnf7ElVxMp7qDVWr836RyCgcUh/KWJmzJQJvU
izHH/hFkIxhbssc9OzE2o1s+xXVzZ/UEQWBTzZ+RrFUB19UDLUfvbZ+djFZIMi4PkkknuMrKTnjq
3UP/xvRvrJlYjQwxRsKdYE7tZKfVG1Vfulk3jmUxbFWpRWuZUZTV7b4qDepWMOGkTPj2xnLjxfM5
KViAwliWG73ubiKP4PZIJ3YBxpHha+3GzzXkysNbPjabZmgpAbroTjMo+lVZfUcM9GRKGKUfacla
m8xPp5MXoXf7ws+nTWdQ7+Zd5oAHWYiFchxZQnXXRdZXLY6RxapJTqDLOOzXh+NQCRuZ++D/kJHy
CfglpPfCBGU3EgOHpuVo0ZTGEWXEGJkXBCuXWOmXRPWwPYxDHeXF1gAecArnbjT9hcpDOVpLghQn
uK51Y762Y/IEw5JyFB8quxsQapTObTlbj6GVPgjWlK3n9rusmXd+bdyE3MkRiwZ9xYCMaMpNmoJG
ktiZJs3KlKO1hkbJIy+i2KnhxbQFqDla7qSKd9NgbN2uoyoBbPTJLFjVWn4SY/MdpsN31jKrSOeV
IR9y2fdcNEj+wurNjJ3vZLR/+qHCr99cW3pe7zC/Z142Yawg6dqd+AtIloF9XTaAZ9rFquan2HZf
Unfc66Z1kDGlqtaZJ+x3kHsIODo9N0S79frV6dcQ2kbqNTcMrCEGX2xtyR1WV19NiW1g9iUsQQ5b
dgDUvXdckLi8q17n0F830yx2cWc8++SwSum/x/3CiE/ik6YgUkC0IwWiGE92Qe5pZQJwF96zjotb
H1YXDI8GmFfDoxzAYroIMWzlOmeEYwTahfVDgZBh5c/Tqez9dTLbpCixCxOTk4VPCmNWb2t7zYNl
F59NS1aZprt47UNI04cnXwAvWz6yAtt7VJ1BwWavWXKZQOORAA1XPGcEdCI3wV7MtprPUu/XGixV
SWromJgXx3DJDMU3MAVz7+twv9zymAu8zmVmr0Rcok1H6hNK+15a7a3djF7ArJG2m9C6lSatu7x3
2k0Jp0d5MB/H7mj2TIMjximN9gcnB6IewVZXqsFBEl6q6fLVKubleW7Ql7oHIHjWxsSoua/Nu97o
XwodCAxXpEWRvtMQdre+Q1FCoahQqyxjQPykEmwn9GgCHKD6DdsP6RnbvhGn3nXxQ6lJhsxYszG0
cCsAzb47q1p0Z6NK+jMAxMxYT2l76CNq1Wr1eChaUT+kQsseaKuX368bqhb9Iz5F3DadEC/IMI6M
oLH1dvefp9lRG4cNsYbyct0EHYA5hC3e/z1IqqKUddwbN/bc1g/gMPIButhjrWPecd1kEe96K319
/3eHZa+cANMtf228/vdAAOmo9JWpHa77QbYe70dJfP1y1OsPtCX7GEElY2v+suu21mm7AIadjY3L
f7fliRcYmPpcrnvg3TXBdkkBtO1MXcQ4/OcHvd29J0p18z/bBbUBVjqKgdZ/9zekg4uFODEnNW//
3ZwTrXYbwTC6HvS6Pa8moqdi+45eZFubMrxLyfR8kiHEqapW3c31oeNX2ZIBN2+SMe2f/CbKj6YE
Sywj1XPn6Lx7MhCCHPlNF5TueFY6i+/1pVPjt0EEWe9wfZjmfrpD2CDWfw8chepEViGg2fK2TY7r
XGb83fX6Vp5fvzJ1EefrO6mEyMY59CIACXZXvSz2tNNacH2YoDw9K998LqTG36HrF0sa7eP1OAav
BMpo5Ol6ILuE1CdLP9xen+1SO5jg9KKqyav76w87l802a7i0sMqK46B3KrwuVNEG16dhNFf3vGGy
b8hgZhVf9imSOYZ1xVDr3+Nk7TTSD5Q7QApz23VWcgFij7eVGvM7RvALc6Cu77Goc9dVlAwPGZaa
6xZXhcepkU4Qor55ovZqgkg5+UsH+sZ1Z6vXeMbPzs1t960c7XKVa331IZr6h1BZ5JJN+eoNafFn
rEtkg6n1Xc4Q2XOv+u1GKoqCmQoTjioY9JqFY9bvwpGKZtWcQKug5Ba40AgnhX5ANDHlzsDec7WL
mYX8MIg4Wt0sv/PGvXdh+H8lKn33yrj51OkJqN5a/91kdrvK0nzaJnVENIpvyHvC5PHVzF2WoCVw
+botymoklbNG8TNIeX99wogMl0UirDfXh9cnmgRwKI1yjXKHQ/3dr47GjQPFbH192C0HqFzT2wyj
h6PeP+9B1nMFfZo5mq1kFQdz4+pbzTJwIV72uR7fZya4G6U9/P1Tr0+UbdjvypaZ1nWX6/FHTYfn
P8TM+ysJnw1F+n4eMuIiGYFeSAsq9r20UyJB6/jMZaZtOm1MHzExSILGsLuPItduTbtWETPi+9kL
419Z2J8QvP1X5ZgeEcgdslnl5qAqvjxqZWUdXVN5W5rXgeu/MJmLW8ObCoc3u8LKJbY3qAf4guZs
vi/d2nkfHbMKokjND76RVFvfKbDbKdrhBna/tyO1ObwQa9quLZnpLzAKUwyT4jupZw/lbJq3Vl1g
tGA5itEEs8A+i+UtJw6DoqjKbjNap52F18I5y0S+6yUuKXnJgKvI1HTObKvbWSWsglIw/O+FUZyN
fjJ3ONtEZ8M3nR0XinvKMoQAFQsuV9lNCelkVyPt31t2Gt9TjVDSGa7zJ8pv8JVwvjv68FXbRdPD
ddfEnjVQmf/uOg7t/+xqIXN+0Mn43g2dzerbZ4+wp9IT2Wc7FeJtitsycMZ1G4DnbpC1ijeKuNB1
3ehM/UJ1X5gtycppOG/MZFb31x/Ey7qBhZ3E9vrQWPYzBpS4kVXbu5qljeDuFCwbV5/oYCZy/Pu6
OAVU9sywuWEI/j2T5odRFUg/XP+7rvaxvUGnRDfo7StSVOBYKsTA6BLuLVyF15B2xs11m6q88J7q
Ho4+jpvMhNjvus1V1lpN2DNdH6k4LG6xKNtfH10PhD7N36ek50Fn5hjXH7awQ4KbuYb+3Qafs2GU
65iH/p/9mH+sTaztLtdNte+VWLo1+6ohQn3M826tmwp2BQBKt9VSwXdHHGS8QY2IHlObM7Ass724
3BYgAiwbwSaz4O/jVjYY8IHj/t3z+hDjfKCm5ce/h7g+UdlRd3EYqeM57WEDo9qLEU76/grcl1rO
H8GJ+f9sjGxH32sGEP/1hdcdrz+uT6BDZRy8vHiea+jjme8coqUBlXFj3Q7gP5eokNBacA38ADVs
GfLY1Z1ZY1Rhz+hxqp6Bo+WWP6VZ+fdJhPDGl+Dp1+2F6z9i96E/+ku5KyWyGC3u2b+sjlWNK5Q9
kTYdTqXcXLf3MR2R6utXpjgu5kQj8aopo8vCJnLWiJV2bF3OptX1124iubQcB6zMbe143dSkGc9e
H//99br13+cHH+FaXmi//7P9+vB/ttmmZxwKmW2UB4ZK7tV0jM3pPz90vb1Pev7XWcAXL2LXfjNS
xAd6ndUfDO2+bVE7n5pbvnSG0R2EY4mdZ6Txxi8sXD/wgH8RlcH4DIVHaXqsp5GBL1OTJ68kXhJq
zIIJK0PbtNZ09HDZCqfUWsMKZ/0rx9tJyuJnqjH17FvzLbJbHQZp5dGxK+1Gve5NY8BWVGd0v9KV
Fe3DoqS17pB2eWbxWfvGO/nk2gOG2dWxNLEZTNwZQsLYb2VR56+DzhBt0nJjqyHh+nDCgAMUm/51
aKL6xpBNvtURiB2qPipevGk6AEaWn4ayKlRPYXgs4iF9CEX0e3272fT4BuVYXdyqGG7DiCnDuLxg
+TtgUDLTSuEGlk4kdthJfqVYkp6vP6xy7M9S9NBrbQ+LA40uXUKQPFtmIsbVdR+0nMuv0LTRwInj
fx7+c4jr7kVdvxZFXu3/PXRuQQsW2tBteok0YBznA74t/u31UZkhQHMHbO+vD9MGFgv01IPy2luX
gWB3aEFAYIfpSVBJrXmdBuaqaSnkuzszt07GvP2s8uIVmof6Q0Tzuace/WkHB0lWGZFgX82rykMm
sNJo5Bc42o/QtxQjDBkvEovcvkAn3qFTXszlKlfiMGca9SohWnp3ffjvE1muFeQgw7McgLsvyYs2
ECNuYUh98pxY+tu2huKrRqc9xFZ/c310/XHdxV72uz6Ui7pIqAi8rHPvk1HXDqWHrqtApU6XPmCi
YCK+WifL09d9Gi3UgzwHE21sm324rf6hpddu/r7ENPKgMSP78ndnvqdbg2QJu7HdewRDHOSf9/j7
ehUWDWcW79FCKTiOdae2QQcP+yHKivIhXFqORG/g6vyzzWv7bp0BgUHdwRIO5Yp51+ied5Lm/7F3
Xj1uo+uW/isbvh72YQ6D0xsY5VIqVbZ9Q5RdZeac+evn4Se3VS737r3PxWBuGjAIho+USpYY3net
Z4XlHi/LE8/Exr2MrQremHnKKwukbIie3OKLuBcbDaj2C3Qg+UbO0QnWrZavUwu9a1xr3kPgZtYy
b4EjqGGPjwp7J+E5LVa3PjHvxxiVjZN50uuK/pr7mrbckmplbdwnHGuJQDba94bmL/IwxkCEUuCO
auay51gnzdCMu7F0KZxaKk+YmOx4Ngfqrul1OBNbLY1O51Bb7p72PIDRIIiPeWWWRwvFGi30MvhS
WMm2TEPjsdRyC0+FBw5kTIKnXKKAMA2wft6TXmpFUd32v6AXOe9pcsaa50OlnugtUXG3ivi+i3Eo
AfAMbkLXhRul1Bktkthad4Op7kKuEchhkoaOdpjtOb/V6yGRraPO57O0oki7yWLi7wJZsu77CVkE
j3dWFLq9rhp3HGbJlMHQWINyoNUZU7iEujWtSlHwH/Jpch5Xl3pGtoX0fQ+xpR4GEpI73SWCEHM7
Pe4lisTm1tQa/y43YVYEgN6WYlFMGKBbZnPLnf3kAgI8dBkg1jFA0SkHUgHprlyn0Ummbb2dmcbl
ofO7ZBklcf2oBuFX8V+taN8Co/NfQr6rFNMHgi6mfWxQRTt92ie2qCmUoV49jtrUPujcVz0975M6
sTJT7eT7PoWJLiWK0x2WKmen1IOzo+VJf6tTaUgUYeqtIq4NJWnYbErFpvez3ARrC6kJVnFfJA0h
BTo+PlJ1ZxV/PZRnctQHDwjDzJBtpum04jKp44AAYFSv9yNG2mXTk7heBb22z1I1WgZGKD1hkr/u
+Ba+GEF70qtOe8K3kNIWr34Z6ibNtbh11f3+lDvB96HvjqqPMhnrWRFRRnxWy1R7kN0yv/faNwtB
+6y0pnreojhvtrzfJ3fybl2VLiKUsWhJFq/knmssjn8aorK+FLORAhAgmCa5E0KYtK9luF27Mpqe
18RsCoNWIlP157ViGTJ8uR01StbOIG1Tw9thGdHXMa3iLV15aSvWY3yneCpWKklvw0WeRtP0c9KZ
GNWYSmNsxIBKrBWzYlLYBr0yqwlnOeSM7+PFlkHxPjdO6e8GzvMnj5/GJu4pzClJkZ7cVElPYo67
0MeaZur2sr53PWVjazTuxa4/j0Vt+n1sDbt3BuOgATtsewcxMQB98j1K9KVVJLBL6gbvt5i9jKkG
2h3vx4jNpmwAa2kJlgmQGXr3EvD3XZrWMvXpaVaVUHyJOTGpPK5dyJP82WVdq9pDcbgsR+YYrcIE
jpnYGYsjpKZ3x6FcSZOmqkxOVzY9sjfH4MbJmqdDL6OvyfFqgetrneAEyCA9ebKfnop4sPCIu9rC
GdTk7YZN3QLwu6zNNc1a0GnVFmJHMQGtnJ6qTTmNFCuqDn2YyS3HGp9GQtLM00i78UAYQjETi1iZ
snWlQVoSi6qOZVTCq7kXi4EZLLhAqve5o6qnKNHvxeougN1a62TIhUM6PFUKrV4eIawrsVUy5GuS
NMcbgrL1uyodz4d2Yr3ZdWGTw1NiJzoewxKuEM+j09tSYmiCmSFpx45cpSfVJZnk13erT++W2zB/
RSepf7q8W3HIiHebVACaC1z6a0FCT7hcrOrMQxc9wdLPdPSJp35ZLCofJ5qDhEZsFRvGPubMLpZj
Of0UK3G6EUtDUuw4VWLxiZWlE3Kviy0wCE6w3fpFRT172VfWgJTJT+YuoIJjxq0Q0UmuQfuhBJ8l
Rp93tDQf7XRhT7kewcmQquCE3szj0aK7ici/2AOQ3zVSbz/JKi8/OD2uI8c5FW30UE2rUwefTRnR
Tq+byH7qay2cU4gP9mJrbYZkYgzRo6egnq51Inb6TrKfSkxjq7QM+5XYS1U7ypFNGB4dKXYex3Av
XtKWWnkP6ZUO4PRSbhjSyC1TaS0Wh2j4NJI7C8Oqyu8rz12Kl3RqemPKSPJ108bqo45rLArsQx1r
dDxkGXMxQVYHkrKtQ1cY9F5CxXTRhep3wxDr4IZ+bO4lNAyXXcZxHDiJgtg3uLRqBq4Tv73z/Ka9
I2iJ0mGMONT1WAR5Q4BMNzxfRiiN+9CFWnwQ40k9qdZai9FSLJbTAacu7nQssU9XJsYcpoizdjRj
XTdDed2n+O25AUBqX0r8WmUgmY1mei/+TeO32QsZTgk6QW/KGtBx2461jdG/Cx8Ms/riaFL6Erkq
8hez+KipRrGsIRPuqUaah3xUCjKQHOtzKBULMbSw6fOpnWzfjjHZcIMccCUxyu52zJ12Jl7PxKQY
t2bx7OZIFaWi52ZMioxdhalymQWm/YRw4CCG1qH6qbVlPIiqqfCmqOiIvyFzu2Ju8Rz1x98Q8Qx1
/huyhHsq8TeUuIYegrT4gny3XblFpK9iORo3iAOShQrY40EstmWULlRfVh/0uvq+dXQ87c2iHKnF
hqZRssLtTJ9Ek8JHmZz0hTzI5RExfHdVKFG1AZsMR1QK4oUFN+/jMLRPSKD1b3a1q2JpfK0LThNA
yEMM5ew9Om55rKhnZg3AhU5Ln7uk8NfwshLwd3GX76nMERk1zb1bbIA8EzOs13OeAxhdFN2AO4IY
aLdOzGOsaEu3l4I9bSN7HlN3XYr1ha2iBcLonO41I1tmdUdkhNewh+YEBL84vX0+QHelWTqpWsoU
r2dZ8l7X0YJOS0XooeLJyuG8sS19ZVmWLUSCaYMYIrY6rZrtaCBA0Q9pUEECW8WlZxx06psHc5qI
RT/uzN1IuKRYEuvFCCWhf0TTx4JMnYZY36d9u4yMI99IVj6pN3MBYMfp+pAD+r8LPASTlYLOQoDQ
rbF6MB07uqOd7p/X57E1bxS1+gxtA7d5+wJtnGsY8pcbL9fdjQc6aG37cXoXdTQ5akluX7ROngOA
bp5lqE0LMI7KEXQqCWhNHKz6QqoeS1l58MqoA6lDUNaQOk9GSIZKqFjRvsmLjgwQbYDaP3gnnjEw
Y6feDbbybq+ptXljTBNdRbdoZDdDGJgTUaw5IMHc4f9Da1nqUXmljtxWXMY3VRWs5JpHNrFO7Nb6
qPCHoEnWYlFskIPyFWy9sb0Ms1BSWVWWXGPeNG/iwq2u7VaaXwZAluHWLBy+Xg5TaVaxrkdMfWIn
saFpgn4Rxb6L5YIDiXVKnfaEXQfJlVhsM9dcpUGOGkImG8fxjCebR7pd5yACEIvVMPhLSDXyRixa
UfZQ0+46YaZy73Cor6q6MZ7ywcPA5twqfagfaF2A4Pfkb8iw5HVY5jzSiHViEgRptcdzhW2ZsfKY
aSt3LPOruk0/oQXGeu646kKR7fC2G1LjpKtfGmoLGGeIq7gCY4blddqYlVl0K+uBvJDpDi3FuvMG
N/+kDaqyE0ugFI2Tk34Rw8WawFDkK25a3x4njDMZVUQtLUurbTGS1tUnDw/V+Rg8XCDXLsZPmF/s
eenQmQ5p/SvTCSiA93p3WXLd85I4V/VQLi7b2p+WfuwnTnI/Ror96Dl1d2pHr3o6Af4YeX69adsE
3PmT/ZzeQ/3odVdeN0QHnI3RwYjc2yYZ2g04luhwWS/mzuuKnoZZh7KB4ZfVacmZfiaWq7H9GnsI
88lnOLiJkR3EnJhUxQBTRY0bAsT+2OAqctC/WdatYJPJXrINO3Ioz4e5HKGtpGGphBO7bzq+mIhj
cVPQzj7847/++d9f+//tvWanLB68LP0HbsVTBk+r+v2DqXz4R35effXy+wcLdaNjOrqtarKMidRQ
TLZ/fb4NUo/Ryv9K5dp3wz53vsqhapife7fHrzA9erWLsqjlBwNd98OAAY158bBGXczpr1UzwimO
9OKTO90y+9NtdDLdUGMzu3co/W0jca+dqm3LBQZ5rRgiJnZS2PO0RO9bzKSgc7hRISQgXnlhpB/L
0dDOk2RUjjqn1i29YT5raEn6EVV+vpYUr5ldxokN9NwI0MwCkMl5QFHUSDdFancHI036g5jTfsxN
IyCnpNzGoTv1eTQ5uKpyVQdNdpMHSGldfXiz5KTyleE7w+qvP3nDef/JW7pmmrrtGJptqZpt//zJ
B8aAjs8LrJeSGNeDqSbZsWvk+Ei6xTSPe7uivzGtKZbGQDIZso0edMg0+b46LB2wgUXlHiSam4tE
lw2AN3114wRWCUKBdb1rGshJ5dbH1ffHct6UX4u4bEif8R8L5PrXAd3wR1l9jKO6edAwTd1GaLnF
Wrupw4PiYjEUi7FCU6XXJOD50z4G3oOlF1cl5v3GeERrEc9HK413YmuaRW+O3+dvji9p8lXXlBgt
XYXUU9etgXVU7YHq819/0I72ywdtKjLfc0u3FSxfuv7zB93Yqc0Nq5e+UhHp4MXw+YlP2EscPlQD
lAXGPmh54jO+bO4ysKhVmm7P4/yqwSkMR3Tr62O5p6yDHzbiC5eYQ0No5rSytSf9sJh1XX2atdTv
o3LDfG0L7rsKL3euYFZpy9aux+e6ng0V9fCRgJiVnKjNVZPo9r3hKiexPeEph4q5muPkdM1jCd54
XrX2+OxW0X1Pjfmec8C7A8bID25lR0NoOO9juKWj0Z9ay/L3TZcfxBKQwOH0fX17IucZAl+bp+6s
1SA/InPRFq5+GcKutZ6ed1UlvVyM3J9sshCVhw86BIR90N/KbnE/9IpCwFtLLcmup7/Fkz5a1nJo
DPmTDP1/g1jIPC+aQ3BM8bDeaTYhQUFmJASmsvefHXXavdRgIYivxn/9dPqrxOnwa5YPZeD59bvF
f95nCf/+e9rnx5if9/jnIfhaZhUigb8ctX7Njs/Ja/V+0E9H5tW/v7vFc/3808IyrYN6uGley+H2
tWri+o/T+DTyP934j1dxlPshf/39wzP8LMqshLMGX+sP3zdNp30FNd+bH9H0At+3Tn/B7x/+T0mI
Rfr86y6vz1X9+wdJkZ3fsIgquoHiG0nb9JPqXs+bFP03W9Gp8qChsh1M6B/+kYI/83//oFm/ybIt
m7aMEw8vumN9+EeFU2fapPymqbZNOgIINsNR7A9//PHfr2Hn/7U/v6YppsZf8+aqZsiObaCqRjml
YvTAvPPuqpYUFu3jyCTH8W9s7f8XbG1F6DiROAnpIsYUQ1Kbbb69LMbE6xCaIvnhtoBLkdUEmo+R
IRNzzSwiDiyYYlZMJJggW7svdJSyaSPPx4yrWTYBey8TiCRQez3FtrC6T8BgOAqguZKc9DIFZquf
k3FgtWEug86lkzIzPFNJN2K1GHAZ1ZXqo9HB2B358q5ot95SLMAaniYVUtYJa/tjDsQ8JqR3m7nX
c4HJamGyknrl3rWB90Z1DttXDBTLpBTDsX2z6XL0N8dEjzLtVRcFFIQEZcbPr46h64+DirckjnF+
JTF7eZ9ixyRf5wM42kiK1C25Gcp5TtJrdasZMSG7YlZsFhPChj/bukwna9rjMkl+LBqFNGzSLDyP
uKy/jDUqYL8ZQpkpxIbSFp985ZVMz/Ni9WWCFykD2jJtFyv/dPnNocRsgFllhQbn/rKLmDsf5/0h
3rzuL7Oh86IlHdmjlzf7/kixOYB6abHvvNn7z1/pP3vly5t+83e/OfZlu5gTkzeb38yKTYEZglSK
tZUFBniu2lCrL19vMfcv151/F+83Q8xPN+9WShk/JvHTIVm2IZ5r+oVdJnmVlfJSIv4VRnDZm2sV
Evdln8vAd4cVG8zxxicuDH4ZX4V44hOLOSWdgop+LL5bR2QA6UjmtMsvs2Ko2CTmxEQcSBzysmgI
xLFYTsThxKzR1Rz5r19dDBQT8TKGDkyj6QDUTu9HhULSfhSzLf5FeRlWo7KWO2utxXK+xR2fb4fR
SdCxNzFk6mmlmNgxjM/5eZMYJdbWRC3Bxh1xPFRF2C30WgpB3E17jTKwrzsxC0kzya7fHEY1PRle
mBLRkPAyCM3TDrWEXy7clcgMVxE3YIshVg6OVGLcNfsv0Go+uWNezxI6kKmPBK8vmy9RDHCrrPse
1tHLQJ0pobu1TCSyKYc8xd9rBzuwmVgXe/jElMObZAtx86s2tniE6x7AYgSFwC0LC2vHj3d5/jMG
nQr0MLHHm4nE3k7ncfB3YOGnxX+5rvqx9Txk2kPs+y8XncrH9Pju0P/BYTTSx9aUmzfiyJguuOaI
VzrPirXiMHYy4erFC/zLd4LEfAt0Ilu/fTcobFEkD7e5uJLJExbcSfpkK+bq6S+7rHs/5rL5Muay
jq4ZhKfL8p8dVm1Lrp9i78sh/mcvIw57eZXLYcQ6J4w+oWNLt/QPyy2xKOVWna6mYk6sE4tcwU9I
Y4bVZX3rVx3Xwmm386zYFIrrqtjn3RHFYiKukGLzeaTYaZxeVsydt1+Wz8f0dWkxkFSyGIEm4p2U
jgaGNipfn/1eSnY+sUdZB3AIT7o365uuX1corXAQKs4KMM8isyMZwTZxCrFu0nrz8y9RCxDLHpxg
zvUZ9bMPXZZnMGdN1XxfOU62aWsF04vczqPI/qzpXrTIg21UfTYl+4qw5AQBUqHOM1f1odvcDqk2
AIAGbClVxddwRK3YcoexDLSjbXrjySvcdZX3Ni5LJAdxUNzLloR9JKs+xgGWiITu7KA0zjIbjaNH
42MequOcYmflTE2YwHGWBsYgI/JRlWTzJpYnSmvazkyMkFXhf41c2MtDZ260CsshAXdwXqJVkvcV
QuS4W6UWCYxRcaKv8A3wC4nYYwbK3DT3PCIAve8cPNJR9DzENrhyO0oh5/TZgpC1bazKTwRP9Mck
yPfyUNFdwes1mNZdS7nsyihWDvrEeZERC504Ur/UaxKq2i64NbFRLkwPPORzm2bJwm8yn/9JWVnp
WRDixxk/ZnHwbNWjtlS6T3J113j5qdANwG+bLJGTZW5N5znDX48lhsV8AAwRBTJudhswaONCyrRG
TKM3ugm6lrLWVlVLda7VGRo7O/uMvh2yEbpnTouuBoJUu1G1Fxpl2jaBqw0+0YI6CREvqc19GhSf
DMPtF43tzprhxku8bajmuzDvv6FGTrdSQZI43e6G/4u8Xil15c5ifxhnbuoHV+TFuNzqQq8Zom1X
c1ItoMCvwI7Pk8YBOEIxYW4VztdQyfyZWqn2ftASoPcFQRFOFlxRnICveOOW4BLyIGggiZb2Ain2
WnHlte4Z1lIDsQn+IDSCHJ4uf5Y5dld9Z39KfTW8bpt8vGk+2nc4ANu1FVAeNSrpVfI3boEoi1zp
x8yheYzKiVwXULHVqJ00APMZWEAjt8BZ5s68NnB+K0BD2txHa5qW6byGajkjsXPlp3F1VZAsNgtw
EC4Ku7QWPsAqKQiAornesjOSYgOZ7pMXNd8w5/bou0F+wOppMYJB3auMa0PZ+Wj+yXA45lpt7mzP
hSoXB/M+f5FMz111TowwFKlEkcnNvG6UrVPl39JCPxmNq6zynK/DEs1wtdTHIF870akI25YelgrS
vZrA0X4MWCfJnQV5YXA7Mi7RGMWB3kw0Httr+fGMym0+Qoun/sFxiIKGnfYJMNSNWZvlsgpGLpVq
sxV7DLnvL3x5AExUnVLXyz/ZoJIDZcQka60Sfh9VlJRThWZWYe1vuNvHjR3bO/T83cK1k1kkUxN2
VH1bZIOyU0N6Ufw9HpkeytfemEgUnR7DYh3yU5+a1KMA6Jexg3ebxMe+j5sbnEqUeoOEZLsa+4Ch
BMlpICt8RowNIIXBfhjRVcB1lr0JjlKvLM1T1gV4ObWhfl6E9V2p+faGGKhkJO2H9IAcNGZm8EDG
LXQBM5A0wC3CeGPda/Gp73j8ayN9WGaZ8eCTO7Iqx2HTdmA4e32cQadS5rVXVsvcrldj2D7rFG1o
r8MbrvjhQwEtM0Bws6SGMGVI7roxPCKkSFll3/yBCBUcK7Wm791iMh4On8nTmZlU+Dif5jHhbbBf
zJIDBG1pLD3gFpVerBR7hwsWeFOJ/wqlKhl+/H8Dk6LrHz9lyESRq2cz/AtgrfXqUHQOPvy2Lmay
L2NPQKMzk5X+Y123CezdbpPznztTiXwfWxSDmX8I2nFjhv2dmxanykVSb9fowKTCWuUK/Wlu0iRi
x+v7DMUL3uysBBACGbTWtLsWO8diDJwrHCqgHqV+OHUhvmwtkNZtxEnX9+NoVScA2PNsgs9Y+ap2
1WaVJRAO4npZFP3R1cyPABWUuT4RZBMH4H82floMqXoLEvGRX18Ik6bJZ50D+TpmqcZBlHU6z6NR
kM690duFKgk0ZaWCqoaD1icoJ/mZohp5VjKlX4HyoQ9bYIqj8HTXu060sFrfng81zqGwtkh7NPeR
p9wjG+AWxWn3svHZid10nav+hgjyBp4UYCqlTO40whpmtC7BaqcR2bwynhGnNu7QLratre6aa3Im
pV3HD4xfmrYuQvDJtmPN6cs0syoBQDG06sywbHvpmTft2KOAzvlNdm5VwQSS1KveOFH0PhY9uJnC
4rvXRQ3m/iq6iuonODCI/UnIdDnd1XX0mQeEbD60UBRrx1llbsP3w0TqoEfYX2vkw0vupK9Ksuwb
dahOkR0sh1APYYeDfkATMhuHQd9hWYWvCrmhQVk8p8HdzfUgPGgj0PLaQdsBy62xdGyt7uNoDtlc
751HMLYjWEekdHFDuuHgErls7FoVvkMXJVMIpPmalNiHoIQFGIa9dOPyJABoQL1L+6l1Dq1gGVs7
1cT/qBfQWWGjkRjkI30PlYD+jKl+KuxGmTvEac0giRezEs/gZiDyg0f47BNBUMnV2HJH1JjBSjLM
h74dViB0HtKx12c1PC64j+SpIAUAejLuCxvfQ2RU92mjw0LRwA3SAToCHeownRroHpXAnVc2KpiR
qG0tBURxC8ofTDSyIlzH9Tbjt2FFbrfiRFIv6va5bQLkm3q/gFx20ibSHQ94Bl9omUisOl2WlC+o
1Q+k6+rRugqDRzcJ4+0YSkfAaF90uIe+Mnpb2cYcasAh0FVyj8fBPKLbiNd6gGLbHPbu9EnnSnvM
UouHpZwzHwwYBaUy6PjSnml28JIrAXxinRsF4GiIlWUdXXwG9QUmCNDFNl83YXpvUyBqOB9vTc9Z
+ZXSHSBCtDPXUJul3qXHBrTSEn8NpGI5u6u4cyjQvC3quj45WlHOvFYjSUXNrw1TfVRLkhNJsTeB
G5gaPFQrzKsFWlAMDHdNpOwZxH+bdtMbiLLHxNsHavsl73gpObQBN0XD3DKsbQmVfq+o/q3exy3f
0XrVhf7LxIHqou2g9t/ijqBvKJmw0Dzlqkq7fq7pmFxDPWkm5iTdhm8avFZwO3GGyVZ/sB0f75Ds
H92WOEfflpRZQTN/lqahAxcee1gQpe5VwS20XGb7PB+R7so6Zvl2HhMJhMBWu2p8mqlNtLd4xfnY
wEQMlLha6AUdpMLqV+AjtQ3nOJDUDjK7NLy19fZrY2Eej3AmBzYfnI/wIWyIHjCcZlf4JnGfhbkr
8k0aD8GVo8kLr7pCFansamdMuZ+fjAk9aOKIzM0s19Y8PkCN+IzHVruulOnUGRNbY/b9Imnar6lM
Xh3+YD5xdzF69j1PbDmPdfhd8/Xg6SYPLsltr6f2QoKW5GnyrdrRjdPk9M5omhcaX9D7cpkYAP9j
HDr5zO59dY9JegkAs9ngDgBQS9BJ5of+TrZIxiY9jS7/zNaVj7iXHWIsCgK6o3zPdZDbLdPm40aJ
0UwQ34AbhVynkQR0W1/jHZ+D9yFBGcswQsbPbT18lox25Wk0shQtu00cO1iDEnIXyF03TTwSxKSW
Oee80ZqhaSX0t1WvQ7M8xR4XYx8BdxNZ4SEP26MRvJS2eiw71XzSUuyxwTaXuN/uIw/uWvg6ADSf
14igZrpjEO5jjHxH2wzUBdBYO9Zn3KJJMzIIfNI5lGZRdAo/PrDOEjjEvr9R1A5WlqsepZxjZDUB
955LHyqUTA0Mv7uslZhKQxeC+5ZJxqwbb42uadl5w8EtfXmVevET0FZvnZZjBIrEOKrUKx7qbKer
WLT4eXF3gFZ3EXeUO/p6hOHuPzdDcC97mblI3e6bisndclrlShnab6b30OpJtOqq4VuX9Nqj4UNq
iqR8urHstSWmPkR3WdUczEWoqM7GQwUrVd4+r2mdOo3srW3p8HeYaavq6vrvMNP132Gmf4eZ3tR/
h5n+Pwwz/VtF8J+oCAzDQdP0Q232i4pg/hwH37IyDX4SEpz3+kNIgFpAoeVvofXXNcPQkQT8ISRQ
9d/QKyEJgEKgqzyP/RAS6OpvsmKrjqPIqmVrqozi5w8hgfqboWnoCxAZ2JplO8r/REmg/qzRMrCq
mIqqmFQdNVnj8j/pDN6o46gTZpTfmv4IVt9ZKpm8yute30/8iLWXc1ue6X1K9FRASmAA5xicKwbl
miJR4DbAz9GeJHL8lTbHvu0df+Vq6TEwKWSRXo+c+TqRHWmL3OxzINn52i/j9qp39E3l5A8dsJZr
JK39tVPb5r8Tn02ap4vsT/xhuuyok/5PRv0nZIFv/jA9hU7jIL8/eqqWrOEHzdVa/zrqpbHxay+F
n235CyVpQu6SJEA7xIXsy65Xjrmvv9b+CL+ob68zM+8POD3TDWJ1UEtqax5KgmzkrmxO1oQ0JAok
2hD13c5K4GIH13ZfKEwEG7lPbzOrUe4tZNdz5M3t0g3zdkcdo16bcvqNmlO3K03AAJOjTUoLNJwt
UbRIuMJdVAPC6omOAKwdkZnRK8A5/I5iswSUlUTSh6bHxo4ijCzEpQGF6yodbOkO6Ii2SXVg1h49
5n/zmZp8V3/5TE3LhOjpGJaM9OTnL4seWL5tOgOE9BG/f9v4hGy0egOP0/LuW0+eGzmOCmFrokAT
AAULP4OlfLF1r1oHTqHuAJ8BtYnk65agkE1NAugyNSlWFJhsJ/doSPLRLQx06kcoNB2H0nnpGh+p
5LQ09E2qjHmb7rxeXnq6jTe1g3CVBnJ3H2XcK/tmeNejqjdnceRxf+/nsAknqaHegwEpDLyo/OhI
Ocvs+LoFkyA3bR0uCsLiwXZ0yr1m8Vk642nKn3scKF+0UIYXtQH0I8KpPLTN1sq5Sw8InoNPYNxi
RBk3oV8njyrlFKMp9poW3wXwRbeXCV6sHl0FFIk3J5vvsqC30lbl1x8vMjXZ4ltu8hvW1Ok38OY7
boEX6KQ8JrDE+MLDR7azo1LjowslgsIAyvAQEexa3TAPfasTLEDb0cTZSKzIruYhgMaUcWxqXd4H
lBA0X1o79cIpCvnxr9/npEV6+1O0FMuimacBgJSnyfS1evM2DRmNcg5T6yirUrUFknRIzcRYGn4X
TJVS59+8nDrpSt+/niOrKCJtU3Ese1IEv3m9nO//WJR+dsRorfjXkvJa1BGphJIKU6VU9ONQw4WG
teHcFfygZjyOLzC/ZDtHrmGm6PKtdctTvvdYa3JyReOL05n1JSwaLNOB9Jj5MYUMUurWmSsDJifn
85CNeLtzleegSnbNw7/5/H6WMBsyn54qq4YKGQ0GOFeTn/8gy9IC1J0JTApd+2zFvr+zfBF/ANw0
R54498xIXlqoEpdVm0t79Ibxrpxy4GD53QaB6i2IuOW5kZ20gbNhlSsnMYl051VJ8dhpAT/BQRmj
RSdT7uxHQmcrsmjVhqpFq/DXWenYrbqGfjrRflsaFQncWcIARpA7WzkAsViVVnwkRYlApjG0nhwa
53Pf3xJe7B+VsIEACdERES9xtoLT0ubVyssJH3axfx8kkg2V2pGXqaL2W4jyqHWq5ltdUVyRShnq
JyyERRMEBLNRXaJ1NXmGzLjauXgFePonk+2vP3fj1y+SbU2XR82kkTAJyX/+3GWzMVL6V9JhsOe1
26tUcY3uxjbKj50vceJtQ+QApd1hUxpeIsUOXzU0TGqYdc9FZMEwi3Tz2pdC+QrkQruuVcu9DQcS
C4NpLBZ3VMbDS9NER0qpV71qhp/DzMYMbg/+NU20AeNmAr3JIFmyTU39WVfcSTN/C7eQp3dcPMuh
Ha25WgynME+6PaygBi61I115qXLXqVirBrXQN/5oE95RyOkGG2WxSvVe3wRglSUJMXJPEB48yTQ+
eqA+W7f81EZ9fh1refmoWzfCE2lXRn2QleVff8CqY/3y1dZ0jTOC6XCvQznEmqTNb36rZgnKv/Rr
7UAthkBuJVZ2DtXYnVz1MsGjgbKOR9PeiA1i0tvgwOhlMKaUpKFYXfZRXOlrPublm1VvhhgW8WQz
cfDL0doqCeetNeSL83HFZjcOeYk3I0cTWxMdCH3BN0Wjfsu7lLoyuZJUyLXiDV1Gn19SvEE/kV2C
+/TH8zpNvIPLiw9OxH8Gtmj5CgfT4k//psvo78dVXhLPHrbn9zB9CmLu8vJi8fyexOz5RZs8uQ6V
hVK2zdqobcqp098gBrj0RKXzJy+2iMkgPn4xq/OTjYqjzzV+rbTKuHSp7EiauwumUg/Zx1Php51K
QO1UDAqnslDdNs284z72sTXGbyOAztVQPwxS963NINo2kbYP9fGb3NfmoqXuVFN/iqdClB/1X/JE
NhZhQwurs+ypIrZrHDl/cBvrSKoCnYDKJL4AEpoacLtKJ/KAZJIWhOKtmzSBqoV9vJlKZFh0lppK
l5qekkkDayqkFdwmYJs8YlClp9HfdFPRzaNHEcRE+3Xw4zsanHOyoiVc40RQ2xTtgPJkJFH0d13K
abSZSnuBbWVzmWLfVPQrpvJfEmx1qoHVVBasqA+awQtN1CNRdOEhmAAQUyExoqKItu668Rx8ymEH
LrZO83mC6GBhNdI6ESXJqTipUqUEaMIFyWxX/Hw/60gVwTUtjIE+btDac0OUOqeiJ3QmkuunMuhU
EE2ojOZTiTSaaqVT0ZSAS4eMKOXjKAqq2jbSrKPnVf5OqsmbnmCBNmXjTTn1aVGs7w3CP1gdfYxc
QO5T6VaJ+xdiPf4vV+ex5KqyoOsnIgJvpvJCrrybEFVr7YMn8SQ8fX+p2rfPjZ4QkkpSSQiSzN8+
m3Y7bIRrPmVxewma3sctWT4tCgCuQYIbBQkXY6hV0UuE4XwTS0JkwI4rMGQPLJlknHwPgNlvCf22
bpb9hVxkHSkAup9Jh05IwyHGYS01t9r7KFhPQmdkNAjXBsZu64MGqt0qeJsr9ilXgDfoOdA3GLij
wPARVHzJ5J+0KZ5Kr9IuaLi3swLQa5D02ND04+zRfadJDjBIjYlS+XM5CGI8R+coSX9dIUpL27g/
GJnD5T2B6nXmvQsvRa1FhjYsr9jTPTEf2NlMdAc0+S1DxuyGzFcz917p0KSggOR8sktXJbm2a83s
hq234NTGvkHZ1WgeW8UylIpvWCAePAiIQr7ZTvbXFbCXsh23VDU8EXXcnpGCh0JxGALWbNdAa2TQ
GxaWhQINz1pLn3qu86oJ+FxBiIw6dV3wI6ld0UA/zQRCF4dIA/gvnDeZJc1tqilVSbAs1d34QBqh
og/G1wUiJlGMzCBcuJm2vmqKraHkikI5xeB4UDmj4nQCyJ0RkgfD8173UwyYiv8ZFBPUK05olhWB
x/SB4fks/i42RZGm4pBkv14Up1QrdqmBZhpK5Ef2pJ9jOixqxUTpUFKO4qZQ16+IcTFXQU4l0WTM
uyrzfkYtvjFg0WzY5W/zoOWs7GoEuqYVzgRtbR0IsfLOjCmOjPT0R1ugPyF5YptE36WLqcdisrGL
MdSyWu9DHS8beqL5Or54WXGzSDjTGRAR/tCusSyo3wi1nbaOzK5DZ9P6ozi9DHKP+CoEK4tx1jwK
IqTHqSyr+rAwv1yRq/nKZIt0r+B1cuNsRy7x2dC78tibzSfHUEMFlO8frLxEGlTWJNlOC5XvjfOp
+ew/CQW/rekuVKqeaFUiTqJ1hrwj0W69AsEFcbvPJjNU5BdVdRh1M12bWqNtssD/Z+oa6AOnq9CQ
eCeWQz8on9dC7WmaIGBTfe1NS6EoZjd+HyFcWYrJda04WHvZO1CyUnGzo2JpZ+jaTPG2umJwHcXl
FqyKFsXuFtC8o+J7O4jfDAIY3irlB4ATdhU7TDxjvooUY7xAHUvFIdM1/ZWPaEXYkZ1imUkPTyCd
pWKfW8VDt4qRDqCmZ+eB7CmYasVZZ3f2WvHYiQtwSBSkpRjuHqq7VZx3APk96wVO60KnAsYYCPOA
IR9vk+LLy3rtKf48hUgn6hBGXXHrtmLZTej2SvHukWLgWRcdSECs9oZDJsl4NhVXT1HkC2FpZy/i
F16g8/07r68YfiQtz6bi/KVi/02lAxitb06wcV8M6WvOwLmelWYAm/o+YVa9KDVBPaErgCval0p2
oBQHs9IetEqF0Co5Qq4/IWZYPgliWCFxTullQrugIWJoETMkDJ30o+4HpXLwkDs0SvcwKAVEqrQQ
k1JF2MgjpNJJREoxIZR2QkdEMSk1xYCswlD6CqKfGAGU5mJGfDEoFUaj9BjUxXk7qP5Tr7QaABMP
cNLPGSIOgZhDR9QxVPk/xkDnqDFK0nSXEgu6/NCVEoReXs47G3VTWtO0k0kizpRyxFYakhglde9U
765SlyxKZzIiOCEsZNUlTnNMlFCw3THApLVl/5nS4DDPkfFhIlzeBro9ncY40K5VJ6gVU8+4b+53
c+zbN91N5ClyFqhd9TL1eoMd88eP+d/jsmhPvRzkARWht4/zOHtJe/0/9/foyLjUxDi8Nw0h/Hap
w6YHnnYjJa6CkOU9Kv9xJCXph3aCdCMcI7lSO9Wdi8GKNhbV5Z9j2W7v7+UtFPl4VeA/mpoUR5Zi
5X5Ac3/KkkpfLeT/oyxo/5qlcXJxNn1oVH5vfVMTZ2CX6aLpidwEiJu+UG7t7k9l1xfQwzHwSDLO
rN6m/JgsS/vY2hy6v+82XjJcdn9MT5vWBU7Ym44nMPQTEhZQnuH4rIMPR/1ffcgvYwQJOw96t5V6
nJwn2iYvJLZ2m9pGNURXEpSe2/yVBLPRE9cMz0x5TpJVMy7GMTiMo2E86gONE/en6fa7Zdf2D60z
qq6mam9zLI3QoTh1N+lt+kZ269v9mc5iXzPiqd+HmJzm1JMk2sETXhN6RuxqYwSj9lWVYiMap/3r
x+Qw666VPQdtq+0JJzQPHszpo92YmBrVd7ETThm96n6kQLHVLn5yGzwRhC6FL7tRb3tW8P7LfQcZ
RfPA5ap5L5zO2nIeTKcmb9qr403ZRsD9fgsaxO5PJWML3ygarac6j4qDK+zxUA0pOepWzy+r/nHA
bNdP/OhbcyjH9Q3qVgLLzU+aVpB97gvnLQqS5/tT4yF+mjIFGzS6v6VKRpxKjrtra1G9VbqD/d1T
cvO7I32NqiGC+p6MaOkOPp3VB2Pq9adIjOPvP57QWNWDj7Qg5j2cjmKxwZiJodAbvMMzVXmJXoo/
k/2uLYX5TegNhSJjq59FIfor6b3ET6snVLRWES3/k8EebzStjc6jpiUkL6KTjWarIgmM9eVk/JQu
VQS2PYnLbE/WZRSG0u3xDuWagNbij+7iWSzweV4i1+vIAaBWnLx+74fI79+P0g6gq70XXHxcfBej
HihkFT7X5M4qztF4uD+LKR81Gvyvq5Cadb4/QQ8y/3vWnu6fx43oEqzmVL+iz+/PQedgHV6W7nsk
Ivf3A5GcrDIhoutcGxllmV6wqXrH//L4se7PAIdoqSwumxuDp3NKZjPDUT33X53sfr+1E0zU4qaG
cStYTqOU8Optwoj3mXBU3t+ja+N0zQ5KHmLfKU+lGprU4v7TTQVPZccQ04JTP4gQQsWWHy4FxR2z
XSSf1Tzs7t8lQmS/MoV7SDMNX6jVLFQuVsGWg2n+yCQiZvU+PcUcaEnc/NGZ2yaMuebS+KBlHzRW
EZjJb4RWWwU7tPKxMwkanakn2hGfa74zPSB2lGcQ0DfQDE906dLU9tEsdbnD0roeTE+8CSNeO3KR
36mfBxtHn9NTQ0fck9Pof+imkd+cPDp4AI1efsJsX0+ANDz1At0szuCSzmthWtEBPyTxJok5fRnU
q6kXmk4mtz24Rsj1vNgij+loEate73+shZ8AoNbudXL8/iprbLH3dyWH/Gma9OElazsXEXRhbwWS
pm+XNhPGwm+s8eVu0BNxDAq9eTUB+O4fnyDQaQ2spQIoInkzChrG7m84jvKrd7z8eegsK0yFn23v
j1dUpxddP33WM/HHS5X1h0k65tuCovv+EYU1xxvkFMY561PrwcF0+/uOLto25noFuegZOYHjzFh9
f0uX+gISEZIPX6JyrzT6HQgjyD90EtHvbzlKCkP9JQU40FuqkWe8I1RetyvN74KHujLIiukagwTH
1Dov/UQtjvrusk6OwDzLmyB+5NAa0ttlMlg+axo0jAEPATTHQDR3lG8l/RMhMtTyefC1z99PpbJJ
o1RQ6J06Ng2s8AL3P3TJcs1jr3odF5cYjiBnjSuH/Lsn7kb9gMMyOVvyzZwj3aloUEjGRFIlnn73
DmGca6JSO8byyLs6SZf8vmtrDK8TwOizZ0xFiOSV2CD1JQrtZHKh//LjZthZVsUhI4X76rcpy1P+
rhkaVeLqEBviKbrdD7vZZ2loZntC7P/IkUt3TOFTGNgoXy2u7X3kewTZI5vqh6I+tpn7RdJofSgt
p6FJjhBSo7LGvUuy84UeK4fWjXlhJBy5qg5PlFiKY+ZZFByQNxMatrGfdCKE2wCRITM//5b1y9Pc
t/ZFoDOnmou4HFawXGJ+3DnXHghopW9ncol06iY6iSTNcdAvX55fQ88Y6A7LyRevwg+OaTZJGpYb
K5S0zbUVa8B7VJVnsaqO7QFxYArxtpjjs1bYX8AYhyLznbfBVGHkKlxicHtzl3ico51Ty20ytkO4
9HlzilCv/m7i0qR+FzxJ/WhViIoRk8v9plT+mmE0T60kwshPozL87+P/93n3J983loGN8vfuYCf7
uFpO95fd3+D++HI30txv/vdBhvGAgE3HXg12Ru5+h+I2zMcYlxyJsqPWARf43XzhvQS9qVqxHfPq
DScF+EvKCijReuSgfv+WJh8lDBcT4rIgdRdrbTfYddioTT7ozHVrIu9momxDI+om3AEpO1fXsDEs
zspnF+0KFxuEPh/v3lrRku6w2Li2xqEYuAjIbOuPN88e3N8njHPeh3cvbqkMur/W3JMOOHWwpPmc
k7LjEK4e9vo/QiMbZ4WFD4eg2tB8u1qcAKNKPJm7YOq3CfErBPCMH2kXixMNBdSw4gr1umlrO82t
9Kyzh86bdid2D2dZtzXzKVuJHL+Dq7FgyJrx9f7lQEfrkBKbUq8V5CiWsLd/iMwUJ42VCh6U9NUY
sQF3Xf+iZ4lcd7myvU0t+8rQ9WWdIeRKDUELk3rs/lei70nzt+pNMtAVSG/MOvEI7qsqb8NEIa57
a33/YESrBxtRs4oj7JdvjJg05kfbMx176Sjto/BRe0jKaNwKc7zaGTF5A0tLL8B6ohxPvo8tuJ6t
LhQxF15RYf2J3CEKozzBb2J1KEjVDvh9dwcRfni/X6ZGsM4kZS8UKx+NKDtQFpwfFmOotjFDFRSL
jsoT1nrjOkAOWVpoK2fx8G6MWbce+/aRaslhrycQqVgO5d7svLOrzS1dNSRBrmChIUTqgOLgdnpL
7XTniYaQ9jgIQhaLdu9gW9MzbNDKi9WOEhCSPsS140t6nhS3V9eC8Tcz562RWG6oyejP1HV/My8q
1/7Q5tBr1tUeq3rfCvdWUJe8MeX0dnfL3f1idwvd/VZ7t8G12lQhSraJyiYLksZm6w3Vu3uJijOV
d96DRg3JCc8488Os9o8DL710ExaNoqNgp2001umZY28zT5XwGemwj7z20A0uhQQIopHl5vPeMYgY
tEZjuGqYMY7xMr6RfIflghi7U6V6S6iPyjfpHLsXimKtXWZRhDsPROFBQno7DFFWOA6GFUayXwWz
ZG5Bb9vZ49KA3UCz9qgJqps/OLuqASDG4SX0msRofX6J7Sl6yEWQbak3EltHL5YnrQJl5P/UYTuA
2eZkVIWE7yO3dchkLybDONRlYRJHElzmvvboM8NumnuYUVZDI4p9Z+WnjCVyeN+gTHwIOh3RvjDP
vhrAkozh7r+bXDOq9STIDNE97U+cp6/ELPRrJmBRqInhjXaIbZdLyAZVK643XYj9rMNT/4V9y9jN
0nxILLMJvc5hCe5nh8RiobNtmPlzXo8pNc05O8g02j1h4eeyn83wvxvhqjZRGvlWWil+oqRE0Soo
ikxc//fzT1Q4cpEorNVQj0Qqp9kQ3jdATkOYem+BGCWxjrRo9X12S6vC2RUmavH7Q9X/3hqDDB2G
57wtOEJAFeVcEBvAaZiqjUkY8Vb35Eecw4mD1pBqlOqciXG9KfB/AQd3mH1+j3OkzS2jIWWPY+ho
Fu6UhUwbP59PDj1MeSaClW5GTI48LqNNEQy/m/tdlZFBzbT6C8pnfmds55P6JvdNaWnOJqpoKsOL
FoWL2tQx/r6SCDfSvhJrXS3iKkadWhpG+STiI9w3vu79eyv631u8mYWzAS4/z/qJLAZjCu+3bBn9
/3fvf9BJTCgztz7EjSvC+4aUPa4rTfka22aGUh735H1TNoxjETO237v3xygch1lPYnutkTocRhYJ
BQl2w1Xie/WK4eB1iOm1iBb8i756aU5Wd5hYqmSqbCQRBJ7ET8BK0qhrKtDIpKaYOi43sG5Aoz5j
u6lPwNBQoOZumcSbPS4ANbb+GPWkBJZRLU6TgU+pnxkvYsXB0iGI3KFVRCn76r7BgAlOqKfl7y4Z
yhxNdBGAUqqj4v5N8pZzKGK5rmuHyvKHnUzzb31wshO9I5tmNqZfF/Cvi5izcyPADCFCogfgtYFE
V1qT42SSoWPbMkTogjQ8mIj3XQI9pHMwPuZ49VgiMWiXHqeaWel4hO73A8KA42gojuaUqfZTAi9s
AhrKJsDP31bbwop6vFMmB/tgWqSVe3G1S6Lh5e5sn9W5ch8O7rf+z2Oxy4EY9KTjmRwXQy+CbY3a
4JItZbYtkjYhhSOvznCFQQfIjDQ7ITV30WO590q9h91lMWYK+yVHc77TJemRlK/sCPxZvuFgSspq
KJMLcooeaYGfjlOj4fqIaIaUxGoubczj9BK43pKfLVQ8SPE7GomS5isoTexQUftSOq08+SMhc0Qh
OoF8otsruFZoDISljWEWQAhaCdySDSW+cmOj289pPN+mBo+Z22sVJjgynlbou5ptZ07QNMWYgMWa
ztlw6EfM3eShxCPjM3sv+01SxkDKmVquoK1H8UL3CQjvlkodfTMW0/ToOQ7LKEOPDgmdUeaikXeG
U3F2Xesh8ptqbQZQNyjxVx7gywcJPBjnGzVaZ5LymnwkOB6d2MqYLbFzzQI7Qx0vsDO+uRnLOHgp
xuxvq0f15X4PLJ4pIO3n2BCCfN0Fjv0uqRKjdsn4GmzN3Vq2gfrCJOxd4hK4P+7VIyyCmVCKaeXt
W1u2eyEy5ymYxGc7x+YmyC0wpaZ3D+aMAMZcnJdad9p3AtIp8MNVgfuo6t6FsdDAHFeQQuqvuJnX
FF/TlV0HlYozne1VYSTaURfMo7FztO+eG4VM54Ofxjb4PayF0HRB1TvpckA5u7Sc5FN/zd2su903
VleniCdkcMwaYlyZJxrfvdYiHiidl3iIBhYGTDw6p5gfBuh21h5vTa/5b9bcpQeyDy8QKcNWE4n5
EKtbM5mA2ySV4tDaFaeO0+dM5+z5MSlabDeOO5OkMIsN2q+eXU2WrCyyGb+AjsytXqLQWxiBCoJn
j2TbmoeuKnBO4aEZqrp+C8YcbiPtANtsHMamhejM9+1xx7yhX+lcK3/G+DnIR1JaLf1N+mlI/FCy
zty4efFMWaiqknaNggs8Wb92nebwITwuI4ZLPJfdLcj+ZH8hFEd1OxXYfLOcSyGZk48tse4niiCi
f6wcR2vXISXaGt1wnNqmfmshOAYCHShhyhB9SevqBtUTzJT5kiZW/4JxovAyyubnPju2cuhuFd/C
9eby0Fs9xXrqTCe81jql1c6bobpmXsOvxqWueiqqQvVttJf7PcNDtKfpDcyNhzPMipM15YDJ7aDJ
wn73ZEH3gCh/MD3MNP9l8XUs5Gcj6/kMLQr27Vje0fMd89FRm2Vczk4Gjl7qds6KxWP8azjIAjqs
H9A+rQekFTj+2mmTRu78aBHocxwT5ZKy8g29DNFTNUNomxFzz2isrA8TsHJFGfHaq43kx++YSkQE
orbV8InuimKVrnNCWtfESxAAW7iN/xUrKAGosiYCDtOGVwbujqo9Hepjnv/4hbv1l2T5DAICzfC+
lpvYt4ZNrYtup1F5/tyXDSNos6R/ZJxu/Npz/6FHVtKTPU7xnumZT/ZNv2UgSz4RQMa70k/KcBr0
4HGYcf45hHCrzMzG0VMIRC4Epor0daLm37v3v8JwQpI6TBVFFzXPrmRwlrP9gZtn2TdRjGRF3W1a
+UHfMIo7c/pP5+jLlcYurGJBcZsRA5z8DFe/ZYMAOy4GaVDLcu22MVxpOoObAO/q7p+ghL5H4pG8
2BFEACzJfIh133taDF3RMKLBALxML9Weygv7P3o//mDPL96rasYcq8nyVsTMklKKnFYlgWz7cs4z
yIZ2hzYxe7VT+annIltxfvjfZuc/Eu7b/DO5AmqGronVIg6AP1S9dhjLnNphWBYFECmxnZjdYxKY
PNd9iZQ1MGNGsNe8xdzEnkbgkuoMTAvjs0jj5WgvXX+xF29juFn9RlC4V2b26+i603PJOV9Rs3FL
tZhm3Nk3jhxENr+GL7YtsdKboRv6cLZd51SP/bOgEcNorH6bWctXYYrEotaKdU3Xp0+dRmFWO4wa
Obz1+M5rPvKWTpq+4cRooYrxyy3YzXvwrTmoWaKRHvK+COmvqAQl4dH9sGD4y+ooG92guq/b45TX
d41NzxRpmQcLKOkAzJSuHXeyD9VY6er6KrZan9OgboLL3BucYIVZMI6mXNt51G/pb/Ce29kOVp2o
3LDILTg9R3hhT+b0EfRoIX7GuWS5nnwmBG+ulkL7SQwNji6TrF3jmQgMRuQ/nfxrywkOdrLqi6XZ
mErb0bh22fAmNZNWeFE652zovtrWaJ+LuK6pbQXfdP2WgrdPKep43/WO8TIZZnEK+tKgb02jWCbt
Cma+tD8si/ed1QblUFQxu65rbpfIjI+G6RIYkGUUJy4Ac75o+uPoWP4qawNWZ71f7KFFuIhRwHlG
KgOukApvD/slSGsO6Ji1tUuGSHsLX1w/1a3V7nCQmut/f8HeLDZWbL64ZSc3FAx139Qy7FAja3tn
SoqjL9Re0a3nJk+to54X9amO4HENAj6s0ZFPySK1q9GP+/s9x6VRnGtKd+mqHgnIUtHmExUbx0ut
v/ki/raOYe9Kfv1tTMMGywjv+zePPWcqRjEYfXN9D5HRNMtrJxFeGH5qfwbja0VGzNmd/BlBZadd
CLgsT+QaKCmRTvr48v82rdh72vAPTAYm8AhhoWYxtSBV46SJ+UzHJLHi2uydNORzqwQD5m3Oh+DG
WTkj/jbw0qPZ+kc6hb6m4Hs5QFNlz0V5VPGkYUv8RkjeyHNnxRyFXQdC6poLTtic2haWYp2s6Bik
IXuX4xfcmQnNtffFdFcO/SkqzOM0dcFzYWgIYIjeH0pkD9INuitDlCf8azGxrKrVN0T/pF2aiAlW
M22z6bXUZ7xzY+Zfu94rWVeM9N0kyb4MiMIgaq0+QhrXGyKRxDateG3vNEHI273SmfWesqh6M6VK
kJ2qrYya+lMxj99p0lQbO5vc7dzNzNBKCAS+TXGx62lc9eALoUbvyd6pqz8gvDeqUszHKY/9XQ48
tqm7TKffz4lXzkTKUe92IRVQ3Zurg6VTy7wu1WkydhVGWFWJl8/Oj16XrlrCT49I7MuTzdSeNlcj
3cSi22OJVN88eo0tyoULdKx/IjWj1OTBRQBLCIq9Fv6jZZEL3I7j+OOrHJkhSLbgRQXyICN9oJMR
/j7ScGsuw6sWZduyEymXughEaRHxmkDaiVCNPDs7nfVse7AsbqotN1Olv0+IsA9xIKNdAfcBhd99
lxMk0NCW/wGjgVUzvPI8EWUVmm761Ph1uiENShwcf5zWlcWAvbhOcbJLMWPsjr2jptO71fmGwb7H
vL5atGkhRVZaBzuxN7UninfyhYFYwOurnmRTwNzghwDwHXmt5XNN2Xzr0W9mj25ARC09Q/hjx9Ms
0piyr5i6cAGfag5wWe74WYomhrwtC1L/jX0X9FzD0vjDib2JDxyh+tY2wqi7Cxm/24IAS4rurLF6
MDOH1A89h38yWArxtflQ1mvcLz36hvixznJjy0cvtgBYxlPZZPoTJ3ArV3kPM2rbLPzs9nyXipdV
0m61tKObYxkNxpUk2iek+uy5fiCLGsz2REBJe6pTrvLE0R9jBPh7ZhwR4dlmsdVpEFrTzNaeWl+2
J9bKV81FkxX106tsi0uTD9aRuUm1qWzSR5YssU5Ms7i6dZ9J32QPcnCak55rlyIx86ufk7aizXZy
AfkiFaTQk3Ne4Ggv++6Ez/5o6KX2EMWLsZIjp3IBGvbe5nCU1fDWx7u0SMtrT4jmVWsWIpKdhPYJ
HipzAzktUTlmXcxXXNIvcap7L2SuGMhLg/cxbd3HtHkf5V4CnTxlxBuQJdCY+1EKEjzsfOsLcBLP
OPSJ4ISpl81o0Rcba0x1SmdvQld8WS6MbyacL8cdmqeMtHvyG0r3R2+MtSXi+DmfPRW+g40mTr+y
YQx2jeNWhz7u5XuPLimrZLAuS7s4aprdPecOByz0x8EP4o6GTIeOVrO0GtQu1TN7A1CKINMTSphV
PP/0g1ruWl8yNmKUGlF0mJZAhmman+eReY5ofVIgcFZ898iKR50+Bif3zNOQyAXjB3simwf5jvEE
+y96CggmT74zZ0FIGbVPAxG7Zh3nj6whiGuo2mDrCrc9OAAYCjuIKcBhQxkT71sZ4yaIe3L1e+/l
vsmBdmeTqqi0lO9TiRiKJoNsn1oJ3hY3wIKj6WFERsmlI997a9PKjCCvzw9Fn+gh4Qnmpiy7+guk
6qG3og/N0Q6sxUemVgwF2cDy1R/84lp9mTPDXTbQUWe7vth10DkIUgoN2dZYUPxF97gG7fPSLxA1
FM68j4224iplXCMqK0DsbdbqafmiBbk46aC1GV3rDz0LmiDX5jAdumnt121NM1DOQiXW0ZBPtnXs
Ee3RAWJc5o5lpii8hrkJdXOIbB2OSdZtcioeBzpwLtkYnGOXhhpzEIjMSghnioHB3eir6euG9DSA
76DjRMtHK7RJbb54PhwVIGbw5NNNHRTxF4UBwdsgPGIGmY6gERUkbVAyvHtjkV/hbimqGwKT7eiZ
tE7vDV3Et5igjFcnSTejoU+XxlRsICXGtza2vWPjVx9Gmxg3dCwnDHfN0Rrc6tWrjLCSTQYh08Tb
dJY1YEWW/sg57LP9RGPqC7UY04uJO91s87/wWP1Fc+LukRVwCb8XEBQSEfpflkJg9smaizdBvOp0
c6HNGqAg9J7Co46Q+VzM7YrBozhQPNcywWDjYmdf9ZY84QwqqZZrswNzIOMkpQQ+Ew708KQ7L0nf
3+LKLr8Dk0igxkSQ0sbPtbUU63HIxSeh7BA4nvOPBc1OYTKpNpRz7CYn2JO3noWE3xsXYCr9UkK1
XJDj9eHUaueevk+qcvtPb0RY2/RJehJx9N6DCR9g8ID7WL6DOT+kZEjGjVW+RL05PFoapRdlBUvP
PLQkdeh70OiELzQ448GgOEjCmh7JKwYyakrrTfetdJfOGvB/7pCR4SIXkKRVPk/0/EbC7/6mS/Hq
1ch0SA9ZWL529Q5S296B67WGGdG+MfrPpVdfkrzcAlo5oRSAZHNLjIjDSLcC9KDrQ4+tnQmqc5Oj
HrMm6N7dTti3+0NJ0vnbSoz1wakFmCFXzSIlT5XLar7u6wlUE5nleTadPzaQ1ppGlXcKV2UYDc30
kNqxfKBKJd4FWABhbgZERLDJmeOj+5d68caK74pVqdm06ZAf4GO8VY/w8gD7boF8xO6ZYJ6bhwSi
9834MmHXeurBM3A0aq8e4bZL59gkouvZzlI1QO6QnhA410+uw8lUaWJD2LcDtFVAisyAkxWg6sE3
kmCPt9Hc0Bv+ai4FJ99SPjQ4U7a2HTDG+sarm6bNgXJtJgwGefXIsg+wYogRCZvcimiJL4Ud/LtJ
gzYI82opS8ap+puSTfd032hdjxgCXyCQS0DpTq8DI4jmGbG/8egNIj/oKTnCdVy45aplHYoAImXW
Ln2bcg+4g7Z/zNSmKVeNZqNA8hp308OqbgxCwSY9/zQqpI3zbIxbd16MsGe2AtRtZag4tQzNzRCv
rDKrCG0YjC1Zdc66lbV5S1urWOP26w+jBmw4T9q0p/Pc27YgqRh4Kj+spsTfkaHzPLiefwLS9k9B
nGSbLltovHVFSXd1J86pVi3PXfZCtFixiY3U34/l1L4gDWEh3/XmWuu7v6WLzMSek2VTT5JI5QKx
hut35QGVehjUSgVTfXdRGV/mUUUZLfNwm1JOzEh/tcahv0QUhW7zhg5NzYif5kXzrpLEnpe553xP
MYr9rqtH0uXWMNJg1Gjg+vYraMblU7qsQZ3Iynb3uwhEzq5Y0IgDEax0USWhKQ37Vltzg7x0sdeV
U39YXW89TNPfaTKGh6WLsTII1EADEOyFtSRBiZ7ATjUXrE6DZkPQ+IHg1Og9oz98l0+6TpX08MCJ
BpNvUsUSDehF3Tby9oY6VBNRr+B0lnAam24bjYrATiP7JO8beQX1aUJKyBKxSpDzHNDbhm5u6tdy
SvtNO1VvpUkbE0Jj69NtlkO5WO5j42IcEOIohOX+teMYXfGQyafJa87MDoLDlOrIbUWevUIHBtdU
yclphwmdlrm1bwf2U0WEUt2C6eVWEpbAUW0W0TaaoYW0anrVZwnHb1Z/0yZmyZN21yKb7BXHxXg0
AFRCbxhXlm0GT+ims7WRJ/bhfhex17jxsOY+LL5xpt8ezdpICGLuc65Ymn5BzSy2IKXuepwL/SL0
Ub8Uk8mInnFJNKy4e5bDZ6mZ6ZPpdd2zYIqsxeZn5er6a+qyK2Kt+vfW/TFt9CmeLK2912vIJzFd
ES0bXIBRxs9lBuIiHBFhk9GuK9kS5hjT4bcjoGuHGXWAQoznL4DRZ2tq5XOqyp/HIscA4CJYHqay
vTkdrVJZsVjrpRudV9tHrDkLt//gK0GMpZn4Hnr/tY3jx5RTfZ84C/ii3j8MC/YTaBaW7X3kLhRt
S/9HuWTNzEOhncTFsdDRPFFzVx9B46IXu0M7bSZu6CWFvFr/w955LEeuZcn2V94PoAxaTIHQEWRQ
qwksk8mE1jhQX98LYNYNNuuW1at5T2AQoQVwzt7uy2XMZmHUzM6BIt1jsoXiKCv+Idmkmt6f4rTL
V4QX+D9aI0YbX5ovXWxYm6I1f/UWlV9FkP5eqAiwqlSW7ighQ8aZ8uQV4eJzQHPySIAoQzpm43uz
RZ5QOFJwy/kTuT0ZTQhQI4MaJa2CtBrC+2UhjQX2m8mxDnCBqtVkOdOqL63otCxIm262Vaj9WCq4
ITpLRQqCVSnEh8opcl8FNy1nr10iDWIXU3+ln97Za9+kzaxJ0rqg04a8WsEFGVUxanYl26LEIuDK
z2jqdm1HPyuRmOCBCLRbq93KsUT9SZeMrUnva2dQ9vWSmjZeFTpMgehM7uyfeNCc25YCl9ekdral
HdCsOaVpXmFQUFa0ozGXhyu9Vz9Ta/4vt+E/5DaoGhnJX0yE/4JcuP7o/9/VxxC9F1+zG/7c7Z/M
BVkjh4HipQbWigAaGUPyP5kLc64DZXjdof2sW6rJoa/hDbAC8CkzDiZYATdoU1zCGxwoCfBtLVlV
9P8qvYGuEKbGrwZlB7G6Qg9ANwzFpLH1zUdfxXpKeTePT00VAWY1/YLOk5i2STqcYntG3jtz4zhU
HRD6VJBwsCG9lKQM7UrUVOsqZDiVoVbQDDi99XBoQkQpy0Kj/nzwVVtfS9n4Rl44wO1Sqg4OKbdA
sefV3AbstF5WhZ/Xn8eXTcQxlSeBEaXOGiDMUYGel1p1Q4Omx2Gl5YdlodDeIbt73i4dK99H2S+7
IF/GmTUXy8L6a23ZFHRD16MCy9efBWjTrEnL+xmbv4hfltV20ks3z6wRHuSMwp7J2GIWs102lzVH
6SkAjRNDVIQfEIaLg5aCW74sjFmxJnTjmMww9WFRVcyLaN7smQZupqg5LftL3xi8MbBxnnJRSd0u
n1MbzKVB3RXFHQmq9QbaQo6ArUN69rlqCbXfJ8OdwZyOz7QZq0Oll38Wy2YckdCsRNLvGlNnfwyI
rnKnxprhmgymjnDfVmS0Md736ZiX3a82G2+If++pqQDzbJzsqg3FuY7lYDM23dYGDe9a8+SxFlHL
yJhJbBgDsa3lnWJnDyJUyLUM6+teSYwt9rY1EXXBDTjMuRLDibs+6vMaYTUFs0vlh58ka0uTonXd
0+ODqEc8a0J/seinNNLQn6VNsQ9m9czy3eAue0yntvKxWqr60/L9BcDvN0mj23V7oxe9SRuixS3V
C4YD8D4o5cnmB9TgBuRAJA78nhmezGtoqv6sXfZp1DdT97K93Oayebnfsk92fAQBFQi/ehQ4Av96
wP/wMN8PLw8bkPHEVz6/ss/jCc55BBuX5zSWF3fZvjzff7+vLh3DYyKAzm9+xmWR1fKftW/7OrKy
t5IBchPp018f3ZeP4NvH9G1zyEk1lkXTrpY7h72CHK3xD+n8d4Fg8WeR/7WZLMz4y/ZymzpHl+0t
91mOfN5oObRsg47cEp6NiFAFCft3D/tt3+XpS2w6mNL+5pVcbnN5NXlbta7EiBiBGq99OfB3t7s8
HtGpDpNj53TZdbnrZd/lvV32JY16rk10EJ9vVzWtRzhAwSacQ1aWoIfPCIgl0KFWpX9GRHxZXaIf
pDE4x0JRNqpZNfJaVgLFMxnZeJewiGXt2+bysImVEMywHHGWpInlyUc/1netj055jqT4u/st+z7v
vNxmeSGfj3DZvtz7274iG9R9UsuItfqwO5T+m75eYm3aWYUbOUzLP7ej1Bwmbzn0ZXXJwvkMv/l+
qBTIs6PtQsmnGc7JYsx7xyMcUncXPeSiM/rUQ365UbDc9Jt08rJJeQxpXmJco/SsDlBiq4M9J04s
C6TYc0aOhBx4GhvEFxxYbresGUQR/AmlWLaXO18OL/uWBajdP48aAlRynRz06jR/OlledYdlbVkY
hdN5JO3mtDv/OtA2eOSTsWDsicSYM/TXxd/taxPOu/SoxXwdHJbr4Lymzv/TZV8yzf+b5Uig4GfT
O4XBbuKkGF51gQ/EZlqeR9ffb/x5v2WvtPzV28nexGoa7hZR67IQnc+rR4nntaFVHcz54rYsolnF
tqwtB5REqqhLFM9yPXT7RSe5LFRL7sk9ivFoGk7wMswfFU380CsbTaK/RsNrIIbF1RXkcVbPyckQ
nP4uwsBlbdkXFjSUcgSWeqROh8HyscnMi9zg/eZd8ymFTBrzjwIyZtLUIfHej3StkCCwoB6Mc1uY
yHmznjSiTq03gT7d1X4BrjsuJAQx/GCW73ecv+SUPBC0ZvNOsfx2jPkimB5J0I64P0oRzt4kHtCt
qFN3+SSWD8YnMQMfn7X1J1k/OMLBgDOvhUb9Z200BdNXMQOos5waxCI5VCcdRQQjwOIgD+iz8bTg
wABaS5JC1ezUoVnBjp/6ez6o4mAgcwRObJFaYNQokJw6prya0WtOQhlD/VwRJgfZOaQIsdcRbjJv
sC3JVXPcaoPUr+t5VKcvo7dkHr0t2+1l57K9HFkWOcmrYFXVlBZEMfhY0+bty/EvN1oeZNlOU8nc
qCrShOV5JkaGK4fyAK0x7d5W+mwzIPKfmD9zOtHmzJtlMUSV55e9tlMyuoGBsVfn48tCm0dey1qj
xaTILNvLnS63IRSYI99ufrlNbVY6YjDZ98xZsb8sJlAyXPjnbX5lSIrLebj7t8dRPcoww22aov/7
Nsut/z/2LTf5fJblLn7U/wqcoF5fnm5Zu7zVDlq8q9N78JY3tXxal7f7bXN5owlt/em2na8KlwUt
duwAf+0L5ssXMIzioBBYpM3JRf5yaSEckGL05YbLGkYnrmuX+1wOfz7sEpz0bae1RI99e9rlNv92
n8kY3tMIdDLBz9IQ4Je+LLAN8wV9X1228zm+6m9v2RizOvzfH//yoN9v+mX7c/XLUw/qwL9OEubn
Q//L8eWmU0RlrVF+fXmOv1/9+2e6vOhkVB7Q0sSbL69gWb3c5MtDLEe+by87v9z98/iXl6PRI52T
y7DpqF8W6V+bGaFn+px+ttzisv9yB8h7/rokQu2yy5+j1lSAA5q3rC5HxJzEtqwVczpbRjALQ1V8
MyyWPJppjqtJYh3l97K67FwOp0v6zeWWy1qI1IMkJ7Tjn5E3y06EAkyWl9UvD7cE46h9Wcpoj9Fy
L8c/n2nZjuvpYSpJx2iEcJT15e7fH/PykpZHXw7zdd9hKQADkQ3SuqvVp+W/cvlHLJs6EJN89/m/
QONBPN/lVvKc3odBjyzA+RLfL56qcJkU9/Mk+bKAGhh6zpwNaA3VHBM4JwbGBeL8ZSF1E4GCy2q2
xAwuq85HLfCyDKg7uajN/xl9jp8b5tDCy2aGJzQ+GLadb8dZG97Y4RvDHioII1YBuxEfo9B/4Zj1
0oIQhIQ+j6HcQ3ysD4XoXqzQzY5RMwLVV/S3EEXWeplbJzxM4SCI0mguze9umb5fFssMf5qjsPSA
ywpxGDHNU3UFnIEBboiTwtS4mJt0+pIqxigpi22vm48p78UwhmMDZV+WGYTx26Eqm65tU3gTroK4
Ts6XuetSilhmsdlg9OvK1APX6dHML1Wo/yvY/YeCHZFPMzP03zNSHz6GH83XWt2fe/yp1TnaPwxA
prZsKgYxq5rFg/1VqzP/YWoqI0YbktRnQe6ftTrzH6R6645N7DGMVMWgjPenVqca/7A1w9CJbUS0
Oeez/jd8VEpy3whliqIaOowgS0XYbc6tiP9NKJNbSeqqAgqRHtfdzmy6+6prkDgEWJYKy7yCCIZG
zy/vsgAxrjONp1w4q2gyCHvgJmpanhARY/5w7I1h13eakf2ooSHyg7Z2cD42GMwfgDOhSXTC29Kw
73s8ezVhdXU4GYxZQ9BEk/6Y0FHzElltToZW/8hlfPs69e2xWg2RejYVi1AU5aDM+lVR+rvaTjeW
aJ6p/jCQCBFCl3ST/cq4rbTmGvcBfSBSq7C7DpErVdpNKuir4UKgQZ9sjKE9qqINVpR5vJo4LccJ
NnSXLCR0lostg7GWoq56hrNpqmTrydrjDJBdK1LKtZ2AJ1HEE/Fv7qQkPW8s30pS9NA4JAj0yKSo
EiGErXoMuNGgbhE4eqXINrbfvFW2shG1fhLWDFZRw71p8XmQQYPrR+GM01koKtIqOxa9xAtQmUuX
XaBeZdkoH60Y9NW8pQ+VerWsKbWp0S6Rr+i/KdfTyOecF5GzLXDn8y70hiQWhbMJfJUVeQPg+0xH
OudGEdz42hTMFJptTl3sNI1avMZGCp0Dh/wN7fJpbQOO+twUhV/dYBtI4KxsNHUM15ER6Q9W16iH
wup0WvtdCD7Bfw78XDrLTkDeVBDhx5Zs/7wsanuUzqVaEHrzM3MGa0cWQau6aLSnawp34phn6rZE
2EQITU2D1edbBiwR656WlebSawVuVGgBczolPAJZ0jyLn7fXSol96nPLOtWj4YbSUGLwGawTrol6
lfI4q2j2jgy1FV1HtG+ykSs2kxsYbrWsDtu0z28cU5auzGQU980YhSQ+RARwWEZ7n9eGfqvI152z
D3WlfpSlgoX8BtHJv182VAOmS190N5aBLbuPzccOVwpwtuhFRgV41OSOliwxUy/AocrVKBvEPDTa
Czqq8cHX2ic68d3PuIeVNEy6ftuZvnIoqhwrtC8zxWH+eBz5TVtSIH1UpsQPeCivuwoQExmwxVqW
A8rSuTAeVFO7dsy4vTZl0KPoAO4HlKO/7CrbB31JI7wgH1yRzPC16PmLp4TXJTqpMPZg3oV9Er8p
vkJyg1LY9yMwtHUgW+Gm6U3HtfNu2qdxG+wqvufbySckKEps482egn3ZJf7PToVgKcE6HhC6NVYx
7UL4DRu70ZoX1LPr1DfVM1lpwoUtrG0HCTytM/bBE2l5+qbMCn1tDzBJs0Sz150RyJvlqNOrW2w3
CQw4y94lpRifrUZ5ptdV3DS6FhBsBGDJ9g1YD03T/cpw25f+XTI1pGDZ1THNOue6GbIIi6DpUFqO
7FOowJPS86Z8CE1wgTFPnTYKYBNS+Ah2qZsDzchHkJkoSdPgRybNmTlMq28KZCqISdB5qBnRODZ/
NhJINOsw2DjY0tQZ7gupH+5zVd0Jw0m9vsnB9M37qaZM6zYalfVyCwsj+a7uGqhmYQagMRtvk9oa
bg29JUkmiqgE/HMX32WyDeToGJkmPkYgXM9yCfKZmSedv3kTcgxBJ6HPq8qCY913iDKV5OwXSXNr
TCJ5HJFzmkn/hmFiuuqrMH/AHXMd5U2A34qtIegx8CI32SHw8AZa3A+cgQjIIh7xNEaJ/Iw+b4Ue
3CAevhc3teE8GRhRLdlM7wpk4bcUwrd53+iebo7GWo7T7Eqvh/RKSmCWaCLe2IFKdmU5aBFigAdd
1foD2CZ6spZv3Je6icgp9asPdCkw6LpTV1nqypQIl5vSJL+iuVOf+f4kzBBduCWXN9/JTvEU6FJz
L+VKdhRcLufstnJjlWW0K03tHMhd9Mu2lbNNk/d92AjF3OOyG59h8RgH4SCTXjZXhFHrWAAqoHWN
br2k/KoYgSfPOlDPowXHyRuzzH7pnanxZH5ebtSX2toyg+KFBB7Nql/kqfePZDSSkVW2vzuJ/xPE
7jP6oO7JlDRpI0d4vYjnMVACNbHLiNC/zfGxuTS/CqotlrWyO+Lq6pE0s07mL4wEi5Kak+WrTtT+
zoSD+GQVfCmZ1UaIJPJroILOuZ9E5oWBFRwWfbhlIL8K0/FF9SFN0QyOMEsU4tbucHTocnhf9Trn
ah93qFEU6UmN21NS2d2NnpQSf/NYPNc0kFB75gdTAvI1NAjZdStv9hido0e1JlcqknlHy1EgHxYS
wFOeTXvEFjjSTJJablB73irBJI6f++bNvIsLTMXykw+J7cqeF8tan/N6+o4cmXZIOnS/andc1ugV
Bl4yYSvIQn9Y41VCy5FzepKhp6zsiOZ7pKrlKk5mfICTVTcpui8raX4jViOIk8Q4wjs1wFjzpJu0
x0NEDh9pcNRRJj4Efj8A6oK5ABFiSXaqVw1X7T6JAswasthnRbQZpZgLe28wyqkt/1QilmE6FF+r
hzKpbzKpzW4lzrLAirBPS+aHMjEg0rkobDN5GqEiNNWxS4imMyP5Hu4mepDYV3aT5psry65pfCTl
Hj34a+BkWyXo1PUAW31n9PVPTsKTO1aSc0bR1uAuht1Fvfyq04cfOvE/uihxOxlcH0RiWl453kdd
Cs64Qw6ntS1Pi7rZ0vWW7N53a4wfppjUzZHgMylU3AZBmWJM5O7V1W8/UjwhakBKJpq4plVupHbu
2KrdL20Y98ikG9ytSrSB2FO5hR6jHIgt3TP05gU4pivHAk2VnKobyxxAYkXlHFtHLckp34lcI/LV
z5+k1oCAqK0dQ8vdMcjWUEGetEp9VzLk/pZ8Lck++Wj6q01WY6/YtwLTDn26/sMSzMAqWrRU0s3H
QDRPOOS3jemb20pgbCzHj6REDGykkieQDSO/fe8Ks/MciHQMNSytV1byKK/g6+BgD28BiQvX2Mi9
DLK+85nEScTG/RKRyY+5FQSllc0WC2PnybWCxRbGcD+SnwhZy+ui4F1FcOnKmXFbErZWpe9RXL9M
OtTAtEMeVItZ0XvylfRQ9SUSMUN5Llr53reSu0JAC8xM/k/y7950+358AmO0Rn29KgODZDcqyF17
9ifpUI/Wil/TemL8N3U3Q2N7EKnxeYTSXadJP5K+uZUDwLqJWMWSSZxbsUs4E2NsGh4wNwVeIZWN
S0E2d8MZZYfOpggQvHfpXW6hTcVuCasE2pUWVyTdlfj2bPPd7KOQFAD+knW8r1SjcbVY9oaezryp
macq0VaBXj0WVkvIH9d6rBJlda4CnXiAsDkxfkq2nNUsOtjuoAzXKh0QLAZ9s6o72toGuEvZBxbo
WGciElwNAVRu5f5RrVibh92RzAkmQ/NP6/46dbpXK6uOxZS/561cbhtpfJD5P67auo/5GEkNUycU
NhUpqxV/REem/aQYaGed8UYh3JqXn8xppD4Abb6eOhT3YwLWSo5jN7flGtRVmQM7Vzb81ENX2EQ7
TIH8JBfadSJbOQBDLVpXRvw6VZrlNojUEBgGMG3i9eSoAwO57qnJtNdmfhxFMV6DOr3WhN97o51E
5Md+VDr/EU2q3rsy6t1GNLFnPuJTBKaj/IztX1wBbkhw5aWWgJ0qCBiN/dvOxp+6qZ7UFm2znGe1
F6KlSxqj5zpprrAB/eg0+2lU9I/O7D/GqDrp5UfTUDnJiuyk5+HeaGZpFSaU0Ihu255UucIoSXM0
i5MVjly+xhLFcex2UfmGw85xuQ5sbWPYEQeOObd7UfruORDGXWOa1xCCblMV1GKhZe6YYQG0xVUB
QYIK2pGhkeoWdfgrVLRq+QFm1GHg6zabTlDZmErzXCfmUUzjOjCQH1AiQuWLhPcGgwx/yjrnRzIB
RNE0tqT+BtYRwG/9DVPlTcD115QwYxXDVGy6RpyCRt9VnRbC/Y1gFFMQyW66zieYD1b4FCBmqLPs
jEmeU1a4qWvU0pIAYlv1UCfsN33uJFXT9CFs0lxrQEMNHg2c85A0fI9BA1b5yUx2Wh+dm1Rtt6bS
3dgjzvW0fvMdsS8kK97QlCJhrmlwbkZXouoAgiF135rQYhW9kndjZawbqfiBeU/sQSIobi5LBvh4
Z4Ofoma8gZNNR4XJJYnPwJmG8EpHWzBCGL6xav8hKurfyYg2RnTAY7V042M9ew/u4ntbaPeYhKOH
pNCefZ9Le9CU0koCBdGBzNswymr2hsNPKnfgQaJWPCOPeFZCPT31tYr/NhoTFJrrgXRMpnI7R+qv
yKKX76T0IdJwO6hGqa9SjfgPQUaIX+krcmYbBl8I0yoHEPQYOhv0RD66khiG5gDyTOjmU9hCiTPs
/GwlY7zpHFh4sm8dE761o8Q7naVuo9YF61JOz5KEhaEy7HPf2w0W1Wxjxk7MoKV2MOgCy7Y59XuI
09/M2hJ75ol7Iwz99QTiblcbqPXiQj3UGbN4kD+/lBbaWJmSH9I7SHNLjZh7NRuxQrXVSwPgv63t
9cjE/z7J8CBPvvlD1TSkvgXnvjdDUnV8xLjmMMvMKYx9hLdIJjYysm7D0d8wrbW9qrbvTPSnxJci
UFdNLpc1XG2pRj3Z2ufGyG9HnxO8hYCzEYhl89hHNEyYKZdXO3MgVtawrPNylB4bf/QkojNWtRO9
GGmabmqjv4LA/TsckSaLNsrJ385QK1Y6E2vYxM1Mh6rnNjV5yuh4LtvLTs0xnxN1stbL/qU7TT/z
X2+3HI6Jrmc2Vm2Xu9aAxoqIYsS3h1wOyj4jQn2QT8tDLrt6EpwHZIPuhJqLtmGQE2k4oqylqO7p
CKk1A3d7cR0Tr97m/UeYMZhtR/mFgsdVtAek2biq1O6Lpj3rbb23KfuAnO7cXJgvRtT9TMrpw4rH
j0qjDSlGf9U42l7r+48pwWIMp/WBi9gRkx4YjMHDxE3NVNXBj+rqxzjOCezhqi6Vq2IExNX9Ag1g
bdKUq0BnKKeqNFd6lOeo9TXqza0Teo2NYeRCxrrQsqYUGVPXVwhfhSV2oocmMaO0lgUOiwyCifFY
JXOBXI1+ZCFqaBm3RtfrFdNVy00HYDuDincMmgx6FT2QVws+qoKewOV6hkgt2wtJCg1B0qa3AFhl
Uk4zjBZN0bs+1aTRIWoiIcwbURyjs0nNnlN9CjeTRaMTa1fuYjN9AxFKxAGuWNBeGikD80L9aw3U
hc5QKuBPPGQJeA412Y89sjR19okCQ220a8kyfqkmNTj5vlWDp7QPjg2G6jZSrhyjfg8b/9GKhl0Y
8YET8G7OObWnXpPXqpQfQBNvu3i60pQeIo6ungKJ6AWDFq2QAel322iomM8gDmPSw2+DSYrn8GJJ
uAi8plTX2GsTz4puu1IjHlOsW9Nat470Vs2ZOb1F9tLg/CpHex+RpD4PEWiHKUTorCwHJ5FiHC0E
f211OwTiqswrQFB4L0BMK7L01vr9itofQ/xqbRAVXYnwTZnkK+x8/JcmJAGl8Kmm1C3FBvnGzhG1
h3c5bLOdJvprZ1CpaQK/nlJcF/qxg6uNJ46YyBMN7W02gN8S+NpGWz2rfnxOAqDJQ0xLrc77bceE
2oXFz9u0+AXnONILQeGySA8Gsyg7fYBAzcRQ9Z8V1M2+FDO/AAionnWr7jcyaF7fpo2AGh25RZni
edxrcqvg5S9/JzBTnFQ62KPdHNVWgAegImDjXO0Gp5gTn1J3YNSCPX6vQhpw07Ir942RoVUo8aGL
U5X5j0VpyitQDucY5rNXlOeRtNNtrb+Ovg+7j/R3Lk2HIr4RRgj6vYF4FxowkKliHybRbjPygt2k
iTdgCZ59Ya8HRaOnEoVUWMPoodS3IoOY0VXMAhhw8NNvBFL7+4nhvms7GCVqE5Nvo4+PIWx4TyeH
YCVVryFlB5tYBmZMAAmad5iHUOKSao0K8T0uMntF4ZbK5EhOSX+F4OBt8FGEazM8NqcHrfflDvQq
ht7Zf1j44a9x1MR1BDI/02ATJVzGUtt5Jrindn0BnzPqmMrQGtbz/qUiZj5uUwAHzbOij1vUYu+t
U+GllZJiY6ioFVQQOdl0n6o1gBZZSCQ7j54hS4/2DDXUQzh6o1DRNhpHGYxRGgHul88B5g7cOLdd
UEp7pX3RCc2V2mdhRQctLNe9qPZyqt/FOVHRsqWgfRSRl1ZR49mdgfBSu5IUjDhVfC6q0WWEjvez
UVywTBo1lOsm7T7AWrwG8Y2mgAUuMFjnZZbNqnpt05uc0QyDkKs+PDmdH7yKsnhXzGSvNdJp0MXZ
D55s/ohaxyjExmFZ2v6t4gzOKmAoYirNPXqvZ3j+R2PI7/HAroiH5hqdHKcq9Zraus/ieq+3xY8E
YborRyTaFBo4IvAFryFeqW056T/9GNuPZSMXwWz2EIbJfTaVv0NOFOpU/UbMS2Bte5vKnHMsTBMN
NJ4i/zlFw0+fk4KiZL9tR7lqRYn5xXobcZwKPIycp1aNnhdeWVD775Qi2yBL8qwEP14UueorfId4
h2LsAa8Q6n3co/qaf9cjQQ5g3+230sfJ3ER4+Xu6przA6coehp0zPgL0tzfBWBzyeajql8ScSWjt
VaEAcdAeay4BIlDOujMVSBMLVxnzDU6czRgxFYzxTHHp21Btu00V4CbGu8olDGOLxy/4VVNA8DMI
GvPrYur37RDcQsa+M3UGZROVYkHZw6hWZDnPgtSetyKdhzY7gAqOSb+4ihR5cCPNuq9ikxSHcW8g
uKXia1OdVl572bkLAcMiBlbXFmNDOVDJRa9woFopb7eA4ocZNqYeMjKCTtdmwIAHzsXt/BHDr3tw
Uqf0TM4IoJc2ahu+S8zLCNEuGObwFsLXGBNy6gDmx8o+ug3hAOqgXPUmGzm5KvVUc/bMJmNP//zG
jt67xhiv9Ch06HdKL2mUvmqRPU+tHEiyyVMdIA/sH/u8ULhbdF7+SG3KT7/8zeDjMZsNM8FM8G9l
5mj2TWXCculHh2q7pKoQ7hTmH7XkjvLwbJH/QxeLMbuEOJWKFJfJZLpSFeZFZnKiPcZjdW6q8Yvh
ig7unm7XNhQyJLtyhY3nJuqVnyRac5J3qptAoW2rwrscC1DvqcoHWMdUsOfpdjF2eKoC5WSWeC6U
xLnm2993eR559gyIkQY5dAGxgTznDQa2sRu5dnimRU6Fbzwalfk2GDPLRnn0QwocXf+bMe6TSO8N
0RVYIu2VD25lxW8rBaXTj4B2Q64rCKJWgoAPxpHjAdAFJ4Uk+W30pryueqAHw3gXlHOjXHRiUwLd
c3tV/ZnZuHQhjMaj4V+RZP3Yp4OXwdu+nioH12mDHa+Rj2o6gSw0mWg76N8yMRqUXBmXNhSfZNsN
O4WmG/HQUVVswlSldZgHQE9V5XVSgBDETyMtGDdLfOoM8xmyal5JKPlhasgkbUIpTDBvJztlHIoR
RXX5qdTuUBgt59EWsyzX1m4gsktVdY3ZmTFy/bEgs8DVtfSNiZaNFCkoSV2KyY+SdkClzc5WZRsq
W7LFbiwpNHHqtnPpNbEPLca+PgUgF0fhYy00uKJ1valb53mSx63Wt++ClHsXaRpQYyM4W6kDg5oq
aavdt9XwXGrOdRfQy0gr6YWKrSHnwh3CIt9lwH5dM4y4znJBi6LxZxRiN52qxGOa93tCAA/8gTkr
fT7iJ3BQtRYXAvIb19TXnb0f/aRsb/EXwoWnt0AZ1Fe0jFyy0+jXYMtrPbP44kIE7lNJiIVi3blm
03abUC2eQrIKi5YX0IUYSRFbUENyxFrJChKNCLcUDj9xBeSWq3ZBtcJlu630zkDY4LwzvHkk9lAw
EpJWBBl0jEnG30PYvme1vmkji7GrE6mur5hMIP2NnGsF8BTxpDjMn0RzHrI1X+/RCqgnjSCZQXtp
KwHMm3mKA2wheQQXRzFqxWBJ6NeWWQ3HTlap0gaFcgrxsrtx4IdPcqnOeSEBpKPJzyiQ/9AnE3Pb
nE3od1f5oEcrHdI0DTzi1Kdmw+l5XBk983R6UASnQGmQhgc5KedAl7vQKZigETa2t5zyh67STgqD
fZsNFLG6D7uUt/RVnhNgpy6OjcehT8ZNRJKY14XxxsCAlifytC6U8Xosmo9cqoyN1GgbnTq/Uj4p
LX1pM7Io5kXRz/I4NFl3sDt5KxEGasRnME3EY4z2B/Gb1P/p6+WUqyVCENwg02lB98A/xmwDiLF2
uy4z4VXIblzi1c9V59kc+MQBPP3ISS8nxGPtYEf3Wg2ZDB17UGLWLRPah9Dvf6gJxOixJTqEYIRt
K2uvNWaTrU96utcN9VuTUt8CnBqvwgF4A/EWXJyUs0Gj0PDlkqx5znyalFxJgN2geesU1eN1Qjdl
rfpc0hmyYwC2HJo4tckQNLV35YTgSBjDKoN8vDEx1+nyoRSWDLpba1a+rJCXbirKqmviXxUtM6/P
4wcrZdo8m968GrmXa1IE5JlVOgIrfMzRapCaN8MP4ZBrDIxlX107FgYWpZ6eAgk0ZSZU2ett+GJm
bo8rIQ/vwmKXkak3tghjzx4OweLMNpHEgvmZGbBrK0RmEBZHIAK7sgYu5EN1J9ajXgFWl+aYkM6j
5H43NpjzyQnEm1fl7Vq14f1jGp1FBQwmjWff0m71IUg9P6JKaCv2CofQawE03xFPIhb5KiyccZd2
vnIkKQbJbLXRVSjY9QO4S2vVcYI5ZBNYBqDXEW1989pP+SfTedJ2sYUAVgp0mZjZTtuIgYtMadYj
1x/lI2Ly54UDF1rH2NRFwSnblfos3SfjeAr7pt9l6ZSuU93c9zicOBvWe8bSt5iEy13ch1eSRrch
Sod9lDj06FJ5H6SwxiabYYip656lTt7gNP5WEsBmYtz3ecMQQa+Hjd2JggtMWwPEY0I+NdJLUVsH
Yr5xkZYrEnmOclAOHlZ6GIu1jaZ5jFUSTbvW9ZOJcxGccSLSxp8q4omrFDcw3bN0JWd3UYDKvpKs
K+J0Bpq0/DECeQ31MDnlfnTvi56Bh80rG9E9VjoQDFq1uyhMNjHdSeBw4o55LLZxGXhFTKe2y630
0OXFdoLhp+Y3Rk5joWSeDYo+veuJWHmGvEkNpygN6RfVufXUmiCNVE+ZCcq605zxl3UrKe6iLc/3
I4R75hIywpk6ox2vl8UG6MxPcNSroonJxgotzrESeLGRiogexNdGDhi3ke9Ky9x3Vp6tjFaEXE2K
wiUAFiGwqZtAqQXFNusd/U++M0SGtyiM7bXCNcosGnBBqk/TgYpPTz8ysJSfhOA2R1FK/8PYee22
rmxZ9IsIMBf5KipalpzjC+GwzUwWUzF8fQ9qN9q3D04D/WLYsq1IFletNeeYNzV+p1iIJ29aUiPD
PLvB6O40+VbykvYRlmnUxWCibAyuM6gOWuzigHU8QHIEMVsvbqd+vrYEdvWFgaN3LSTMjFEH2WQG
IlyuDvj2hOoihkvsmBoxb+YsfrC8Eo5EBHo6T6R+Bw2PUaJmPdV+da9iaCt9jVlbKespCevtDMCN
oB5bPyhDVkHjD5uZnv9Wb8F1huV8m2tnW+vKHcfdycq0M6IClB9jQ4yHoi/BHg7xTlJfObP2Ucfp
k/dKQ/+Ya8+DPR2siu3eEDnwX3wuPfofa1BA29r8GabppRfExKH/IE3hyoUHuELecKcUlnMYjz2b
pJHK1SvcjQ2mc8U0+kWZIJrG0tpOs6wRt+Ddn+SdmiJzFUMDWGdFBz+zcj36SN459vGVtTjnEZ/H
p6LJxVnLxDGC7LB1rIzWWv+WoB7aTZIoEL0IaVScMBC80R1kJ9I1UeCaQWb23oodRRnYyASZfNjn
HOv10AdcLty9KODzFAyXiS90VbvuTDrZXG6PiiEdhgP16VY2aHAbDpYFjL1nU22UxrfRenWQihQp
vkUmS+H3p2LnhWo9NARAaSVpVRn1b9arnY/kkepwM/UJWyqa8rVVwhzLZLlmT+cHfmaHGyNjxXYQ
rzaKxrfjkstVh+F0xjYIHTUqjqM0cPz36FORmuxt0f5ERkqbK/uxYeysJZ+Ip1xr49bJVY8khuvA
VsQk6iTDje9oV7CCNuEEI8ZL1FNXpQ8YSIEODykmg+Fp4tWYqnufEvzcndzk6FAg65mEZYlya5dl
vqkmnUNdDcvHlN6jyHR3BfofA3BB6BOTwqfGdr94yGzA3nKO852qRBR0VfZtxkx5dLd6DEOynozs
rWf8DruQhciv2w/4THsqaV3MYp9HMLBFVf0wqHqeSS3U2d0RuE2DLuqfhTGe2skLyUChXTeogjwX
+Ix9kn+4k2WycppH39S/Qxe8HGEUhGNV3qNyd7Gy3G2VDrfTVJ8BhbgrFEh7hDX9JkTJCtHbbHde
1pLAOmRsPqmAc13Ud31tHxNy2TdEn21roeF8M8yHDqAFUxUGhXrKRTt8YTDVbGlW8Nl0MQ0nE4h0
K2E0cfG06WgEyVi8u54AObhclrx4ZN33sRGRj9bn6U4Wqt1oC45vZD8pXVhpEHL+MIqr2H0gvMLo
u1L06crJz68i6OnuyGR7YNiFaskOXMUBx12zMqStvWuOrqjpdNj+gxaT+1qp9huMBpsowodXpguw
bbIsqMqtG3MeazsS4ra6YTzPuvbdRKN91crq0Oh+du9de4/GGJfHNvJWQ5W69DujB9f640Lxu63S
+S7qa5gsyToc4/E8Qi7rlx1XmzXo7Rz8We48BXp9CudCnaqubXaehZI68SJ9VbtdGdRt9eJ4uv7q
ts59YzmflZO9RoUR7ux0IpuTpENx79Bg3Vl+lh6RRpHAOlNwViTznNyCBTKzvYA2U7PWweUEkeMd
RvmStfN4CBezgu7Un1WrasD8VgA297aTVsfCQIlZ9TR8ZKM1m6aT6yhydnGHRHJqZbSp8XuUWn4O
Jy07GGqabgyRXudRB7A7afSDO+s3NA7IecBiSahmWrMY63Ff7zvbaNmXDLgh6NCTpwC9NxpaCuyh
va6SNPyOC0ZsYy03qevvNDeEoc18CSKdtunrcVjTHNmNTnjWtIhrlsVh4Kn0PE3uA4xb697OCbAZ
Gns3RsZDwixqP+ol+eMdgGHHxdmERF4x2L8yPP+kCZPwvdF4MugQOoDAtyRyaniQBuPKtDywkrQd
J3LAthOJ2rihgX4ZsNjsbt4Ydt9xvksgk0s329eTZ2NuY1hM3UcLm2YXs9KUrlYQQEeHLIw7cPAk
IRm5jWYtI+SaLPT2gA5EZyl5z5FUBMVQaltm700gF58w301cw/Tbti5A1g5kGPb5h3Jq48boFT7B
z1B3suc8zO8wi3w64GY7Se6Vn6uKrjS8Fn/bx8M9dJtFUds1a+2y+9XWoXC/u6Z70ere3yRuCdA+
XpJKTWdXc13WCeFyo4LC1Bct+0B5M3QmV0p1NVRy3qg6OrBOsZsq45chJQQtI3aGij3cjcuO8zvx
SIu2k+RNQsfYFbSrodSUMCuzq4KDem959pWOMulg1dTWQzX26wbHNOXTFM3vFpvhUTB2BZy30Sum
GEn3GppNsoEJ/taaTYj7gakJFfKfoZFwPFvYkX7XtWs/oWlXlxTI/TBhwhbbQuN4nYe+RXTbsnI1
PFmz9ImhIv8sRhTvKXGULDaiAvKhav1Fp7pfC6Ue9aghNmhpE5MTKdc9MX5F4nfbrnUnek5EZDlk
fKxAbbC2ZOHVBPZvnbbxE668gsBCG+2saS2xNloJkJCVDy1JvYms6aPpip8O2gpCKXGLN8jeuf5M
3gBzhwDhyjPB91wv5/K5H3jfbKuf17mozsBs6PGa8wjwbHjUFaGBBAoubg2LW+qwdbKAEdUh9qOR
F2rHR78YoZctZofLdxfj5//jNvNilfj9w2m5h9+7kZRCuN/jrjwaaVkHlz+8/I2sXYR2l5/p43tT
8PuIYQZniBoJ6EAyxfzq8g//8e3v/f/9jcNiY3qH//NZ/H2Sfx+R6107b/7zlsgOoa/UuF6ObgPV
7nI3l0f/+0QujwbUpSr2vw8stYwS4vKnNUkhzd/37++dX279vZfLd7oYG84HDtKDr96jxR/qgcw8
lIvN9x++rIsx7B+3eRd72K93K72Ykn//8vLdxdDye1uLO3lcbMqX2//ew+W3f//58gj/+L9//Ogs
Ful5MUsbF980eBiYZnipf58IpCcmEJf7+o9v//rYfu+tXEzb5ug8ZcXA1lxl+rT1eh0wMoaUy5d0
MdgChfrvH39v+/2Ty3dlJ64Fyb/bf9x++f/LbZc7+f1xpgpl7wP54fLb31/8PtjvbZc/IXhj8cMv
T+0f93W57R93c/kRsm69MlonDuiA7H7v7+/Lvfx8uauylympxv/7Vf/9o3+728v/ZLN/5be93EFt
xGJbUpYZtqbYffGjWHgEzoVh8L9/BFQMnOEfvx70bbp4jf2l43LBNSz/dLmjy5d/3KZXoIatETDb
7yP826P+f28zLsCI3/tCX1hfNVfz5ebLndh/GQ//86wuz/8/fv+P1/Ovv9b8Qu6ntN/861vwb8/1
X+/m8oe/z/XyN5fbYhRkm0FYf/qktwN0vsgI/5ufQow6gTdktdzCe0+2f5eLwXrWHKKT5lNsyqfL
alDRwiMQB5uiDcyWMJul+1BszAUAgvJVbd0FCuLTPOWE++gWXAjT3+ZIFlVzdJbv6NY1NltslySt
BTbCaz6bGa0zHQ6JvgBJfMgkGYSSekGVuAu0RCz4khGOCeqFaCtDddMa1clZUCdhT80Mgf12goJi
Q0PJFiyKlXbsPZjD0gOsF7nuREBIjSLN1MMdsMVvKASPhvSzbVwjiijGCnFR46wmI0w2ZkGVFGUn
YLkkuiV6hXtGxtcuKqgTgSNBXFmAoCcQrwZaAIbYztp3SwQBlMJM0eXGzrrwTtb9YdQngUd91u9s
sjb288Azc9mujuKF0oStTZcZSNgpdEyvBSXbLZUYM3BVsNXnPV0D1KJjk97YpuEGzHy0DVRLZrn0
YzC1IPSfnwjhPBDAcEKlK4Oktd/qob6qqinfUkARp8y1nQrlmnA82p5kCK/ZsVfrtjxMcQ/MNWOP
kdIG1AD2r6PUWOkWUwDSjJPtUPPeOZ21D704foyYIc7SHAIt9Mh5ZWPeetNNpsafVvDGeMp/Y6bO
eHQBjQK0DxK4umGZ6lek1Iw7ZmfXpgIrn1tARaYmfqnVTxpSQOo6FcE4Ox5O4pXQZLfvTMbfWuPt
EtvlnbZpp8t2gCU2Ds/UkuO2rXWSKID+ieS2WLx/6AL5X5dW8s7SpuneXALW+kGjMs/nQITZe6vA
QDO+L/ZSo0Eg+xjW+WwMO7vLtx4ajY1p88IjdI37zLsbAS7uvZYnPS6+yAgrACZvPmi5tWLhB8wg
QdxHns7YgHOpM9nZx9pPRyb0uhlPyxFkpm4HYnj+wwibMrllPFDb750mwnNl9l91AYje5PQLkAEq
YAxI5eJYkB6mpzb7KUG0YTsQXeevMMKP6xz5lmXj0Z4zwstc8h+XhiwzHLN7CZMMMb8L9alEeDWR
7x15PJaLkmxddqSa9qOayMhy0NFp2yJqw7uJvMi59j5lDjwj0qOPSRHx5mlaMADSHQzrRD8hPgLC
3pJM960tylfwdfS1x/nVryciTOy9of0RS4qBmVjJgeSXIvBT/Q72nEecZr4OY/U4GR7+NP+6J9Vh
VWl0XjPVQJrMvrLaAKpRUxjTeJRbkkvipYJ2yITEJVX2IK1LeiHEGs+c0sHQDTTFDeMGnGu3KZi+
9vqHUxNd7U8CaGLz0Gb1E2L6PPDpVLq+fDM6dWaGRqKa1S3MvedKD63AblM646Fe0KRR7DeMUYcu
WIXIpxh3pCLeO7ZGbGlt3Lup/aylNEWxreU5e6S2IOyGALUryzMiYCz9Hmygw++ml8hXH+RMNEyN
q+90fp1J5EOmFn/pCaEYrfnk1fGTwn0AVBbw8XD0ja3uKv+jG3tvTbtqnBDjpRUFuRuaP2WOnlp3
39LBIdF2flEgRG2TPyuM4WTp6O/gXaUbhaSlk+11iD6E1tS0y+LYXSWg9ffTp6tgkOZkEPXvRN8x
F+qmWzvV1kOPZ9Clk4hJgrXbZhBWQ98ySkJi0MKsI46JoKl61HHph+JNghmBEAabxUEStrXCplUH
HXtEsoFzIfD7tNURXmVTOOEdapRuM4R+GiwjZHcs1lbZsxBodBzy/HWI+nwNA3lRxtOOaNviRTqG
FTjdtM5HorGjbJjXbqPTkBmZiKGy37Ra/uym5p0al+b0i3KZ+tZJhpUSQURiflda9l0k5ldbW3Q5
QEuSbgf9RBQ4ZnrKtSLMgsRASOPlTLXiKXo1UCmMBbrOYaoe9LQ+1+0EcmW6lj2NzpaGlTnwhGPS
GFusdzoQc+gYLn1NXd4wt1ollWuvLRGxb43GQ0XwJJ9Imblyi16E9mjnRkFqHBqm6qIVmIfyCiI4
jS0CXuraJUhBbqrRvo29vFjber6PDQJjorDr1v0Qov/whquOyXrklva65qq76a0UXfugwKZrzG4Q
903oG8pxHVral1cz4AtBiVuJxWRgQKMk3B1T70dgo+ApC3tX2SZ4h+GUxeVTOepbmwCwrRcjD5nq
/C1xOMy06tXXq/RKBVEMWkzW92iACZrKn6e5y9d20z7GzfxVje6LWaGrWdDgbr11o/E0e2tB2kFg
tEhZDdc9VRIZTdUySa0Yyrh2eyC7xIAvswO6irsEpdobU/t3P8ofXdlfjy5Z7/qAwDXft3b+lo0c
E2nXbs2e2sBS1zEZIfmEz01vaGpl0rxNtGZtNZyfQKCdfM+uG/VhzqwvGVwk9tUUcG6+T934HrXM
BEWOJNQDP90lTHyL7Gsg+9KqxzdVz39ShrQqIn9QJYfeLh6Zry4Uyupe4irtE43peGbwxYofiDfq
dtWcENtskHRTYHgF0/vReu0h6rHl0N3clF6B9KMTf1qCi2BwMjjvF3h/SeoXV1rOJXtY1aVOCNfi
EerKuywCqW4gjNhgitqNrn94K1rCD2rGmtXImB6TGtCnyQbWmnBt1sxjnffsl0ME7XAK94uOupZh
uZKC9EjnSy8wHunDa8+TOujyJZFZTY5i/kzW/JGV7yFpQrnqe8FbH51J1Ua9bu66dNiPVbht9y0t
5Ja3hUUCqUSC5Wo1MCZ8j6cleEjIc+It6oWOdNt2IjnIJyipeiDOHjWDWWJS4ewdvPAPeU1XVTY4
AQzUF1Qh16YPoNTLA9EPd7KLwKsjJiCkoQzSIX8TBA+hD6lU0M40tSyb3vDMsZEBaSRpirKhMQYq
mnHjWfo1p+TOhgNwgLAeVsUZbwBqG8xAeGY4XfoXt6MtN+feuCJI9SZPaZDg8uHdhLWzsorosXLz
P3IxrhRdPiC97p8SGvH7JmaqgqBH4FrAY4DuvIzUEekWmLw+fMcGs2bJNbduUW9Fq05W45+6ShIL
ACFGyxM8X4zWLQ1dARbqIkOd6kWQdKwZAI+yeJMFb6MQOAgKVFbr3hTk0OBhp88C87p4QE8tOeYQ
M6GhXjltk9x3ZHuGLtlcGG8G787/1se+vzamLoDt4+y9sHskcYndnN+/o/ldTZNGmNrQvzetv42U
x1QjAYvqI5nLadI0TEXyqqrXyOY5eSjCajSBNVlhrJ86gtQiA/mrvIM35y+Col5yBe+VRAdObTwN
nJ6Qeco0ubbxY6louBn9lMOlTu4Nlp9123OuhWHGmLC+jpLqB4IF7XGDcXlmPYWtd0Zw8mmMqFLm
pqX0xiQUJt6Wce+pj+qjS7EY0WRTfnSmBCHUxjmZSfZMrf3suZYMnMhAH22OX3SlGLZ4ajx7Ppca
opQzr/+IJPBc4d5pEeygyq2RbtecHQOEZHq3jiqYNrl5trI9ajA3t7dplPyorW93R6cymhVzd408
gIEQimFjmM5IYaVxbRXsg93+Fhsqw14tu7XojTNz/aQlVu4Ys90QT8MUc47VDl2u1TLfNoguR0H0
yU65DpysRvZqMPEXHDTajxmaH0mVHUDRoi6Lu6O0z4XU7cCPERPnBYXo7EQI7jIv8DHlpLNzanr/
sSDJhtGO5dvXhKhukLyTdoDAEqvRBprSbapsGxFJ/TY26VVfzvdkq151Sr7XNvTg0Uc0plfxk7SR
jI4yfPKGBQGuR9SdmPLRymIA99By6CAEEKcwXpn3yp1WSel8pH0Rr9QwBbBJzK1tTY+mjnkp5QyM
eYczQkUWydkfB0HJOu9IPSF6znBRgozvsNuZ+zzlgrO0KIZ6Uxi8T/Zgn6OxOE1YmZdNkkk5RlBQ
5rxoMAZsbGTIVdWr2R41Y+vqI2MAR3uwK9jsNtsxFqkKY6CHD3R6BrQ7ewNkmSxjYdOsoxW3byq2
Pk1Xm7YhQdn6FG6mzkhBd+Z5kDRUhI7P0V9pk7+hMIk4QzIKKouLBZK+KrN+LMYVK3fs/zDUvqyb
q6R2zGAy9bsEdf0qrsU685ndaz5HiXDMD4AofxLmS1gFq4NlDns1mT6TB+O+dnykU4aPqNjCOpdV
BAo4xAckTrdGgLUfvYzBuDkFBqJIYRADFKHnDQwfCQ/ijtfUqA9N2B01BIp1heivzeVTmpenWHev
FLD7uaJ+HjqfGTwA15WbL5a/dL2qCCWiFfAq7e8JSZIs5nTNwAqfWNvfiXJ4E+3wlRTdfmao7ZrG
O/pOZy2tISNMtV6FY4Otbx4YCHDwSPtBZeKuZxgKCq04KRxLGjPKVZX6b6mD/gT9E9EE5HiQ7uKz
dV+VjQcOXZDOEJen3LGvbaCfqywipmceMWroAkR6fFSAJdYxUwHfHp5MpRGz25fbKJ7ucbhBAxvF
XQFFXKk0PLDVevWIqKDXjsikEKuSOXLQdSkFNgWmK/AlpSZJIINzhWxsRbL3Dtok+iFcz/kTOaT+
lZ6Ge47JoJGxtRlTg52YQvCG36AkxtOl87xE5CJyJ1tgFSWA03q8p6XYDLX+quX5ldf05i4cyZ8i
GqgiDRMor+iRVHVfcd0CbbUO1Bd4wikwBkLbqCrZfQ03enagknYO2qI8UQkBq5VyeRh3Q72v4fvw
XwlCRoPnpd+TiF/jLt5ME4ZkTfVWkPomoqvppbKTfBOauxwMyYr4s4IMmGjjpoz27P6VfB66NEw7
12HKp+a7pCy2PoEijYGFU0Bn2qWL+MrNnoi3oHatELTKgZJDucR+eK1cMQQoEQn5V3b1LUMRgYuT
5y6KtxZ5MZhex6PMzE9AEHuosj2bNvTIdfeVDNNThoptq1W+D251uYhogr2hz6lE1tW5nLZ+jluV
YFK0nl3N5CtiFFqFUVCHGztXJF1gsluT3k2qdPJdhfm1LtA0sQWDDx46EqJ9u49HYtE86mwCDszv
wcLUkT8ZzK53CN/eBWoWMY/0T/zikFnyu2IGtCVY6TvNsfoOatjWZnyeI4SqNV+Cdpnf6/NNE/t7
cTtyNeVUPONU/kjMcGs66gckyzn08XklrFGGaDaFEs++MR6nRkPJUbOLr6zmRjU2ujKmf4LpVeab
O40Ag1UsiRpDdLnJk7LfJggYXYbNKymHZ85R1CCEbS7LoUuixrTj/1bF3EeE8MYHI9ef8KBq64Tp
37Ntoh0Z6vCui7/98aX2rBf0M4+i6Kk2oa6QBlkHbUhQIKIOFEloKWFFWRS8nJtodmEx1Y27td50
18T/YT2PUP94Q5v7ijdvVQ7WnZZn4JRt61XB/TCiQa1ntFp8Mn50jYXgMZrdvbHo3uwobimFiaZE
MOKxh8Uli7+rtwr6cLgelXnrx9Gd/MPCG0aI+WrreozVXW6zU3MbE93OUCMh0F/jpjVXk1mdnXx4
HNEpbKc4uU2Fuga7rRGInJ9txrBrNoHXAzbvcbIejA+k1B8C53Krc2BmzrOI3QfS8db480+xDxi7
w4KST1dtw9kSYZ32xn1r6a9953xqAkkIr+uAqWqLG5dmTMr1X8yJtdJNdaj7c1a7p5YFwLeTImg6
4y1cNq+eFl2T1buqjeo6M4ls1lT7Jetx0Qo85z1hlHRIB4Z/FN66g1gk5GihiulLghJmHTeVwwS5
CrvP0lZ3Mu6hLKYOe5r+QeT2EZFFGzCkoKZCau8xseSJadraLlKwXMDGEHd2K9LFvuICAqeTXTV4
i/XM+Y69hj5V08i1TU7Zdkx25iRJo8vGoKnzg1QjfhJdburK+ciM9qoxmcT6TkJeJP7btLM+47C8
axJnw1MgrelGQENo5+G61KDfZC7SjQT8xWDdhx3RsWH4M5fao7l41nDsPGrZu0Lj4Mwkc0S6pOYy
0XYWcm11xpfou4PpJw8QcaJDVWbfHQEJvFH5+2Sol6zEqlJaOI3bitecDOcpG05VmjxgofighPjQ
F5mzqNTWkdN7L6OBnAMu5FpBBnA8V3YwmwJ5M4RtOpXjbmTJXJO6QcmfmFeo1ukmxO8+lqBlpnpd
5NERFfR94Q32Suja2xwN1zrZeLFfnkyWcKAouw5yI4NrE1VNt0mG5DXJGzv4qR355Vj5ZyhlSAFf
3RVavULCxuLi4o4JMX+4NfDsYRNie3Xp6OWZIY9WXpBxixNPoCEpUb9MAxam2CDXI0UV6/SQX+ZB
HJOZ+Cud4F0IvtHOrUvyGoJuHtOVEEm2nSNxzKvyw7Xrd6TjN6oIvU3CccoZ8oLbQWy0fu2X1Snp
vWhnNmkghj7aCK0MrHQ+a+FCQFaEozrWxukh/XDJ0zYOkS0mZxcqSrUnxBupHHrq0Vvy7HlR0vLv
gTpGC6aJXTkVHUdxebLyZwgyazI4b5u4e40V2tflEJwnIg5LyqNt5HKg0Ms/Y/fb0RF/DUV3pnN7
E7ahzi7BHFidjI2TymNuFw9dbL4Vo2uz0Yspawe58/yZsIWOC2OZPKBe4Dqs05SheSz37MYeuql4
lV36xe73cfC67iDwg1hwstcQBF4ded3I8I3yoD/EMSVKSKP+WgNR16CjChDbk7ZWmMTfke6gp5NF
yVBH18WkXZN2pZ3Za76MBb3duRfbRiblGqXFwJ4eIQ6GGjrjdp7ty+ZUVhoDAu4AhpX2xb53NfXq
0U5Cbz/O2lmyKz9EJMtGuMWuVDKwadSarTW1WiBTRPdyAr/eFgSy52iZazIFmUQINmperO+K0NhN
k18fHM1Djj/5XoADrLjXphZNDWSO3eXHv7eFxT7lvGR8sxZ5kqEFlibXqs5hG0+eXh5766gcXz07
OTH46beuwFNV+9OhEkWG40C8u/SRDQzUK2H12p7Xs50NCtXeDun0GUXA1uZ5zpt2p6jQm4FrmGpo
QCbdgyQ8su9AQCWAw+G2DgfbUP5OhD9CEFQ65YyGavrGc1sr5JKoCFq8KVpPUnRlUdq7g/EHNzAn
DRU2AemfVkoEES0ibw1VyfaxyMc6EqzGZVny6iucI0vzXEO06e1FKL5i38T8Yq/SiUU47MODNSfX
uk3HqvPNFz8790gR8Aif6uXhkmUCY7mEfQzx++B7z54NEcMr9zb+m0BN6fWsu/eFvJEpGAaUNQ9l
hMMdI9OhkTYtTXGDh3HVCO+7GR3BxRCSl5PfpcvowNcK2oYEFdp6NOCCsDgj/HIi5ae76hW6xzqq
x1U1IVlD6MZpbR1KZf/xdWKndPgp6MTrLKYT6ob9yhCy5ciyxMqcMN6BkILxr17HoqUcGlNsjVbx
MyRze+qybhfR3ibLQtIH87nATkBYcFVt/Fh/TSZx8qMfVFAwE5vFi8CGUyZeyfKYPhTDc2hhS1Ee
e7Q4Qh5bYf0euwqVcIUyw0/ZOwtkeTBkdmmiGy+Zz2qddUDqMlos0KCcnZEc7Z7ui6vsM3vsR1cv
XtrCyzdag8FAGSAoIg1WmGfukkUKl6LI5EMkSFDoe5vOIU0qdJq0PTH+Eqlm8hmbkviJWXPPo5Nl
O5RB/Jd5tJiFbXXP/ZgxJBYDrUo4zSPeDf6rXRhvHfHoBMVDWAL6HmSua2zCWT0aeUWhatU4iyH9
rCwaVo78ztL6tvHLYZ9Pi7soxzNi2oeu6HqkOwym2pnmkxDZR0+Tj6tNpWE2pWNGbCKJB2opoM03
x8X/Srcy2vHXza1OVlcwmMjbltFT+F7TYcG4pFG7dtcYBzANYqiMlhRnipG7EMwLkDmanb2uESR2
VtqCoCl6ufFLp6HmZ+zhqsE79ITA0u7vB+ZlHDC+FZGHGjdrxHPA75qsv6sLhkCt0/LRDNWRvvwp
cuAq9PRtRrLEjYG2JrWUPKQKCw27qV1MsnLA8FU/dYzdcZSyiAlT4LFJTqWt3/jStna23hM2OFWH
uU4xaGTl36DlOeLiEEV2exzot2celgYyqJ9JyIGF0T0xNePzL2dgc3Rkw6RNr/KKtjr7VrI80Bc2
ltqSLNoEQ10m151gflo3NO2lNWrHhqMYBhiwwA65JxuIV98vN6Wz1J9V5xAgdnAyVtI8qZ5Ld7b2
eM5SlrBqurLbZSbU6EuAT4FvS2TkuNu5syK/RW3smMNCG2zzyLyx6DjR2Ga5znORYxsTRhmSXBWU
JpQIZ5D4ZjlFW+ktp+RNPvIQ2cQpbOWNE9i2baGiq6/x1750Lu9taHQulL0MDQ2n/boYn4kF6Fe1
w0OaGQazMXJZ1hjJuJ56cXyHIFUM3x5NyWNU3em0UDiiGHTzqWzirIXyCBKB4KLwxpDT1qpZQo2l
yhLMekg8QwmeRmpvs3Ff6RrZRWZvlzuGxVZMUKOPDDOOFY9Xf+jkQt4XZrgh3vgFHMO1VEJBTUgr
9JRYK8qJEdEMQGBMZv5I+7ELjXfAiT6l5fZr4fVXETNUGoe+6TcALGibu/Lb7HLeoim9VYtT1wu9
5zxW3h6fkiKsUMpVhwZ1bdb1vi+PTcmR7IS4pjiRILPIE5nxLDdg3w/CxNlJWeFwzNnS+B4j50M3
f9Q4f/dlfQfeeOM49e3cuvpVS2Se3oYfaPf4b9t0MXQ/hpCl1qNkySQH40xSqjoPzJhd/FNprDZt
rL35DWnTvdHoAesdkgJbE5t89r7izGamw9grQBlLrTFTi0xUrOxrd2bFWlmMU7bmsn1IrXAihkNn
tsHWxy57itmoGreaJMZZJg+dluvbxrs1SYraCn16ViOAqlanKzw2T51iIuIO+O6isgUD5IPXGQmH
1vPoFJMAmRMk2lo/pkpuPXb7bIK5Kio1vtgm24Eev9oq9jVq9n1TOfFNVOFKqCzGBtQqQ4uet1Jv
wCPQdIenrM/Uyu6/B4+GvkxpwatIe+xoCpDU5a8is3RpflhPiohqrnJdsUEL8qGxdW9iMUEOS+xD
kaZ3mi2B0BBXyBaJINbKp39tKPZ8UONo/svyj24Nn53SqVjcYW+w9uyysoL1mX/iKCeYzMFcQq4N
CkLR3POKUo4qfEWNdPJdbIHxnOt1pqX7gsRYRrXWLSGk6VWFLjmwavhIeAEn6R85jsrAqPHaxN0w
nCXWLLtByDKCzor7j2mqbrjCplTB1gpTSQITtUQHIrdTWrXXOMvo+vupvNVn+Z22aEG6OH0wCYcJ
4prWa1w5EPpqGicY6Pqb0g2SQvui1z68a9Ge6Ssyds0mwJox2zyWX0LABxU2W6OmPRMuw6di6PMu
gmp3kyxfHLpvhUaA2eUmfCpfyqHzIDOXV9t6j4ALxn2BQHxJTV7wptnW03zIgo2a1rJmHQ6l8Zj2
ScpxoL+0Mh7WhmmKILL2notnzJ79lyiJgcoswbtVW0DsD9nIFMNMLbRqxqo+1GP7qIScdyYGpI0C
pjRmEI1Z5HBYNznxhHiVVq6HRanz8P4aTOIo4VhjXVT27LyyamM1bX9W0rvPS97QcsavKo3m3Pmd
XGUJSEr+HwG81jHeqAcSqsOJJj9tRhyFn0NvwCQVjOXT3ni23Fqg7niXdUkMNAmlaN/JJRA3BROx
NRZ25MQo50OpbRUjViPX2nUFtCzFtBW6Cmt4dZU1/X9xdy7NjdtYFP4rqezpIgjwNZXJQhIlS5Yj
t9tuJ7Nh+SHz/QYpSL9+Pjm9cDqVTmemamZqli6rKAkCQeDec75jllXVAQ+LfwJKdp14nFU4lqGD
beHFWgX1GIEeOmxbNjlmz5ILjM0PboTsP3QjsdaZB4njSP9T8VxKSs1JAG9mPN3kMa7xzJXTQtdV
srRK8G+dCF59d8J7qD8ZjdJM9Ww3/CMK2+HI+ixPL8oEl72Ezpq/+gR4RaeqfO4MJA3b1+z9yOht
62NydZDtfV8gptBMLme4M8VwFfYofPBpRujM70UB18AP1bOaenzykpzwIXRgozv+1knaWUn/JZoS
bx0i+dm0ubkXJyx8SWvRbW8YAF+9wA1Yjak1xylSLg1BuotDXt5BiKBv6uPkR0aOku64myTdA1fF
v6Q3KFBYVebx4RSNjl5YU38NeKxcIctYH6d41w40iH1qEYUwSHV8rokN6qGq3X1/MtcKvAG71EUa
p1cYkusZs9NCEDQsC4VPqzjvzuij7Lw8xdJdDBg2J3nZuXotICaNlflokdV3PaIFclqXx0B2CZfC
ZfMu904hwRnDirAafaLOVfAwYNycbl51iJ76IL3S9NKouT06Sust+k9W++C4tLQOFwMc5VClzJbs
Q9nA5UtY65t+NSix9ohLmhUAkqNStP8ovQxrncGu5Fj7xB0fC1U8aYjKzH5ndej4XVR2mMPEKZbe
aQBXSxEyz6vIIlCRbSt+PqcBCaJwsVFhoGPrMswTmmWET6ywm1zn9/z+t/5Tj19ykVAvoExL0X8I
bXyHHKvcZG8Gczs4/r4t9UNwHD7ShYBCmlsJg67pO+Mu62KOA0qc1Tv0US08154Cb2SnYTAbK4JU
fcum6+zH8qrtxJOID2CWanRi525WrROEL2UALKxu15Pxria4+vK48rmDatR7FQt37Fk/yzF77R2c
2LCszaoB1HyIcc/3+9ofHsI2oRpdN7uObOCYJydrOuEm4WWlpmsDUALv7IHmSTQGGZI6W7VLcm9p
V/tl5J5tLiw+L76zp6EZROkpvDZI0ha1UM9llRCSbqcbGEIb457eDOXXLYAwNu7V1gMUWNRdtdJH
146QzbnsLiA21uTeH0yyHXTbLZOhu8UHFtluw+1fqE3PoTTRnYVRHvRAFXaaFR4jWb5PIa5hWtBr
eU72jcEpKo8qDttbDmFeElnHAxaINLyisjE3AwECgZuJyPj1Xdr2N3KUCwPUgY+RLQ74aBcB1fJ5
T83PA5g762iXz7MjDD1fFtvc6z4ksG5njmnpWBmaGKbKKVaVq05bAEranT7ZAmrztMQ1AV6tYFPW
DpdNDepjpCac1ZB3tKmjID1dZ/Cr53Ha1ZHd6k0S5Os4sRGqozgSABgj+DUPGYfF0uB3mQa2AESl
WoJNPwCIl4SGXpcDVggTK1tYR+fR091O2fqyCstjpAX73VLjDmFfbc3rsoG1fbjRiXxq1VUiWTVN
dvBph72GaBwaggux7oR7/6gfKX6pLvhEB2Vl6oReSXElOZSmCdsIkzg7Pzc7goZ32WFE7SHWZBVX
S0F5wKu8G+NghqM81a/azt7AlQFt1jsPg4F301EwdSswK3rK52Ht/VSf5EcyeG8Va8oy8MdV0Z9W
YSs2MU9yFeTzkUy5jQcyKc+pRmKBy7FIOJ2RC2SU/BUkbHZadDEDPGNbV+usAVU9iaWvNbsSio0h
SS+z1iq3yvQvcT69FAO9ivw0E91t2Y0jN80RK0zzM7r7l8y4+3FqohjSubTLdmVbhn7ZEZBhx6nd
S58oydKwx0BG8czayeZ0l7r+p9w3l7Yj15gyu4WlnW12sM54WTQ6Iw9Ed8Bru31FSx11dssDY+jn
U6iWbscT1j48IVm/KYsnJc+Ag2JNUfcDljCH3695OMXhogd9gNVJ3IdNjxop/CUdkbbT6dxaYBJm
CO1GhLNm61bBR7xWFLir4N7up+0YN7s3lP//TerB5y9yThGNyJ+HFjTu++PtfhiRl/74w7P5W7Jv
zv+9aYhgvGv+tRd9/ULf7d/e+U9yFFz3nBL6mxiFt8/09oG/donyke81vuz//r30LxxXeV6IMUy5
Ek3D999RQk4+/9sSIrzwBEd9ik+OL5Uk4JQ3fDdGfzQKX/+Cvw7n11/zm2/w3Iy1Pv8MyEbq99EQ
jlLfNgZfXOHdGITESUjXdR2gBy65EITJvh+DkPhXQbnXCYWvKIp5vw76f34MHpE01ots0H32rN+P
wed4jH9vJogL5RFiCyc3cFwRuvJ3oyCldBgBYtbsAG3Ef2km/OEoCGbwt02FLy7xbiqoCyeUjhMI
YskF+rIvpoIQ4sLzlBt6rutzX4j/uangyN+HIf/lRUFd4C6Qns83Rerg+V+Ogu1dCDuQoR1A46Aq
7X/7VPiGu4ZF9vyq53L/2P/4TwAAAP//</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plotArea>
      <cx:plotAreaRegion>
        <cx:plotSurface>
          <cx:spPr>
            <a:noFill/>
          </cx:spPr>
        </cx:plotSurface>
        <cx:series layoutId="regionMap" uniqueId="{A305BC3E-72B8-4722-B787-FCE3D855F846}">
          <cx:tx>
            <cx:txData>
              <cx:f>_xlchart.v5.5</cx:f>
              <cx:v> Revenue</cx:v>
            </cx:txData>
          </cx:tx>
          <cx:dataId val="0"/>
          <cx:layoutPr>
            <cx:geography viewedRegionType="dataOnly" cultureLanguage="en-US" cultureRegion="US" attribution="Powered by Bing">
              <cx:geoCache provider="{E9337A44-BEBE-4D9F-B70C-5C5E7DAFC167}">
                <cx:binary>1Htpc+Qol+5f6ajPV9UggRBvTE/ESLk4nYu3cpXLXwi37RZoQ7uQfv09IquddnZN93sjJm7EfMGc
5zyQykRwNvwfz+Zfz9nrU/2LybOi+dez+e2TbNvyX7/+2jzL1/yp+Zyr51o3+o/287POf9V//KGe
X399qZ8GVcS/ugiTX5/lU92+mk//+R8wW/yqd/r5qVW6uOle6/H2temytvkb3U9Vvzy95KpYqKat
1XOLf/v0X7WadPH06ZfXolXt+GUsX3/79IH06Zdfz6f6y8f+ksGTtd0LjPXIZ5d7rhtgwgkmyHc/
/ZLpIv6hdjDGn32fUO5TynzMMP/zsw9POYz/Nx7IPs7Ty0v92jTwhezfdwM/PD3gj59+edZd0c4/
Wgy/32+f7gvVvr78ctc+ta/Np19Uo6MjIdLzV7i/s9/5148/+3/+xxkAv8IZ8m5lzn+yf1L9ZWG+
vJoneLb/sWXBn4nvMU4YClyKOfU+Lgvnnz3PcxkJCPZQQDn587OPy/KPj/PzRfkx7GxJvjz8r1yS
6ClTf+i6UP+T24V9dinxfY4DTqiHXfpxXTDmn2GXuIwj6jKPeMHHdfn3nunni/N+7NkKRf/1v3KF
Dq/DL/tXo571n7/S/8iBRlzs+QwOLdeHv+cHGvI/YxR4HAUowIgS9udnH3fOv/dMP1+h92PPVuiw
/1+xQn9/8r4/3T4w/1+NDv9MkUcpdTkLKKbnRgdON4QDD7kcwwmHiH9mdM4Mwn//WD9fprPhH77J
/ydr899bojdjvXhqn5bWyr8zRn+vtV8XXI+zoR+s0odv++erv3n57ZNLwIa8+Q7zFD/GHffF2Y92
/M3fxr0+Ne1vnxzf/8wZ8jgYLu7igMHpOLzOGjgSP4ODwbjPYNFdPq9ooetW/vaJ4c8e7ELP98AJ
mc/TRnczjoPP4JiA7ePYBbcDztQ31+paZ2Osi7cf44f8S9Hl11oVbQN+DYZvUx5581MSP4DZEfcx
WE2fe4ELJ3P5/HQL/hvQ8f/JcFIXeEjpa+XpPS2Qd2+qzF2UcuJr3Pvu/UAqd5FPNV9bLQocfNS6
deEdtVmW/tD+bKydypJ/NhbzJxVruYj7straJsiyqgxPMjdjtWVzc4Yl8VT+SXSanV+05iImU707
NVnJ34uK5M5Wpxe84t63uMzynefzOHJmsRoLtBwGydauX5FvLmtf0qIdrmIzhVjKpWZ1skqnYXyk
ZRUVLebf+tisKE/aVoSITWSRiUlsx7ESW9vzSy62hYj9OjzJqcDeZd8nYTqieEmYGMO29pJ4EQwT
3poMs2qFSYC3VpZ+d+VogX4vU5VcjAkpdskk9S6bGykMizJUkuhMYUXb+KrWu7RMnSa03fKCx0O6
s7rMGGcZS5Ms43jsV8abgkPS1P0qLkVwkHNvMsaENad6UeK1brzmK0eVc91mOl2njtShKXt96OdG
OCk0rBpDWhZD2LZD3JUhyf18UVYxX3tte8BxOx3i0iF3WKtm6fYiXtWmpncyLod9XDb3VZ6LBZKI
9rdpmjSXRkbMp81th7L2Fr5Hf1EopY6YVcx7JeQqiTdW9Cc3vv27QXaijPYXXq31ZjCerkKqunE7
BOn7xmKly8w7hcV6Ut7/WPPAO4xJf0HwkF3VnpJ3Qjh03RAfRzXx5Z1pRhz2Q2MWiTu06yptvS3G
bndZsqG/CHClDtQk/rIIJn3rmsCLqJPKb2nGinAwvN+WRYUW2jVZlAxN8tX2srdeMzjqiJ16DGKa
iyST/hJntYowK+iaS9HJyMpD0dN1nPP4osdjt+gnWYVOM8g7ZtLiYqr76iI2KLgtm74OeydPXqQZ
lm0l88dWjHghiaP2tHXFLvZSshDtKFa6IzTMSxHj0EOIhvDS61WZufogR6kPiNX6MM5NxQYaGl6X
K6uog1Fi2DegcWRLw6Aqn1ln9pXIHt0kH2RU8sq5nMWi6HsZaTY5l16nH2F7whd6E+uC1DfNtMHe
lG8n2npVSFKCt0mRpfGiTXW79IapPoJHfdLg3/0ylxcsp2qppeNHXe8kwZo6z06bm33KhHfIDY+C
hGXT1z4bshBVKg6KMIjbLMS0HMOYpuM1n6g5NgVZwAj1HolNEOqqntaCANVkJjLEHdcZi9WNFtoN
3bHOn9UQX5ikM99oUx9YUa3T+RyxDZx6Ykvnc8SKuT1MTjIs4JWYChWyGie7tsf5XtaELcDcTA+x
QDu/cf0XqaY7MlH1LQ/4sERUJDs91flecf6D2hfTLiG5/vbOFP7EumAM8dgH68IRdwmnPuFzcOCi
2fq8sy4M56qTvgxeU19lG8XTJAtdrspLp/T1ZZu6INvuuXxOfSf/pXs+thmnNHJaQ5bEm9B9V8W3
FR3NVa5Ucq+HSORNHgk9imU2L7NtsD8ROMPydFdk7RHPXS290GqDeYRxarG0vNOwtxEnnLpT7IV2
xD9/RlXU+6oYirsxqNOw6fVwo9y63glfJgvqt+VTnPaXsfHirzl31IYEIl/FdVA+9dtWxelTk+tm
BfmW4MLP0uar4+SbPEnDYWrvTDwV147f0ttcdvt4ZN3DSKm8mCCxscSs7R6KvsrDvG7kVU6b+KKO
GY5wjfOQ16N87EUzRjlCZtcXwXiXp9U1m/EmMHKJ8klsKkWLb1OHIot3PGGrsU3ctchT+Yjbq2E0
7EGMhXPRdzVZWjjuyaZNSnUf86DdtmRKF2KI1aPnJot/ePsCiGk+vn2MeXDiQbjpgYcDr+LHt29K
vKDxka9eEpx6qYrAdCUonR4JmvxoGF3wGUrh3XZTAKZcj48o437kxG2zm5rRu5Wx822EDbvCg04W
YybSXe2hdJeX9Y+exZwgv06LKb44wy3XdL5pQss7qRO/uq69Gn7xn0xnMdQk61J2N4wSvTRdN+xQ
m9NdWgfJMtdT/ND6yRWbNzcV9LryCfpmqa4kP6j95L6japaxF+1410mZ42++GPUSl1guatnGRIYO
caayuA66YQNbcjUkJInDuYcyksZh3MkfvY/ac55j1MqkGkZ85OmgwZdu3ZEoKDjaOeP0vuEl3iSe
X2/O8BM3FSXaWdGneteaXFyodBy78EQ5jbUY1cWVO2Tmwg61SoufD8s5unVSd1gYna7ElI1fwHgm
EQ5w/eCPrQpVGwy/x2W7n9JYxmGStqFSTqfCXJVhS3l9i1VeRw4t7nFikitXIvf+TZp47N0rVd27
fZ5c4VmadVZywVKdmP/WuGn+hLdZTp8XwydY6U13+rxZd5LenowWGdukperCBCu5D8qYRIa6epEz
Eu8tZnunJrWKOCORj80P3s/I0ghx8fc7mUHy4f1GhtjJ80gA8YkP+dg56Pm4kY1Ujitrz3lRCbpr
pzq4CViS7JtU9JHd0eASPHeFF9yA66P21RseAN684f2khkhX7ji7EM+GKf6Ob3EvZs+ZeFI1v+Vt
NnUhbG68E29v7bE3Y2hqqmWifBJy2SAgzi+1VdvGvm22Z4lgHUnoewRmtOBx8gCLIqomiRaOBqe4
ytIyLHpebKvZKc61h9YSeWphRVQE2U2Lk6OkZ4Yn4jJUJtdbRR+nNosCMdJtVrXN1eAOZdSqNH+u
qIwS4ZvHHNzk5Ynh0xdBL5s+8DfM89KwxT44WSe59P7BG6D+X1dxDnZdl0IKI/DOV7HsRs3gDApe
nDjD1AkprtylDQw1Xmed63yxQppeDLR0vpTK13dqfOpzthVNEu99vwav8E0sBYIHTgZx1HLF6hse
jwsE9oZOlbvzSBZfNCVyd3TueTNmexY7aXUpnPWJZ3uDGm5xMandwDjEIMQ1q7aqm6t0in80VqE7
biAo/BOzlAmMbGQVJc0MDet5HJ5BO41lWyJPRx7+/U7x/7pTIDUE8aELedjAhZj+406Jaa8cZKT3
Qos2jhql8K57a/xGwZtq5bYl4B2W8dJrVXN5gqoCFiZTvbecFCUHR6XkkDZZmHiy2ZOxIwd3biyu
EpIt+YhJdKawWsMziGxdtWw77rQbPSmWHZDuk4Vy84fKKLyhmjZXjemaK2/uzbgm/nhx5KYJSa9I
l2570rv3k6v5NWNqWw+ld++lY3A96yooFJx0zSwRMnzROhuX2nWqTTOUydb2kmH80cveeiftqRcP
LNmmblOv/35tINv6lw0QsMAnPg0Qh3QQQR8XRzIpsmRE9UvaFlNDlqzkq1qOzj4LquvSMf3GSkeI
YTGFddGNi9gLeJQd5Zlt9UmqxsuB1ZuxCJy9l0var0eu301jFZarfJcsWj20oSjrJEr05HynbnGr
yxrHISRIxpbB39i7Nm5RPQ6ijKOsLdAdkpNZFtoR+6pEycZVRbUJfOntUzCaSzwk9Z2XF0k0NjJ+
nGeUKUPzjETE6W3gyXpNnNIL26HKnwlC68oM44Pqc7GcHDZc4swX15aR1f5wyJIkCVv7us6vpyEd
2jH7zg7VWIbUi7NV96Y5EbXbZQsv7ouoGLzmhhsdZpWRd6Ti8s4dOneheNCsLPbGaE2VLrARt9Uc
P9JJFitXCLVoZtFiKmP5quLg+zEbccZvcgGR2o0lWszhSbKYcNLcWMVprtwGroVLQtw47SWp5LJq
g+LQxQbi4bnH3FwfSlrQLa7i5RluGVY5j7TU0yA6j6znkW/TWobFLc1V5jithc6Gf5y24fofbHbw
l5cd6gwkoDTwIZHtUu/MZre+QsmYFuI5HYsFxszXYTdVEKEjCNN9HORbK1ZU4JDWybTQE8SEoVWf
EZNAMhYd6ZZk5jks80S3U1rRThmU9CpzvXylknY8KOKVbtiKrDuUW4tMgzceUguzMhGreEAmzMCo
u+FJD1nbLmQsS9cTVuPhqP4xC4YsUljXOV3qeFnWQddCxqSrdzjRVb6wXds0Tia2eby0AhpIvXtH
PtHGWSNRwLdOtlRlCdNZ6NgVnQIDxDyxEk2m901RjKsSfPaQQe5tbzHbUMgsmNB2g4HtSjTWG1+2
8gd2Ikre/pjBYryk/PIfjjtyFvwzRDkiEH5B/A8nlBecHXcxnxLKy9b5PW3SZQu5Cy906qBaYN2Z
hbURJ1sS9NwcgkcLqKIEqrUpY+5Vi3SafvAtZkdOajKH/hlOknnW2Uod5/o4//FDVcL+YPASpCZv
bvK56dmtRKS6PvoMs+MAIfgJiYM8vS6THencyMC63KRtRu+408eLhmiyjgWnd8XkJ1u/cqvQag02
9G4eQAScAxaCjCsMGKYwa5pibX0bh6fdAvaMvrBinFfdws2wvkBzMl2KP7U2837S2sy71aKZfDYW
p6i41/mQb6bS/CFGN7+WSBbHxon7l6lM8cZCVtkFWb9J3PqPHDfFdYbcaWG468E3yXXRrRIvXvSz
55j0TRqN7kivqhF1W9bQckkbET82zIlqIb2HaRKLOK70WphOLsC4yLu+8uQdTs2Sx61zZSGjjAZH
tpSLgSZg47rBXfK2K1bSUX1EseZXFeHBFZt7JY3jELIp2eakMCkn+8qZIks74XaSri36dwrIFU6h
hxxwNpQg07avK8hupODNJaW+Ro7/3I7MPIy9LlYM03Htl+X4IDp95XfBcJtK+Q8HIYMazofgBbJi
iBBEKGZQtvH8sxxYN4igRtVkfjc1ZPpRWBinCH1i6B78tBtNc1FGrCV/eL3k2ylB/R2kbZuLlOVD
ZEXb9OUXv5iqWyu4Ct4bwphYWVHigu7jhN5YqRNFf9cr8UeaVd3W7Z3yALlVcsxzjaOz1MPgbG0O
65irygIuV7LP0ujE82wWi3diWXG6cLJL64TlHDzltMzQwvpd+qPIR54vWlauoOxF916m72xy3zZl
ml/HfV0erCRgCZaZx/zlsRqQ1P6Jr/HoRT04qJckMd7C9nLfBF+qsd4Nc57G4mRMySVvRfClDcpz
3BsQuEOJqqMBo1j8kydH56oYuIxQXbNVM4axz+AmCvJ5QDwC+c2PnlxQuU07Nr7+vRmHYFEIUW/a
vDskZkzH0BTS7GNdm73t6bRoNn7dHCCea+ilJc9iPohkDLl3m6GM7blW+UXJubxsnSHfs2Tyl6zI
zR1YFh7WSuVPLDfbtCsbcLCyIGR96r6wcUzCAtGDCznBPSTxC8hwBSPUlcAjqSYUBKGfjcV1wdKQ
s2nd5cINZe+m6tWF60WLYpR5NM2m59T4UjW7YG5OWF+UIcImDhkUp5cc3Lv2Vvf+phD1Re4a75uX
SL0YS0I3NHO8b60f7ITLy9suG4fbpBVbOALTryW7YmxKd/Ao6c72bBNM9diESd9udZPhC4vVvIcK
kRuj9TFshsLTl6xsxPoUaNvY/CTawNrG3W9cC1mG75RLQft205TxuD01U1+O2zzLL/K8dS88Ly6r
8KQ9ykxCwcoX04YmA7ma/GHRFXm192bJQi1YnS1qzd5KcMb8wHuN1GpM0BCdMEuBGs4j7sZmPUCO
t/498VCxHFrjb7zCh/CrHOPvuVd4EeQux60e8+IbrpMjroXQm1EmyRIyc/K7pxvIRfmYX5G88G8w
ae/9GaeQIFml3Ih14bACikijnIZQVAaP294M/l3haXXf6pVNPJEGW8Hmj4gM5KyxQjbT4v4dLVar
KuFy+ffegoegpH22peBsZK7PAhc8B9+ft9y7UoHxhqLkxeT9nkvYL4ygYGcbJ5iSVTVmbXjCiGzH
PnQhEX7kFFmGdrDz6Nsoyz0TLZ+isQizHL4Sq9o76UzjZdJzSIzOzUhRRAh4IifIVw0Kx8otLipX
kyNNen668lETRBbzhhQvaMWrFeKBiUrT5BtsKv6l8h209L0SKrqzWE6kvkjbQELYAWIyFlAP1GUb
WrGDKyFXPSJ7K6Vy0l9iehxokdzvL0SSsOuYq+cE5cU29yHp3BEjQlsCG+cA5AxDM5Z+5J0wh0Ll
+lhrOxvXecG4pYObhpMTf+/SPP3a9L2zxK4EkzLGYu9PqF9kNEXf0RRvEO78l4/UlIH1ITOVVn2/
UMYM66CWDCovvTwEc1MhSOciJCOpMnnwaZWj0GqtPATmAMEe2Ti1m6HQYryn8lA7aRt5ciyW78ZV
jsvWWQD3ACopsytvah8nuI72NfHBTSM5JMesWJcDWbNUFksrNm6mll4wiPWRnAkZuVlfb60YO9UD
o7K78uMaf5VpEwUefe1EB8VE6tG7kVZqX/r4wVoxC0FtbgvxrbpimrNdnJJbMmqoc9qADOcTCksM
uaRTpHYKy6zWrSChdBavOQLpjcEquOSTgNOn7cbkslJkIw3Kw8QNoOQ+NltvbuK8bKBgCL1JpxpO
O744QbZnaZZhRdugljVbIXCzhqq7CpO4C9auYN5Sa6UefK3HUE3jtE+HWHzl45VkvXpAgortJIoi
sqLLc7JgPso3VtRtse0LLG6TOvkuGv8pxSNbxL4wl1zq/L6V2bbO+vHR4mrGXYJ+ijPIqV8qx5tC
Ww41Pk+XVrQ1UVsNtYpT2fSEdVN7UU5o4zTI2wsk9QqMH4KiN4inhr+JAtE8pBVRa6uNIfcxHtl1
5Sb7SW1EWXn7hCfVMjakWHqTF+wNhOFhPAzVd0gcTJGSvtj2kJm8LzsBm11V30nqkHXiZu2qmVD5
vXLJXoFlvwuI5Mfh00w7G553zsLi4CqRJVXJTlWB8+76g6fLJExy5l3a6w/gCeCrZsKwDnBpYixY
G9EJvMSgi9Mr1t0rI1gQQlQOwQEUGxdGOfWyT6CAZTHqY6hgsHve6Q+0gj6kA0Q+oSwdfkPG2wmS
ezrCvHAWqeupFfU6eYd4JWZlNd99EL1/9fcWAtM5Y/De6XIhhIcrUj7CHvUpRJUfLQTLnaLqi758
LAXpoxz8ry3qVVGHnsLQHvu+oHTbsxJFrvRJRK3qSLCqY1PTcp0MKguh+Fmt+7zIjonochYDeDeX
NuQS2i/X2mmypQ3I/F7/0CZ9rm84bFV7f8HeZ7C9runua9apzQk/XYUY/lRavr0TcaJxNNwnU3Or
3SKcilTdp4lZsj6fHlycwZ5SuQMprnp84MNkQg453kPKhyPNmVi/z43jRtbhAe8CrQTF6lgfs9jJ
EzqraJzIZ+7UmXiaGeyUOlYxTpO6pt+1XhJccdMebF0yV8MNdtLhG6lptSRJ1u64k/KdE49y6ThJ
/tB49UE1kODvbIK4iNv4VoAtDXHZVleEgu87uOgSrPb44DU0v2jGGuoFs2hpLlxl2pW4L0ItxgrS
2ia/Pr3L8Zjf96VBl8eX2fNLc+HlEONaim3a+cWXvr7vBo0uT/iJa+c8bhqH6uN8iR5V1EyyjiBI
TW8hE40XpqF8WXKa3NrGzdXjlJNxayUx4OBapA9WsGMkE+7Ga3kDl2VgzM/mMUWK/sHFovOtwbMN
5LlwA5vDJSNvTsudRS2pSZtcSF0+ttLNLyEvJ/cZ4fHeNGMepRB8LGhDi2ZhwZ+praIt6femIeXW
Bpotv+r8uL+1QlrXzcIVgVxb0TEd3iNhbo9Bbpqi10qzeNfXAb0YMVWRMIYOi4R38cKrSr0Y6tG/
qJLum4LQZ6mVhAs808SvKBkwg/yh9y0oSHJpMX9OFySjA7U4Ua2tNI2km+/awd2moS/hBNS6IWEh
OLkJ5LS0D5W7kHlAqS+XNloWupM3UMiOfB0Pd5ZRkwwKOEWmN1asmB9cDnOix4rYy0hYpWpYZ2Qq
diUxixa8pYNfjuNhqlrIM2KJhmXcOW0kg67wF1bVOOiRlwG5GHk8RXEcyws9Fv0iNgbfStb0iwmS
O7dxOvYLM/eSGdMicPeOddtZijnYSAWl9ExeU+lC2WRumrm+ZHEI+q6tNCm0hDo23wZ+yq4np/9u
j45Gx9OqL518jesh3nZt4m9kIW7azDR7e2WtdYt0I3ktoFgJR7ptnFzcpClr9lY6MeyVNzvqbQ7L
ULEZQw92fHg6F+1h5+JG7lvxcgZbkfWu3EOqygqnI9Oej1YnupfTYWl7Fdn3TVD7h9lYlUGS7uA/
R+QlxI1wGSahwx5hDZdlgsxAvk8q+FFp8rWTpA/zttJPVd5e84yIP/z2974YfbgFgculhhuEL02L
HwufF9/j1I+jAgoel6ULAbXreGw/ugnbJ6xle0UbvSlwehOkhTct5IxZRRHc+RJ8wB45cwBu4iQq
ejden1JzpshWmvd7eAtugliS57dOFidHJPmzM6tazK4c2adbH2XB3pFNN4VDDanFjjo1hCIAcgw3
OBdVK8pVMTB1oxJKL0tkVCi7FmVRQ2i8cFDKV9Y5gNOnvknGq8wJ1hVcYtudzj8Gv8YK/L08Oh59
fXPbysBZMgzXLAeVZl+A/4AF6X7vlJ+HPYZiDyW8uWSo9JZVDTUkljehZegOq0Vb1+k+7zp28AUp
o7Ri7sYJNBjdgNNtCZHrtp4bK56aukLrwcvk5gR1fjqsvRH+H+wrrptuDQnvJSTf5MGFauS1gUr2
deAkPoRUE1v3jDgi1EHSr2Tlo8iqyUxURiYQecRQyKySdaAyHnq9x9dJVk+XOC+KXZa2eNXhGl4e
QkjUUMG+VYw+m4kWr2XqhYzDNb5wiscLp6rN76kDdyncrhGLEZLiYdDr+k47MuSu699kTVDd6aRT
S9Sl6coqPdWyK+HwlVVaKMaFE7aQkNxY0UHZsKUxhQB/SNsS8jTZfZZ42X6qymJRUriPu6oalC9V
DuUQmUFxBf5pAGootmtB26Sz+thDLtVhWUDx5cSxIhy3/jogxrlMhXRZaEitLqVKHow2/EpUOb/q
517lKidCaTkurWJItbkQdeyEEL2wKBUKjpXAjA+uC5Uzw76VvSu2sSmbqIAUT5WTZPo6FQjBi+sm
t7aJnftOVOLagaTzbUsLs8Vj/XjSezUJlkNp3IXFXNQ8Bdok4CgwuGC2zkYFlZK4fGpp7i+47+qd
GhA7YDwOEbwp+fNPGGWM8GooyYMH4dltDPlPD4KMeyslNH4nzTrwNKDkPDM1dpYnadaNvp++5pDE
3Wa6S647uDN33G9VBkl/A5nQo7tuLx4XTb8VBC7siTI/jC12vtKgiep66r8Ip+lvES42Waadr6Sg
Zld5GQ6HmZWUA1snlSyXVpslslnIpoTbxSVcIbBTuzrLrnHbvQsO+qHX61okP54gib183cZpEjZp
4O3M5N52OZsyWBmVLXsfSr14CJpb20C99GBKTZetaK6ovbhSN1Ahk6qF5P18H+YIZiPV696FUqqI
EzBhvgOxmZsW16XXF3AV1hmuErmxyAk+USWm+bVVZDk2MxUxh6/7Ev434kJp5C4hR96EcLs0e23g
chnW4pXlgYIKQdve04zDlX3cTTtTYrxlTmi6CJxEZ/F/Kfuy5kh5pOtfRAQgQOIWal/scnnvG6Ld
bYMQYhcCfv17kHvaPf3MNxPfRROkFmxXISnz5DnZn2Segh/CYB4e7ZS2hyFlf7R7I8nP1Vy9yVSS
Kw6f2C5I+GCQloolcch1fTVWntAXZ0iST1zGBQgaD6qpDqZzSPtwhURcsTUmJ0G/zTl1V+ZpwdRO
B+paNPJZ0m0Gp8oBaYbIFSetf7I9ZFZa6gSRTvrsDWvvbnBE+ugRHGC1K8nG5lVznpYMF6Lpbdda
/CctiIywBav7ZE6trcqmaQcW0nAtZqYiMyQXQFvAAvlWaAvfyJCBvObK4X9g4N5/cCapTSkESR4O
DOL8FY0R8DpTJ6yLb5yLKBgadXGI1V1F74pD3YkmAmupv5q2mnYONv1CbY1pOmZC/541Ws5uqsLe
uveDISrnmI2hFJGnvm7ArZB3xE7dNdAoUAIo6bujuSTSbzaVb3+fLas7likd68ilbne0l4sZYkyv
7DHP3H5N/mOOec44ta//I3o15I7qj5SBS3EOQf0DHjSUW//4vLrW7jItiX51h1JuZOrkEVn8CWe5
mLs6K3Csc7u/tpzme9PGF6dCNz46kAfottQieWQaleDsLF1CT2KgCIGqFMFo4Nz+dTe4hfvZNv6+
+/8fp9120/vpvDV5Sh+E4CjzAKyZsNiYqZeLo0lMGlN4Y/6HaXq/Bn/N7auBRX8N/jLTrsUPKqwk
tkeHnlhVVbdsEju5sDvMBXg9iWVIyBYAbHZfzGF5G1ASe67dvLVisiJwlPs76DTcXS0QRGbME4gL
CInycQh+iiTq8G3/DISyIlmM+aF2sCUHdVdHbCzKl3TClm9lo7M1ZjnSB6ui5V3pIhkHdt4NCYl8
4UXV7TJLQWpgzHyeo0An01nnw/REyvdczuWLLsrySDy2vNl4NJQGfFUxuzuY3smz4jArWxBG7RHh
BH4D8zBb8nRjfoNP0wsfKjZAYB+WzbUb/BuZZv7a93O+VyDWrdqR+khp1MmF5wtHVjT8DYvjlbOK
3BM7J/uAO9mm8/P2G6NvVk+zt78mJsp5/u/vvxss2f4/339AVIFLwQXxXdv1mCFH/YHvzwS7phUG
8ikY4Ys8eQ7zNl2WB9MmLVZqUMnRCkhyzIbmLktTb2ss047MGm2jLxtqGiDvoIHttPbkfgpyxHiZ
V8mYusqJaDJ3ezL447VpgvpSBSpO22K6mqayGofNYJX9ypimw3PD+6BVIAwukyjEOacumx+NZS5j
4tQQdwFVGUD5XecudEt07ui2Usm8HnNQJeFkZnFr98XJBxnheeRgJTA5PYJJl+6bnOZxNgx+v9Ch
5tj1KFuZRfy55M1S5n219bz2mCrbjXwcS9s8nLtbD0mvz0stPDfyCr/4oyNbhpgZdJlhBpd18OaQ
JIB+poY+bkgVklOhaI7977vW9BgbiV7GYsboj7EOQfheBlqjfdPbweUvHMCYX218imaw2E6mpcJx
dP6CDHo3bZBlS7woY2V2gALEekrz5JuHvf/WWKq/LbyKPUo3kXc2zW6RdrKeXJWNR9v2eNz6ynqC
SIlvA0CtnQY79QoBTnnFXp3fdfhCMmH791aOS5PpKgrrvDmaNlmH26qX0zbJ6+FoJZY6WtU0HMPC
ZXX0ZZu7rzFsGW1MhH03GUBmd3DG3WcQlwG8OGRJ/WhoFIY4Ye68TDXRWIVgmk81gr0UUPLXOL+C
Aqyz8hnugePdOtz346CFB0UW01zsPvVvS6++Wxi9h6n1OY36QSTndkiiv4blTT9Fn+o4e068o+ja
7NZcyrEVN2y6GANoIGBnIMtPlXLnfTlr6UWmh/Il+eQ5gG2XqSFepiPr8zN2nPw6djQqKl1cjFUH
QiJ/wZfdKL+aiyyQ4pqhr4J78a82r87gy9cslmLIzmU7/eySgTyKoGbGqnlOHnNr/sNCzu3T6qTr
PgqR/NE3QBS1AvQqV2kdzAc/y+2Duev1OH/emTboMElk6wIEfVU0B+qz+kAqJ0G6jaqyiD7vHQ86
RZkXZUSR896zZpr2o1TFyWUJ9HjWlNwoLee1hVTntZI1X3ll1j+WfkOjRCNvMQ78PUc8+cMvHbzO
Yw8FAM8jb+AIOrq2jahIZQp5hzrJxmJvQdZ9JEHPXsqwCiOvduRjBZXYKmEQI/33DfUfyl1GwKhC
8IhNFZspuv+iV4kgyUrddPQx6xM7MkevrlUTFzovDga+Hi0oVWvbLg7m6DW9kne/em2n+NX7Ndf0
uv64V25V3/2n+eZxZkLmgmHst607HctmBK+lz8roL0VAoEC5RzA8uNEniMXyUJ88l3cx4mX9WLdJ
G6dhoB89BO0KZFfLcm89j9fPM+PzYaTVkpGFCaTQXrOUTNgkYQYpBZW+6Zvz3DvVs+9XcTM1xVb5
fbhO+yzYQfvTbP3BDR7V7F9NIDj1cxYxEJ7vc+37uy61m23a5/TRGsiVQyq1S/3M25GxOdhdVb76
Fqj5UEo7Z4+U7jELXX8dVsHwJLvgyaDcv4fKrvw1lA6J8zmUheNzpWtrBcUkPXsMsuSVU0A7lVfq
2IcZfDo1pezsIgV7Jr1mb66crwEW5ZtNmneajcErqaWKQpnMz1CtQRIZBMPjSCHCkKGr7ou8nFaN
AkhhW/2wZk3m3ZalNWxADM5ukra2t6Py+lOgPbpzrTE8hIzKA7GqcU+1to+saardFEAMGPKKb9VY
05s69611wKb54oIWjBSgVtcyr4pVzln/0LUuYnm31E/YuEik5Oi8cGoVYE1o6xud5xf8Je0POABn
Ojf03ddy46kqO6RI2uwajT9n8Mridqqm5q6sm7cxJ86rk3r2qkud5iA6CCGdQkemXY493bbgtm3G
lNqvWervsoJlD1rdjljc+zmc8l0NqTSUUh2PkdQSP7xGRVkj1PvUsDRSgaofeVKkG9e3yLFvyvTM
Ul+uC7tJn4UOnnQ4q3dL5BulfG8TVLm7mxDTxBUR6iqrhGyIsocjBZsVG2Jab1Sb1fedzLFdZkS+
+c28ceq2P4qKFzEVNTsi8U8/L8YMkI2DD+JnK9OBckK6jcytLXPcmkGft+EynfRzeRT8j8eYwYz3
OqZ2VexdK+xWo7bbm8Tm7kEFpbtJwVp8AOGxxIHjle8ke9VzNv8ocTDHY1vad24zlzsr99jOs1L3
YmUMS6+hzVuXtrGZUzL2oVy7eqylJzYKr97RJ1BmW05JQeHNRsDRrY1jMZcH7Ib33Hgfy4UsXopp
b9V8D+bnr6avdmQl742lExeiiIJ3n8/4f7aZh5ifMA7FiySgCQSc+SuIhdIHNTTdTS/ZxbXy7ME0
BX5/6JBMvrWXJha2EgJKbm9NZ+4zCToZkgHGDN0JeFyw9aidd3E3DmvI625IMfe3QW/1933Gj2kh
AGM5Q7FrHJ+shwXVgnQ6jwY37G4bQtS9q9I/hqkJTEsZPhNBp10NmE6GGixet2HtafTBXTMXY0ox
4fvz/XIF+IhcEqdKLzk/QJoLvNI0Wdr/Ruyw/9U2B1jooAE0a9MLL6M+/vfzBDjDvzvoDIIRBpYn
UqtYnI5j/0XAaUgp5yov3UfkP5GM2WCvrQ96ZtsAuNtdsxzkcxhuIdv8ZS19X9bSZ0b2y7E+/tvI
f84zI7vlmb9/wu95XFjtVrflHCVDgnRKojTSK+HJ7gZwJlkw3ZgWc5lAltpaeYFSBP/e0QUFogAD
FDMm7VXYlodM+FAyLCk3LPDqxm+TnbHMxeu4v8VG0caOn2kBBiJT8RCyaZuVTjyDtwQNoApv6cST
Ayf5HS/z8NY0mTuLI12j0tnCifGvDqBb7aaU6XSTh93ak7N7SRevdZJNvQqE1YB2Uvr3mZPbR/gP
Ipqk+9YC533gDnufezd7bJ1Bb6YycQ5OIvwbzyMZGMNpt68rHa6BRkG91ftXWsv6XtTlVsigeg5K
nZ98BWzQmCP4iti1/H7TjmX9PM0ujy3nEFS1urGKUq6ASbng31cBlrn2q5u0Xc9OB8poZ1l7uBL9
epAQwW6nef7uu5WOJjH0ayDT7FHV7pUg2fpDDkihjBUkIaAGBbuCIJP+H0YA3axWfeK4Wwh5nM1c
90hquFKeEQPXa1nb8gln2U8IRZJ3131VveouBZTF3i6hbYrQqfaB3hT+RReVc8iBlKwhuvBf7Nra
ZKMvfzhW8WsEfnv7sIjO1jRA+qqrvS7OpIALvlB+AamruGgRK7s1SC7gnHKL6eMnRS7JVHri03ga
7bRJARHwqLc66EG73EflDu1+pI53A5hZvLXQBUcDqLDPrG7KGE6peJgG7qwS/DGXgof9pgR1/Oxn
ctqNPagsEx+yYzL61a5iFTsDbiw2eYuSAPjGUJSBIKE8pTLoNvDB5zNpJmgj3IrsU9uaXsSIM6Ae
Q2DmSXseoT+ITLuXdPOKZCOGLRvX2Ix/DLNF40f9soNZU4mn9f6vYUJA4i3CDxzt4tnDR4giCu1r
inIH6yJg2anPm/amcEQSpxDovTmoPJLawQ9u21U89yIEMyp0D0udPvyybvMsKnkjAxH8kEXxXlq6
faBNU/8v13cp8/YnloCtKnSI5zqA02zfg9wN/X9gCf0oHFqoanoEWye8tt4TIwobL8plHPwhhGKg
EM2r5HkdBVavbgfdkLvRdVBaA+1iFuth0qsMOoyY1KPYm0DEmLzz/zRNb1D1x4bXd+HMilPicL3J
2rG+Fq1o4xFoxyuR8x03vNyQ7WufNh9dUH8nU8GeLUg8Y6kduUfy56PvO/to2R2SN6qevmW0vHao
GHTfLu0ZyPir1CPTt+HU5El1q21A7yair8Rsb/RcpbGJ9w0ugATXeOZu7e+Dgnr91q/sMmp8km9p
McCzhHAcuUpWtr/AdKqdFdjSw4nmZQoHyR71ydhJWulTOvoKWYkx/7vDDAnqAFPMwD5sx7Vk42Pv
BRfDJDTcQ6jci9PSZEE0cJfVtECJCaZXEF/aZ0b7Zk3tJRiy7RolQPj4s+dQrrqp/0FZc80TZr2g
oIAfi7x1LjPE6tj/HWBxv6fzBJwxMx2f3Of0wE+9j5YP15lM6a3yEr2jfCxvO8gKoioNype25f2G
0UBurbYrXzIavKrE0xfezPw+hGzWNE9hyXYonoASP8ukckL057ltcvIyu3/m1c4jiXwJqzo4Ikvc
xsYcreke+pvbfCkIVLbJDc395iHVfXHUDhlWpj0t01uQ6poH0k+rMpydyC7qjdf3cMHhyZ9AHv/z
8tVm016vvaolkRny1WFMMEX1Gpoluip1N61GVxZ3YVOGa7gbNg5KPmx5LptT2kzVXsAtPEgwF44E
C3RHcqVQI0Q6GzsdGOjLs1xPMh+vRREmcc3K7lH0VRKNjqNe7KwTkcwn8t1NlhxwXb23dbeZRJJk
0exvmQ8uakSmJFIi5WlkV0jCJLT/oVJ+T4a5zD8GkCn2JmM2dsgLJErc2Us2rWL8kGB/uzN9yOh8
9pFFFP+7z+Tk/jkvFG22GnTpfqoHQo8HIJWG2c4wMKGNJYeqziDOWjTSfUqtjaeLGlRXvJHqPrTT
Pdz49ANKxX2WVPwVWIiDjWIUN0VYkION0jYbmbv0nrXIYnOUZnnPgxirn/5sncaOZre0rsyZq20P
Z+AwpiiXlDbwNxu3mF6rJj3ysOjPnS3IlgLJiwB8ph+gnMrSIx9W3b9WSC4/UyXqVcPUfEtoPe1m
4tZ7kihvI6wiO6JSCt8UWeccSevws903xRqkL/FMdPGEOgDqHSyXjRJe9n0SqNtRB1N2gTACO01T
Zru0HcgdzUSGsNj136j+BpcZcoOiJPrMjUwhGGt9XPKTetErmA4wgn7dec40or5BNUf25AeXQfev
bR2OLwObpg0tPWCNCxGrd7yVrazwYSp0c4Kuicd27/EXVeWgq+H12BkznNuz6lJ9bZO+v9OVuHeX
UWFFip3sJxSlWUyAd0A+rexH6Wt1g3wCPooaYqQvktTMJ4pMMweW/5tsNalhZaHk1K1poiXlu7bI
tsgVkGMhRgguUhpuvbrDzmAX1qpzlHoQwRhEdjvob31a3+V4O9KottZCiCqLyrw+TmRI3/rZgbA/
5d6jPd98OgaW+IGN+inpPfJc9868U7LM1sYMw0HFloWV9tmLP0uXaXDz3/304B9nX4AKp1DRg8Hv
hPY/FN6OniGRDhrrQYelA24TIfHUzMOtraU4dLpNNpBLVg9JBbfEcyX9WYMXmPZYxF9jJ+ga95O4
gVuA4bwuH+omK6K6IsHXcIlykZ+PLiBwPXyOXR7tL2qSLund+FOoXc4KlPqiOPZAfN/b3jmMqhLf
+m7wYt7n5cUTrburEHfs0srJLylUo3FgVek3CUV2CqfcTBo0FUBBwdOYwZtwl52g9iV/oGkeuUt2
PkPBqwehkfxddhDT99uaxPx33zIPLBf6P8rKgDL3t/cBxQlBDQM7IPgHBvq/ex+AbxIPdEL6QJDa
XQk1ifq58JMIFDOxBVGsOzJbQ5tpbluFdGS/XD57Sm8KY9Ooiw6ZyHlicSp9MEmD+Wx4LoYOY+7+
4sT8ZWrtT6ge0QfeDmIp1AZSwwAHfGD31HHhdLJBHR2roadeBMO6Q2mNR5QqSaMlCnqX9QnFGPyf
ZpK0OCbRXG1sgpjfTOpEimWZMfJIixqufnHrunX2U2m9Zm6HVdKkVRxMIMNA3fed9sH8Ejp9F0PL
4l/tSUAWK3hw7nPP2kF/aO+FLbKzD7rAxpu1dQgz7ylLAKgVINmcANGFR/BD840lZ/1QQhOHs1JP
7wnozb2HFwR8PPA9hvxRi9Bf87D9NQlAOP+chLC1+T1pMkyBFqW62sLln5Py5SctYdPnT0pcSz/Y
SYAUCQhA28EL5boEsZM/zX363fGZc9JE5Ie5zkM4u0AZuwS+bDeO6c5bMMiG2FXkN1P4iUGivFS0
xJuPdeGvtA3+pmU5wUs9fHQLz71X/bhpgafsmJ/TpbkheXVJPfEiqUxQHg1a3a5zn1HGMLkxTeZi
zFAWGwDv+emvdq9z3VhJ3a7L6SoUmY7ZUgARGRCIiZe7r4tpE+lQ70R5wg7FBsRt9n0pFsJxkfgn
Z5Gg0gB8WpeVwckdAvfR9E7K9k9teJ+2Y7d3pSDPYg43SNIF9/ZIs7s20/fFIgKrvC7cOVIEK2t2
ydpSqAdU1W2508DfV2bVOmwqd+HE1KdpemVQ7xNn2vp1/+EvodkIov4GME6AJphW7pwb8D+vSfWT
TNQ6deFEz8bBzZwNp3Zz/vR5XRb0M9B5d1gBnIY7I1DdTds5qqd1GdjVcNUQZaYrlCvITnWeyXt/
zv9snxH1jaUv75fxvpLhq+eeigkMf9lDYytUtvbMb8RlvYfrz1aaDPYumH18ATKbI9n37NyLrHq0
+nRt4sypVPVeAh+OtXDV/TRm9bZmJN+YRGEiJImk8MKTwEf2XOaX2namJ7DPHj5JMOB6kdVMLHsD
35geZKKsMxt6hJd537z4vbikC9Y55PUhkKX/qsWYgyge8tsm4ck+tLpuy9PQuxZl4UYMXJWfvbvx
RPdRQuvwWlZXgMEVRIT/urGsv1v+7CrBXsijP8eUTU9fbYj7TMoB3JclR0QBty6vU9khZeRyJ92Y
3gEyyaaa3hiNygmxeoKvM4aUoL8pOBUn5Vcctdc6+qpku+6K3vkhK2VHoSPmuwJOEoiAAdsUXIeP
sh8ezIhWcgSsvHjs66LZKlbyvVOo5qoW8M2MoCg8UfvDdK6xp636pd5Iu1y0DTGNnUlnxZxsQlwf
5GikAYkLRfNHOfIb4hbNxRw+FSxMqC/mNV76vqyepH9Yv+clCV7E/376hzb95/m/0G2Q+XGQqPtn
LSTiW52V2uP0MIeH1nK02nMJTlIYesNqqPLgaIQR5i5VCQIgDxqnVd4lFrhkQ7JRJcr+QJwCHT6w
iWPjjQzZc/tBUBGuA2xV28nr802QlECFF2qxIRnnS42bvkJ9ogaCNY6iRscAO+sT9cKnkgn31lh2
OkakzB8EB2rjBGVywL7drtKS+q9QXP+kIMrd1WFn3Yh5GCMJhdnNFFoNMIjxLuuHDuI/9RMV98PX
FsgauAvD9JwTxWPeFhcxpfqmyqFC54xVN21Ik13u6G7fIjqViCHXk2qG+9G151PB1Tdndof7qSnd
OO+HdBOEyCrUOOt+hkEXEXx2O+Hk1q5J+repRR046ckan0dKVtoJ2+8OVnvp1vTZm7xkCzlwuQ2a
Wt1lQX0uQOV9LSRZmbyS3aMu0aSr7ELz5k5bWb4fRx4ckxJaFHPB8QmGYtWg3NqiE1p0VcOHdnHe
IkPDm/AlqxIU2iR2e2R06m+REsNRqvi0Jv7YbFqReLctdqdYJw3bMA1GQQTVNqo2KUGvLLFvCWhw
3x0QZqKqrsoooXWNgGfaVDZ7zvxyeGOMV1Gj226dzyrfBq3txNgB9HMYBDxqvWz4kUIO36aNziJF
HobSCz/8wbpDULzrkZ1fTRSKhUm4cd87faRlxrbC68NjNXbjLmDWIcF/0rB2JqjYi26IbLCrn+dS
jZsBvLhNlShE4GV/69bg73UgHb4poS8MydZ3pJyA2dAwTpOMbVAuqD8UoMUYtR8G/EsWWE7zANlC
cRrTLL8zl6axnaMlQOFbmoRltTGXzF/XfuWcNZ2gP9D1y8jqSxOU9QNYuQ9OGxa3KKJkP1aW81Sl
Dr1x87o7T357gRAAlH6Z5wjh3nNblSebp9cQuu59SiX3IMSuvJMFADpcz1kgX3UA1LhWdrsxpjUF
t6xGeBi4g75RQT9GqVWWr56V81Vrq+zohuoMmiYD/xlVxIyCJgtx16Bmk6izdCsn/avddAqAmIBr
liHGRrWxbxatytWQTI/IjJS3TZE/wjvpbqYxx0qatXPQuhuebIadGtRwuQVI8hPnrr6TbCDncaQ7
v/AyHqOgFgA9DxT0pdOeEn03jJQe6lm8IceIERoVEvYhR12yT5ujIm40QTUZJWM5rGsgy09wY9Qa
1Hsca4uJ4vNhbIeO2peoz7zhYT3Fuu8slH8JSHn8vKWeQpgEj4vFemkVKQ4o5lpxpm9qnYWHspsu
zZT7t0z2W0Sfay8kPyvtwMPL+zft+cNl7mUduxVrNy1/nVsQfXNEOpPKuw/t3WtG9WMnsvDUJDO0
w00BWYVQEJHk2NJRwi/Z2ZrLqMZyvkhL1ZdyuaOec5HY9I+myXQOVSe3WpM0NibITfLGcto3gZRw
1VH/oRX2sNdd0MbGpDydgbyJ77lVBg+oLayvUlVxsVh1BcUmTwe1Hu3ROs3LBWyyX3eFIMN2yILv
X01fw77GhlAUI7WBn/57Jg26I1i8H01Ss8PYdPmeqSSEJHSUO+456Vlz3m2zlogbpBKnDalJczuz
lq5DidIeWqeXECfzrpKVPKIecX/IsPx3ilfsRFApdeNO9nw7Nn21TkD+uKpZoPS0p+2HurhrWx+s
AzbLO9S1zneD17b7PA3724krDtyraF/dpDzbDVa6KMAtcMruW94qEoOpJy8EadcdiFT2bqiViJvK
hdwOKOreCfA07VvLkaGbmFHifA8QWLh2G7yzWt478CHiDqjgRRNrjeIi9YcHUVmGvfA1HfAb6kxU
F7/katdO/Q3DUtoKl+nt6IMrY1MGbCHI3Gfb797cQOYfZXAGSxMFFrCYLwFyz680I3XcDE53RbkX
tWmKvjqxsT2GOXKCSWp1FyiMVFx2yAQ01RhnVVu82xnCrLCETxIwr9xAXlgd55n4Zxc8klUWaufF
09MZGAhDojJ0sGVvOjtovvPMn9ea2c0BMCW9lp1+h7YCGyWy9oiIu+BOdio/Ep6ikp8cphsZLuGL
77/lTp1CltFPOyfr1TZI4SKhZNGdAkv3RwiaXOSUcrpO0tNgmLf2pi0H9Qx4AgkSjOCL48yaSt65
uqvAA+h2Nk2LPZ3DYO/MeXXCdym2k90Ht6HXhCuul3JVYx7uJpdPp7IGHX/kYfLge153oe14EFCm
aqIj0iDdm459ceYowLdFBrlfG3JXis9yFWje7A31S6GwOZgirEdRK1C/OsUihZqmD7Y9lFc7qQCZ
9v7Rb4ciJt6g90o56XpmTvkKIcY7si7jpQkh7ahI9pMve64vwqgerDrmLnDYKbSD/cCHaTsOorym
rg6BV6ruRxC2KOapnHcLKYvG5vSxsb157TjilU1tvapKEl7kcoHAXkdujhc1CSzXigAEOau5pfU6
S9rwYgaGYeBtWe6F0VcbKrtB3+JjY1meYoYV/hhc2OezPx9WBM42Bath0PPzZKXZmlV1ebZSAIDQ
B8J/HkhxCvPwGxUkPHOC+Drr7mdCeOzOLgrWhlC5t8mBhsw51xCoxDPqa4N6gqL4YdG5+3Ioptt6
ufBdOclyg+CY72pECisvUO4zyp1+J+04fiA/N4OpDEcF0XZrFTLq+rBaa2Df2C6LdD5YBTZqz/Lv
RuwjO3uy8lXRBM5jkKd0lwirRJHGEuvVKV7AmSlWM+vgcNn1dJoTsEck8ekmD8iIekCi2jB7oqeq
UWpAJSV171dU7kzb18Xp2L+GdMwFrkZB/4I3goqEXffMOt1FJfX404Ci7qtB+uQiwgwhKrgQ4HNv
czJDIgBBAvg9KASp3UZHM+/PuiUIAYFQ3UvkmSKIsse9aXMkCaJh7iEqttglJ5y+IxeF/wUh7pOU
XVMCL5m79nfbsqYDmKfzwbOgNIkS1E7m0wJNNJaGIyherI4Xr9rOQFgHHWghLjMA4NkBrPQBBdBI
EIuRtesAHHo/40hIppKf7Hos93wusR5q21o1dHaR2guT60T1NQ3SM7TRaYbiQBYAFqG2idNWd8DT
IEm2mhI6th6y8QBeEyS17WNQTfl5BK4BKKRvH0VdsZtQeA94f4KHeYKaB3LwfynE6VIt5ksK1iCK
WzUDEsBGIG468qZLbvr6hzGCLLPXFdViRWk7XwRKY0XE6UcoE8h8+WxDtY+t+3+0nVdz3MiShX8R
IuDNa1uyyaaVRI1eEBppBt57/Pr9kM1LcDhm58bGvlSgMrMKYLMNkJnnnNSl92IJEQdPC3CkKHDA
YCmHONmqVs4N8EKgNnpOddt16etRapTJHtpIC5qvoWmpwxJzOeSbiPdVqvYHKPPhRbSgnFRUoN2Z
5vlnGXgbeNcdSCsDbpGzVdv8AGTxY1spCR9/vha5g3UetXmEHIVX5tqqLedRbK1bnPSkma+K2NUh
mALZ1aU2VfgRNjg1h1Olmu6oOhkP6jRZW8MPg8eQqz5OzpReKTxaVnowg0ablhTCPR2su95STX6m
6dz0Sh0sTmz+0gPqO4f9z8koKLR2U3nwXBK3ZZQ4p8ZvuBdbjrQE+pyLUeYytM4dVd7p0HdRuydt
SomiBAk5KOkvfhIm3xATWBhRlPYL3/fato394JlelGhvxrV/b6u8KaLkOw9XFOC7mub9zuKnZZnK
MHg6XbWWR3YAXBsufXTsUz7slCHVH4zmKTIbgI2qDfWKzwsMJQLMyapXp9e+rQ/gNzQl2pYz+QAz
sdJdNCvGowxVCCSQu63uoAXqq61uu46CjV5dj2ltXuIGTbujoGffJoXlHcp46RN3NPPURmRaPDis
P2mh3TwNzbBRIcH9ZDr93ktU5XG5Ufe7Rnsx6Fi9JUHgX6ZWmWXbeBriQ6aXcQ3XLgoYJfT/RyiY
UmqxxQ/XjwuUA4bhxGct4onZHB8tmDS2k5fOR8vz3ZukVr6EcZE8DSAkza5uPgXTVH8q6EYqjVa7
KwOl/uQZg7Xt4ajmG5YpKiz+UetJzfitf2cVNFUB3fLv8tj+qc1z/BJkcX0dqSEVIS9IXmzQMntz
aKIr8YKIgLszNEu6V/AiMwHLbaI8q66pPvH7QRsL5tHpwS2Ghb2xedC8cZSZhsHeMq4so0l3sIjY
IKaSBsImusfAgdufM1IJ6Fe46o68Pt5J1Y5lwc+7kjgWKZYQ/k7aRPeyVvf64FhqZbe/rO1oOuPX
njzfEswdXnMoZjrjxZv05P7Maa4uU9q0+MGaRvUgwfmQUt8cTegMl/OqQZLv647E2GXtOPo7h4L2
UYKNvtV3dej6F29qNx38Fll1dVkbDRTeekpC8ickc6hsqbAmR8R4rizH6+97qO8PWTSXt25yQ/dJ
9Elptr2mDp8Uzek/ZfX4BRSVdy7MfLyqesCbijEO910LBV3Ue2CHlMi+2FrtezXDp3Yx9ZAV3JkU
m321hOc25omZRvPw5A7ucC975HWUwnmSR0c3H7eZkw/c4kXOjvbp9CYIAH6DevuRk5z6XpahvqHL
w7rPfCu+ikb31LZz9tBZyedOTYIX8Mj6CV0LGK+9MXipk7Y9kGufDuKleaDZUiP0TuItzPo5a4r+
IYhc40v3vamy4EoPC3VXDlYNY4hd7xpwq8cmpsiJpgU0SF6JOsg+tpz/HKbLoalllb59F/Du0My0
8pBMpA8C68kHhPnF5s979kzaeEcv+GLwbnv00+IkM8UazPs4mJ5kFs85FKj58ENmNX808O2ootxa
hV/mGu4gd6RGJ7vG7WwcfDpTdrGtGPeTr74OpnLtKENwv5q54S9PqR98lqDVnpqdtg8nKsUfHEUQ
q5vKBy2wBksI+QiedeAxG95O5/c8MFq1pn0GD3+Ihnb6xZ1tfze3NDVPWq6eVZ10F73TOxeuF/Dv
dbiNFhUUGdBVej1KDcvl453zG+6gfyJe7e0oLTJvP/YASj44JFi8Q6cE77yAfZBfsYeGrAS518uu
TeNu0mamca8DVEyCZZrzE3Rhr0PMrcIpXQY5Wh1r3Or4EPcvQtbtZxrik43sv66T6RqznulfhHzY
al37t1f5t2dbr2AN+bB9EyyNeR/cH860brNezIdt1pD/7vX4223++UyyTK5S66fq0IXR0/oniH2d
/u0p/jZkdXx4If77rdY/48NW6wv2X53twxX8V2v/+XX5263++Uqhd6i5OzSKLQQh3NpFy8dQhn+Y
v3NRimJVnrqvqy7zzkyKyy6X+WXBu2V/eQYxylbvV/39Fa1nXWNU6s7zfvW83+n/en4eZnj0HsyY
u/P1jJddL+dZz/ve+n897+WM7/8SOXsLBsKqhv6wnnW9qg+2dfrxQv92iTjeXfq6hXjS5V/+wSaO
f2H7FyH//Vb01He7CYWfjRlPzV03hs6+piN+K9OwXygDzLyhcwcvPVrWVq1cf6e4TaEf0wZRv6b2
uKNc3BI4TgE9cTSv3AJSr096gWbTTtxBvzfN1DvT8wuCTkz97KU3lcddYKmX+lGfDGdnUlTagvvb
Umag9XKRa7uIuYmum0i6gdmD0lMOrXFOlO0q9KY7rwtX0yoF5/tGDMtxk373o0a5NqF83uZZlhyp
SZGPUrPiia7MK7PK2zvIlvInhezLreW1D+KTqIpP7sGz63EHLDx/kjA9QUosJNlykhDdV7lFyrk1
ZVcJSMuCHi4z1jbrRv/y7LrbPziW7pNE/YszexPMS7r/a5AbZOBydzjPdGJNGxvuj7PMEZsMt2Pq
vbpXh/kWYpsKIcVISDG8LpO1Mkic97aLVSXhoTAB72oliBajjqkCyKEMZAkhKV3n74IS1z3TfTkd
362h8/Q/4e+skCum7nY01AGaPjj8kX6z73otcu7kKEW7ou/z7vzBzg1RtOP+lPfQhwVjG972SQBb
w3/2kAgZSh5vYYGy++Nqk6MwdforYJC/fbDLJmXj3tTlbJ/EKSYnHQ6ZOg3XFf329ExSJ0TIyeIl
cra5XXsXuzjFLkfrQHudfSPTWQjw5NClmOLX8etaWdaYkb+LjLpF8ywbD7QA9NsonnVvA79e87Cp
NJIkiBopvGtpoSZtZ4+H2CvahyFQ24daK52T07ufxLTaod/6ZGWty7MGoTJktCMfbDPot9OyUmyX
c8hOq1HO4zrBdDmPONRy/poVdXMUmK4cwQP1+IrX/QDdhYTPKzcX3+VYMLuC3oUWlm6HdufByxlS
wz2prWGk8JpXWXNSKsXm2FfU+g/HrWbU6lbC/bbux5tW0+1N0PTZromNV+x0onSeS3YDdPQ6GGUD
WSfZfDG9C/mIvBZ/ELvAsd+FGoo/yHIBYkNfsIng+Uc4jZy1aQCUblLXvgmXpggUItVvWQE70KKk
sUaEtqZBGjxkW/36Q9NPktF8fhCjs6iFgn+1SIDsirfeIDiNbnI7oHK0ZAD5pDxFVFEhroQWTwYI
2TN05dr+QppXCp/0EtdSDbvE0Wox7GE9aaCOK5vHhaHgELV1vAuheg+3dArmtINk8W7wvfqxHKb6
UWzaYusAdSM5RI72IHNxf9hnVOP7pvOD695uhttetfpbb6BCvJF5DAv9javfFV0x5ruLg+QT/QCj
0/0aIm5D4V7v4V8Oyt26Q5fHr3t9sIXLfr5+98Fsq5FyVPTxsXtTCX33u/KqIlr785YcgvbuF+by
s0MJ8OYSI/N3Ky8/MoMfqduApqctCD/4cRUqplkavQzgwo75IjYnQ/p2NImo3DoXdz8klxUf7DLl
Cbo/0vn/tRk6d96Q+AQ15QFizsxIOa9D7jevUzNoNx1tIrfiFPtlbQ8aZxvM9bxfl5FV93d9WWnb
C9utCeAQGNQAGaBpRBFNwFq1V5zmF2PqsuDU5s5wm8c5D6ZRU13Hc1pdJ0bqqk+DRe5AHd18KzH1
EpgIVGHy6IzuqLqRh7wTkxvqxZab0QF6kEZTs62n2/AVj858xc+cdg+YVb+XowwdUH2OuvNq15Fu
u810C+4iQj2VptqNNpbW0eGygfhhXAfSevwldH3vIgUS64s7Mj2oKt/OJtHNcsqxUCjJcLb1AsI6
b277xryc7Z09Tyu6Y9DFG2b9ek6j6kieWn32ugyiSsW3f+rIeYRdNvzqtvmwrQH1P/hvsZHhzB9i
B+drzWnSCj7lQKME0DWQo6VeQzopD64M+JqGi7uyIzKSdDq82gqAVcVYobCzrLgsln2GcEnqVaG7
aRZPDY+ZtpMd7TG8kpCPS5a9gdZGsL6zQryFVe1S3XFG+56e9XzvNhAN86+zf9ohOBEtqb6Hdgyv
h9Wk91WdoP2LmOHBAufySWKFruWPsWo/W5RpaH1Q9FrZOBo/SYIZaFA9AAyTMF3aiFUDXjXxCtpA
vI5Lo4N4ZW3RUYdUPcP06q3PPluTOvmmXvSkyNeTga/on1qn4q0WJSrxZgWqMrVJQ1OjwfLrdRvT
T5t7iEpA8CxHq2O1hYuXDg7taMegFSROhgE25osD7MbPmQrfPAwUUdcFcooPO8kpJthOYIRmYwle
z50uF0X3VXOuaGsyHLPc2xPteJE9xr+Ag0IORv0l4AWgWBhBNTx02i+VpdFkVU7PUzGAz1OSlEp4
oP3i5KpD8VP1z0E6qwgg8oZdlsuueZvX1yP53n+3qz/qcGMoCvo+3DxeW4NrHTW/B5lNf9YG/rD+
NtKj4CUs5+ugItvfuvH8qaiK7bgQo4GfK+70DtmoYIkCtMi9s43GjHi9RK/4U9hSvLIlqLzhVryR
qb7bMp9yCsXs4bbFT0oKKRUGr6CD3umeVAjHrzs3tA+IXdlflDm6k9/hNSKl8fO6jBzrEDYWpMsm
7FTDpp6t6ij3yXMcGTemk28/3CsDquQOfFZV48aKX72vNvFETf3OM438/Gwut+oUfK6MonlOFvlG
I01h0TGbU6sOynD3NqUoGpxlmHPnGnB0ebYV9OzYqLhqNDd6ksGjwaNM6MWTGdwW+rky2xujNxGA
yaZsPGbd0PMly4KZz/+Tk6XtdtHfOhZQ0SES06qnsu2cs4RMuj/c2e58XBfo9pxc8Q0Kql4WAGW2
ti306ZeYy3nn5L4sivCyiQG94304UfiUq3Bow0e23bc2EisDXdPpjt6m4WAu28+KW25HVBGelXSn
xuioFF0zPE9BrW+jAeFbsY103N7SFfXTW/hexVQVJlRBmXp2FtNAd/ohqW3uIpdpyUPfk2F9FZ+E
mzE4Ui8DstOqvnmaMv8XuEOGGy8IhpvJH+lCl0MZ+HpXFHQt3gI+RlVvHomRqV+0QbWROVRn0V63
5v6y5xqTFfHkb9fVsq9VT6/XcdlC5mXmfFKHOjh+CLEblV/UwPscWjVKKp1nntxeiegdnFUOZVjn
4pdIcTtQZb1GytxeIy8uCaUgMW21AJ4RCZI95Gg9JdoEirH9y7NJJM+oIayDdCaqejPeOxAM7uJR
S/Yy7b0QW2+M9707O5sBDorDB4c/pD9D6i3XH+3FeArLTLup8zq1kVNhk9F91qdyuAv0oKU5KXMO
Hk+Wj5Da1xu/nodrmcqQdO6TavbxrcyqONYeO2vc5QgI3RfLzDOD4BFg5rqkgoXj3HXWlT81c7T1
uhaWAS/7rgH/jrZwvMx8RHTI/mT5cuLRDIdDE2X0KVX1lvae4bF21PAZIAB9lf6zDEZst3QQWf4p
XWxuQ6PqPCuIuyxTqvXdfR7op8r0XhfoPS0MFkKCYgKKlu2duYc2domn9za/7Qvn9zUeaCDtXTbq
dktA1VfTNujD6Uqmc1t2NKPZ0VamipsaT3n5JUvS17PBilSRvrSdayNtE7puCoOkjbvolsElGvOX
xcEOivXiLLaosGgiXufmtQFQDq5+AvxlkUTJVAYjsmP6aIpg98GxTtFuMQ+hZdMj+MXQXHRyJiNA
KsWl2DTCY2/R+Lhrh2Y+UIWHut6Nwkc1cjfxVGZ/8spaE0keiU0NN3iW9YD7P66XiBBy2kvEeoa3
84tz3YOmYLh8aUL3oPo/WCEcXkmNhN7GBrxzdpV2DzIjgEjAGn7UbRyc4qXHeiPRnR052yk0xgcZ
WlhTz6XfQGvfTg+5Dcgji/3sKNcExTSSDFZ9e5m5lNEaxRo3ibwcb165uuwvvCkpsXdru2XtsLx0
uZpYV9SqAxBOKdCbpKxPtAvCLUUD7NMYbtNoKfgvlkKNvZM95r+L6xJU+90+rdxov64JhiLdTH3w
uo84IDP+f9xnPff4v19P18/q1rBgKKtSy7gtGv3Yx7p13foG91tp3xu3U8U23Hqlxm1qG/FpBAKM
LKRxK6ZBvJcYCa8A5ey11gNLsiyRSNlbpsqIesSuCiB8apNq2otR3JczSvgICGkP+KreRG6UvH5L
lxN9PpvSNKYrNDH2qN9F5pakhnmKqsyidZvv/DbgJw+JCeaefL+Ln1zO5O7Lqm2vXu9r/DG6Jsun
3PEBCe7dLnUPY9EacB3/x6YuDvTvQObU+sWew7yDWPISgoL51163ymtZLyZZoPH22fFOgRZlWS+O
oc/cW1uflEOcjeA5hvKWXonqdtas8vavpuKQkAlWa7uegdb+77GyUxoF3x0bRrTafi4VQ9nKkUnT
yuUoX2xlqiD+9+b95zj0YBW6gklmuun+AzeWTHXaeJU8omF2uY8Tkwx12AfvZLhTWgtS34C2LQvO
mhMAPqO+bJoZPc6jadDAHD8bi9nPuuQ08Sy9lalVAb2HI0mhgXkuXnSNJDxZIAhHl2Du6C97zNzT
PMRO+BwAVnphSPjYmtzHoHBhZ+i9HYvSeWp8GzXJdQo45LoPIDQ5Ko138QaQlT3GtmndQhE+PszQ
pFiT0d1AgjY9+CZDEymwYFeRvnP6ki+vMbaT29l9XSCrZHCN9LJUZrJ+tJJ479BKsyvdKiXX2U3H
QouMxxKg1b4ryZOZloWk3mLzFbPdloXdXELEMbHBBma2/FTq029dYGknUsPGI6SmJzUO1bPWtW60
LV4msGKP7eKaulY5a/Z41RqOFyGknU2nRNF/v0SagLXoTjeLrZxzvZg0gOs7pi2mpIf9Ruxp67Xb
ComP42Wr9WLELRcYO+nlQtbtihfNS5zrPNYDCBN4sDOW50k3UvorWv3BbSk80m9WozbN9N3K86KE
0/NNJKT1l5h1i9Wx2tZtUPuJNzOfU7Tuxy+k0F4AVCqf2mKyjkVnlldtVqefYPL7Vafx8ccfA8YI
wYs6IC0jVECTCk7GgMhLyADV0DZ2dpW9n5rLVILFK8HrVLwf1hY27ektPdbbobOMc5bQDzT67lf6
WzX/FGjQpQPigeWrLpWJNE1snsntGmeJbsZ2l9TGcFO0v6eFZZ5CKJ5uQJLyr6oUdCpBhhY1JGJY
0TEfb0gJiXdaQuRIhroBJHXxfJzbUWuc7P4HkmY2uOglTraTOUmkDih0dYqnALr2IOkzYNAMxqyF
ytVYkbCf+R3Z9laVu7+nqZnd0A1ckvqMsuymoSNqmzi+tpVFjZt6+6jrIu6tckcxz2g1g1ofJhCA
i0L6MoU1arr3Qr9DhNx79VpqXz/OSAOcAeC98NRZfO2yeN5oReS/dB3tSFpfTC9+FVkbr23yF99B
drAoAg8VhUbZKBaY3c4A0UTZwDtpqNNecNpmHPuXqSZUD7DVvJuuXsHV/du1aRpEW2fgkbxd0J9G
R3uMUUca9wqec7YXthPKZ3SxT9QMb4ag2ottpOVy3l3cy5KsL7R9vexgAujae5pe791aKa+gT3H3
CbDdX/Qk/tIAMXhU+0q/H7Iq3Yg9z3pzl6m0kXtLUy/wZ27NtK/+XLUnXoAGpZIs+QV0W7NpAs+/
oxdwfiqV9lHsgZ5Vh9Q3LRJjnCRq2kNn0k7UwrP5En0zwnj8OcwBcgV8rT32ZTtfoX5SXalmFjzx
OEgPvZ3bP6Nvegv/iURCbzY92jG0MK931vBNgnxC03EHhUUKBupNfl6MQA3S/TQ56ZluPOc+rxRl
qwQWv2ZvR0FOqlRs0dvR6r0cxWNx7nLIsaLAfgy5e73mvWjcyQCI3byzYh/VRpQDNx8cMp1i/7Es
M/daYtcIeN7JhFn0nPZp8AS5X/6s1Wm891Xa/osG4FislOXW6p30RzvG29mcxm8B6mL7uU7eRzRL
ieQfI4QnKo2jbRaFqIkGCoCPHKrNI+w2GZ8iRQ3vfdFZDj1nZ6lwgl1ElEN5OHFWzeUAfIMSWTce
nKHdzlsc4vVSlw9NWp8npawBhSzPNO+WLXtTAx5vmvrcLlK7ek/C16i88mmiMfF6cBX9MM6l8oUM
1iXCAPSzySaIh+wYSFROfVhb+NZRAf9O6Vm7gVm3fYJHcbqD+/zKyLnsrVpMxcGa9GEnsTIYavod
CjvtRmZVF81gKvsr+NybBx4ut/1cU5b0EXMTody2IQ9XGGRH5qadPjt6vhMINPSoPA4jp7ITlLOr
O9rGtW31DEBxm4ZarzxH/jTtYd0vbJAy0OLKENqqelKsZaDXPONbhEN6a00dSEH3a8Z3I5WCxSPh
C6b97w7zABHIGjgsuNdqGh+j5fsasi+LGk5q8VgPcCH/bfbb/LBKes703aLuV6EVODlXYv+o+ikh
eWyMN+kUmpsZFo6dBIpj3UqOgqQ5xm9bfQhL3HvF07ImOkK5ose7NrN2bWvnD1aZ8qBpJvGx1tt0
1+gRT5pqCnC+U9EZNetfhzLzDnqvzkgRoE8t2tVia71+3o7K2DyK429t6rIWhB/Q1DVGlqR1M2y7
adR2UnhcCaIvZct3dcwQ9aKDPwyfpWp5cV+4o/98fClvmgaSdBfO6a7o7ENfdJ/daAf55cbSx/Q8
TH0f7hMFqKeT/2maLCjjfCBDl/btUWZvoe2CRa6X4c0uO8pM7BLxFi92cxFIeouXU0qo982uIGAq
F9ZqGYrSt/dNX8+b1SZHC3/mWS88aGwlxnLhJQSv/7qudQdAQRI5JBVSWkPi7IsqeR+z7thCvHak
GvUTvQT7VFXW3eX1kCmsV8CieQHWv4gq2yVMTG7uUAV4W3qZiueDjYzvdz+oq42mD+q+aflmE3aB
sjF+0lDf3we0FtPDqm2Eg6AJquzWNOEJlShZ5AQ97AsLlfmfF7VNcn4tlWiRhtK3mQN3K5MJDSnk
mTdJaY9nmQfI4xz6iVKi2JQl5n0gqOs931bOZbW4yQlrVBbJv9F7bUA8FP9mUnm7VvLJeJBhbntn
5wxNsF9tNfA6SohqsMly1eSxGKn2YREOk4FsNXyrNTnvfPRhcFyEw0I7MRCj/iYB78xdrx2gs822
Ylv3ICdH31PjOJc9xGHnmnfWA241l1N1b+ejCyg9zLM5fHRwz/GD0mt/vW5eeXwMSrPjzefpVzAo
QQmziLZCalg/GnoBztox75scFXrEIevHJUBMEiBD7Lw3SeiykGZl67Lwj3ut2/9xr6lov3pRrJ1c
Pdw4ttU8yRBrBYr3mt+96tq0BaRI+uyZ152atk99n3kPfRYuOSq0ZIYAfVVfJfoyJ3FFLT7XXqMd
4DgPBY8yH6PX88kKddlfbJM5eg8j+8usK7WXKAtfxiRyHseB270qMcJrmQp0x5udG1BozVkwPFns
BY+xdiMTCQphpgfLaH6KFtyP2In2j0lP11RtAQbbdkjn7bSGT46skBgQyK+nWrdaTuWQxEV2m4vR
2iJ89GtwfsseKsir24HTZN5S2VL9/BCoIU0W9Ok/hFl/V8/pdCMmGUpYnY6IYuuQORJG5hEu+Zg4
1aJ5IFGc6lSNZuygJIzs9pU8SiTyEyeHMsDh6O9aTdM28pgiNnkskaPVtq74YJMNTKp+G9Utun0I
AJSWIfjC3pGGARZ1rms1vbnQiQF3fSUMK6Z6b1k6FJk94oIHBfzkoV4KpHNSZgdgBsmhWqqpq3cK
9B+jRgcNJb1oC07J2X9ok5epeEtKjhfv2iYv7fRUacPL2g+Oy1aLN5l5J6NtSHYLFBGaRl/mEqYu
X4PR3+0164vf6d8QZMrvxdm1+gaSPP1TldXe06SHRzGHGUJ8xgAOd9Qj+8tYqM11rpbJTrxW0Cj7
wIupoy0n8NE+vpzgsuXofDgBxcR3J4jcxj1AZUrXKzCX9tYKky1T0i4yzSwa+iZN36ZJf4LA073t
/CnaNVYU/VoB5Jh1+E8RgjMPg17YkFoUyedRqR8lgAZKB7KLwLhfVyIPGP5aaTwEe775NZ0z64C4
C28rC9b6dMzgh1l6Vvql2WUdxJYjvAK9bX5c7V5UD4eKRknyXIiDfVgqU0WaKZe14HTRi3rbeHqK
I95MVhfU5aZb9ClksIuORJUc1jEtWO0yrG6xTXMQ7uaBRJA4Pm5x2aesKRSThd4Zem3frsPQ9c2p
L2lderMHdCPdGiNEe7v/HAI57OfmXUzRRuMxab1f+2As7uBK1s+1cpAJ1NDIPNvcjl/sVXYUu1jk
qF3WDEmjn7m3Wc0BgpJw2lFk/cOm7/Zb7X/YNEAQq8+byHW2Osip5ZlCHkAs37WP45h8E9M6fHj+
ACj8FdEv+mmXlfSX6YcoHskWL9M11ll2q8Lo2+UJSLyX55m+GnY0NLk3sZFVpHTy+rlJAfCpygwY
JasceIQr59Nkg0yHsOZ3JOzczxrfn+TwNP92juv6RjdohES/yHjmNR82odKqP5X2XnS+ljVWpb+u
8TXFv22CCGnupJj22jBtp6zgqZiM9reW7+dND4nLfd300HmoAU9fYTZ/axy4H+CLnLZpA5ejM0zF
jopKfE/r8Xhtu5Ny1J2meHQ1r+LJBxyW4UG3vJCHTdHwMPaN/vXDIq2tFdhWzeKxreE9cCfduTYH
b8pQneAGEnxQ7RwSKze+JPV4l05u+iMxEpCU3L09wa9ZgzElIlRU40s99HeSP/uriLc9/jYCEJu7
zUEB79wu+QwvRfYgjQ7dXqW69cWamhoAWPhJGiqKULVPIxxblzaHrDRo9UQN42CMsFd18O0eSyPv
t0Vhora9dELEeXTZVNa3O9l0oltSNpUeCoCdzmXTTpu6fYxoCa3F3KaozvAQqFV+i7YBTyCIk12m
IlIvvLEaJnInMKwstztiX0x1rOa3ssXbPmJC0HPrxIrGywx9v03TI8ArSD6C29nWk/tmEdLrwjD/
0YV0TLWe922aVX+X8qB1ibBatd+ENOl4dNod7CYGQPWWT4UOoLkvylTDgYzcJPnT1WjBg43MpcKj
i6ymaFNtdDgflh/kwN4V40x6bcqy+6yES1R0zbsqHmmo+rOjthWeJRZHQEbtsiLpPd7FiyOIS/NW
N+AhPo+kqrKiUZvn1/zOYDjZYaRALXp3O7+f1O9t8oJSaPaDTJ+6jbxpvtPob7oFwA5F2GtA3kf7
OlXo51Ni9zi13cFSW+fGnnzL2ZEuSQ45RIp0GaExL+5I0Z2biL8H+iH0KlOgd9epDohd/jLarPcG
3f8v3QjTx2qHG2dvpkn48hfx9mLXI6+gs7GBi6yA3iNNaj6lS05S5qob1BvKxhaCduQuvFIbN6ad
tUjGVsZLQ+WlbklCkhy4C+uu3AjLJjwrUFop8B3K1LTNf15UaSbNefl0JklVQH+7DAo8lbQXop/R
zv+xLY4YmTIUYQbanlR7P8FuXGpudRs30/QYLkM+WvumLGB3X2Yy0PBvRg03nYvFyzr1vqNWLDMo
HeHjoLMPSeTgZjXFY53dDL36i5hksDuvuHZVvb2sbKI6vM5r6zckerobuD+RMerGpEcctOi2EKFb
1JiGknz7YhSPRMrRJVzmZpD9lqeqSr9MMt7yyKTtq7kfNtJrqQ2gb7gvxyNziZEjGWBJg7cguV3N
0PfSwFl23euCukFiu5rV+0R3kDJSWs/hO1nReeW62t9PVeDu4sSYPjV9SB7V8h51lV6ucCxhD7U1
5Uac86CqACoRWhevC/3TFaLV/la8Lj81Z3tyvoMsnj5ZcEE/IwdQ1HXdbYtaua8GuMUksrBAZ1dT
rl7LPnrNR6exhmkvXr3phpMG3hU2TK6IPo74IdbLk2wrEXRCQtinVE8yi3KIKHnkrG5lN3JWHST2
1QSNlo3eqIkenqX1PIbNof7ZB8xKwSOCJgol0quBN/K1AY3uGVQ2X811UH6qIMfYqAPKbAUvmk/C
J0AuqNmpQTxedUFOw8WSU+VxWttGUVjBisc004vQ2NDNkJz5UYKvpTQB2yims4vbWNumfvaHwNBB
BMCvsoOaV6gALyU4ZSnB+UtpLiUH5PVjeycmcdoNBDaqZw4HiRCH3UHkJOvFtm6iWR09ull3J3a1
UQYkadDMAq+v3dZdlV+Vof/oz4oJ9ZdQWgWZDpGVBkfq7Mc/Mn7LIVdZPGHjcYgWTHKw0Q7eiBHu
ZsLl8BIKdWW+7zrKUshT7zzvJSza6X5NAUyKCSzAj5QrSRyII2rMESHspt7xBWs8iCPVG2rehfYC
QUZ6cooi54vP049m1nl3ZYuuQWZFCCr487xVayd+aQe32Dhz5n+v3OpuGEjIb8b5W8kDH69q0YIg
6avfEjP7Yg1J/q1T+NeCX54+8zyQ7cI8bR67viAhYFra2Q3H+WoKnO5Uqd6AKq/+pzMXo/n+zNZy
ZiUs78qpIM9SpN8o2r8/c98lX+IyU7dxbvb3c5QfIDGDjXs2laNZTMp3Y+B97nWJDhl27e6h+Pdu
wfz3J+ro2tEYYvUhgdBs6zRV+dVqupelaZv1v0NtRKVzTr4rmqK+BL2T7HQ+9A9B6itH8NvxKUri
5jy28by3vLn45IQ+hNGhqf2KkMbrZWhchuIHwa+dQRLww2VMs/eny4hMt/jDZdTc2JwN7pO33cjn
uRqQr6AIkX2CCrZ4NFq+VpaZ6akM9PLlzpTfiYm7rWbnNUZ3lKksD2d6lWTaGuNlObhup9kuSwEG
gDGHFNmZzWjXG6H17Bda9sijFo0JrfWMnoD13AdLEgYRpBux1UGwdP0uXFeQHD/TYZQ92v7rciTB
qCdGFtkEs1Nvu9Z8HZrlKKH93VZ6ukuXmR31M7mV1CBxungg50G1R1OvVVgqd6LrYGpkFyiBzLew
waKpp/4QM+qiSMUsUaJTI1H5PE23ZaU+ct/ib6OyhA9zGsz6tl8YVGTQ277n/hgy6Aj6x+vVgTQC
0epb9DTW+6L1r5Dr7LYG+bNrKd6lCdxXMEy4kKHSZy1eOK+9ayn8ZfqMHK8Lvazt+/tL48A8hOHG
9wf3WERabexE711bjGgquEcRdhexeDn6H9aua0luXUl+ESNIgPa1vR9vNC8MSUci6D0B8us3URxN
j3R098ZG7AuDKBTAMd0EUJWVSb0MLG6LTvfWHbAzveygug6SsJtJ8EdGLLW6NbrmI1HYUp9uXfu0
p/nh+fs4CAzPnhVvOArJAAsLpTOu0w4cSrQFnHeDZFRxBZ0QvVmkVDldZm+746jyRWr+eglGY1yP
FXa/Uri7xDY4QArx+AZg16rKgvRljJsKpX6wEzdtGgdgsqiz2e6PmmHMD8c3bb/6W8z+ge2bxDsM
sRelGdvp0qUM1SKyjxFug+3aG2m/3OsmgB3otFhkubhEFhaurpOotBg99RoEYbRSPGcHyu545e00
je3LH17SS3Ru8ZDhBH9n4J/WcxeJCz/27JVfCCQ4tTCr5K26q0f8SymtMTCc2Si9prjh3WW2yR/A
srM2sN5AM8XpT0aG8xop1bDMwnaOCRQRaR0byL4UgKaL9ki9XeYcRtBW3EeRsGkOMg+QFj2JHHPQ
lBxxMOCR0nyRizKFglUvHqqxrkG/A6BSzWPxUIK4H2Qt/nJSYJ9d1nyApmEYepvadt97UxyraSiZ
/jZee1CnhwK7tQNNGtQONF5X6V+lnQnMvdKuT/hV2pmz3HREc6LeSWfGqRfZcTgL8Jtfe+nbRE3h
sc9j/+ZM3zW81dKTPBaxp5aFGxiPRjT+625U7N0mP+7+8DMSaLmrtlHbtkj5USgfpDv6QwscxP1Y
qfHBGTp+rPoxg6ohPpwN6L45Ti+f7PRhDn/5ywRcoNNQStdcV66HABFITI5TK9hxZJ27giQ8X5Dt
2vG3JmIJrF7QuGs3LyZ31QkoZP/RYen5M6y4q87nkPgyLHFDl7zMHlG/6gHx+MtEd+B1C5bglM/W
JellkrFKWtCmuD4o0H73jgXA7pn77WrmYxRfn5B75fsTPAfYLc0aFyxZJLI1jbg6u0b+EMl8bxhg
2UT1UrKoc5VsOqh8QkvOZ/tuMuuLqTO9hsiDo9kDYqAzvVhp2/sWMSfILNTQbdUe1JG39t5CDdk8
COXF/aqFuNloTeEFcqTdwsiC6ktXIR3psFwc83CoXqBHNtubESpFECSy13Xa1F8q7FUtqyzveRGC
rSgfgTTW9kEPRwVUdB1eQ3L1IXL7Z4hclCto76UP0kS4he7IJrVt1Da6+//xM0qEFwoTXNNKCWsZ
8Al0+/qN5mynYexebSbG42gCs0zWNMutpZJ4o1SCQ79i3U8gwQ4gwmOAIG/TtIm1JaGLyeMXxyrN
+zRX6W3csn/ITF5+7JvbwrbHV+1lBt6W58DDlIb9gL1mcbQcvASQj3ceyFYKsVIocrzjDnceEgg1
rzygrrfkQQPsEeFOLQD7QDY9YHDB3jrHAXwWxQDxpWuwdosXwKWbfTg0bC106MuD3emcz/YSx6I3
7f83u5wyqM/W4UIo0V/SQvqblA3luixE/gQaQ76DLmWwFGGXP0nRoGjZi7yFEaCZTCGCEhXoMcnZ
4uDzGXJ5oc60Sqb7FCRkEbZOEjpbqzwq2SPrZXwnvU7uhtT1TYTh3O5QYbHMFtKKwr3Nt5bTtsM/
1GGUoLs65kx1h9kdsn3Qm4EIFdBTNVhYpkpd7LjsX7qVq2z5YhptB8EplS2oGVW9Zpg0IAOre6FK
WkFcAaUs1MwVFMwiRz4gMx3c+b17JjP+umAoigByr9IGU/pQQcshBLOjXs8a30J77DZphvPddblF
dCQbFzEiJNAC+LQM02p7XXxDtdZFvZ8cqE+QAgs6J8i8zGs1DWSIQccgQzrZYHfHGdKSm0Fn2fJe
dffxFG66XkQ3ZOpNH3rHovmH+sh0HXS1/T6oU1N9tHr5D/n/XwfFPdBiYHvAj9a3PuKknroJkghQ
j6qVvP42NtHRSLDbfCjCrnws0vCnpXddtdfECx+byTPoBPncdH9vUu/VGRGr9nxtyhQVZ1YW1avA
2Ie2rixW3J9u0Yqoznj4a4t7RbGQmVvfAxLClk4u2J3PrHEDWenmBCK44SBbiOUEnt/eIL7MVwYA
E09TDSGNsaybb34t9q0FvO2iBJwb/AQQCs35NyjviFeXeWyZIt02TzkYmvbRK96nlBMAS7103qdE
Sfkpwmc37lr5apRsADUj7kbU4C2gcyBfixbPpDupbX/1K/kEmtgAhKVL1eViQ9pgIcIqZ9cDxUUN
4uQ1NZu+gVA4FDlJKYw0w6qceecPO0mLuQhgYDFOE+wFz34B2eAFbuwQ688CUh3zzeeu/8XHBODn
MEwx30Q971di8sJ9HATjqwc5616W1XNrlck5A0P0QkHX45Xc4jg19uAIhs6m7S0qNgS7JGXhVqBY
cYXCZHsdywr/6yqb+hUvM+h+UHvs7B60Ira9VhAVgi6oO6256W2BZfondMZoT7z1AF11N3T3Yb+a
yD451uxPFPdkcjRgRMGOVTXak51M1Plf7X/Mj8/4p5/n9/np5wwI0fExt2TOJkBV28YyXBsfyF+X
AUS2I+tv+iIF73stfaQuiuRbw70wXQPbjvhP04NkRA+YffiUQOgl8aAKk+At/e+prpaP6ebhCSh9
XZVDIVyrIdiloz9FbbUMLD/bkI20E3own15kZi74wMCLjaWU25G1R2rUnHFj0s/shdP6/dkDy/xT
XPP3BTip3t1mGJl2C7qyP4M1xH1Kf7lNnfrXbL+70fAyjPAvdvHp5xMOxlBguukqB5r0vPbu4ja2
74D2lKgfxge9NE9ZB2YL8mxt3u1cl/vgSmQ4lGj/ZopBdSgacN2Sz2g47qJpgaZjyLHMPvoJYF92
Pj3BXM3umQynE2gjbsmbplUB3lt8Tg6ZrTooD6gVOzTyXQYdzGezQkoi9MLoTE1Q/W2bvIsfDCjS
PeQjX426xjXNOEPVU1suqDlNFt+BjNmcezMlAIRRRbGjXppSQHDjTE095ZiBk4+mLECvk/VRd3ai
ELQoRoBghVgyipvoS9vkgIlDDu5EsZQ+qiZo4sXRhppWKuSRmdAsGmpRPEbIGz3Y2RxKIYemBuXz
dXjb1uYy8Pq11XGoFEZJcKdqlKoxrRZayQG0E14HoHE/gP3h3x7S746NwlL/hweQUwiL65THX+bw
cH5fqZhDHx57lpytgcRBSMXlNq6Tpt0fEmNDRPqzbe4HqT5I9usGLLBOYVhbp7aRlWBgNUUerD55
1ETKZG4SwoYwNUI6s+mKqfkYRGgd8vowUYtcPwYylCOcRIRS6oSVN32WHiE/6D0AGuw9eIw9o4yr
OYMk1oNkee2vEd9Wa+rsPCM4jwhZdbqTTEWRXUovY2Clxeg0dpI1SuqbDQ33zdbCSbT5No/WgyCl
sQW8P74lk+kP2FSB+HlLP4Ea/P4ooAe8oF6agyEHV5hsuCOTrAxUEEkv3dGPAHXt+uAw1wQA5NdP
BNIfqH4Z92TpzByqT9O3MImHPQXgWhDkbqe6r+YAnox5d8FCe0ed9CFDNhai74m4ow+YSDuUffw+
vM2raiVcBvrmIvX3MdYBYHf9fRfU+aPDkuIxxz6Jq1TdRDXHZ9xh9tJhot1RJxDS046DKGFJAz6G
432Vg8R19Na+WyYXzh8INMGwCK0A6Z3AvgO++7RGUrmRKv4GGtyvbg99HxCNBPtcQI3RyzLrDQOp
nwaOleGvnASgmWJlmAnbOxqCbxn1uENa3NLQi/YOeWFnEVZNtvHBWiAhg/TapzEH22mGDEamlaS0
lIu2A1nLPtl/90fO8MyCRvR7lC4rQFhTIBV05O+PGGDlxdWSx0hoXDs+BQsbigR6EqyaRYx3+DCU
4NKQ4R1UvMI710KWBdvjYDtAxvYOHAGI+bso/ZJ+cCIPFibWreq/TqPjJMssEK6mD/8RetJNlo5m
B270lORLc9CUTt1As08/oR4Ygrc91LvDAUVv+mSH95ILGb+o21OzYeZKgBX2KcbJA9uWf7vRUjE4
UNAO8u6vbrWejYDMH276HDPPRnZ6qNHb7fWhNFs/gFF5SCWAExAm23ZTmh6hC5Ydc8uwtyNQCDdC
loCxl5b/0IcIXdfMKb+wWHyJhax+1An07lJPiQVXgEA3ovzRB/WX0RDFl7wuEkjjpN7DyPBlrgyR
3UCg4v0ptaU+P8W142SNPFgD+uO3mpvvrDFQmpZHYLaII+aTGdqQM63M32w0SFNw+JEFiY3AX2eI
vT1AJKY8OEjZQJjHsR/IFrWvnbSHe2lhOQgcyA43E7iwrv6QvgKksTWxS22s5m6+vAzdBNHS0r51
RuUeuN6susBubKx0TJDGntobJNsV0K6/G2fxeDJy7Zms7YNqff+fMjVPJlhOrjeea82W4NfNbz5l
EozPcVe/0R6Zdsu0UR4HiM23obknuwz8G8F9YB+y6UsfQXbgGt6lMLC22wxi57YbbajyYJTPVQSl
CkhFWKsYeUZIziXThYetuSQHJ3hOu9peigLF6k0bZct2MqPNFDv2xQDidr5YAROnoLXXQx4ivEUd
5CIht7Qs8CXbkG1A/d/KdOIIwnR9ezNI0IV0Tqo2ZdHi71eXBgKQ7XjApnF8BXuuB4lKxzj0usnY
pg6U91KBvObo+FDvE1o72sonb9m3oPCfPKMAE1b1oxq58aZv/LR6v7HAj5u2EARxLGQXCyuznmu/
61aib+0baUFbIG3i/ICEARgdwilYVwyqCIkVFsusAvlOpOXpCn3X+0B7A8iDtmkh6Zco01r/Zx9y
pEuSgO1EaO/rZHQn8q9F0QU4bvETHTmHUky3zJhOJEOWJmy81X10wqS+huHTog+nH33/2zjwoYDl
XtlvDWQZFiA+Eg+Ch/5m9IGxkaAxPLMkiNd93VrPpdF/zUsFNfMYPHjY1X0H3TNfKD3IYL8GAXyr
zijoScCsaZjPk1LzIMiqzoOaEgEtwE2McEiPce0Yy2ySyRIxp/QYhQok7dTThcn4fktdU2oigOLk
04ErJNAKXVZZGigEjy0Ir0MLLD4FIRg0jLxt7g07qZZl1Yq3MZc3noNar8Ugvw6t3/1AydRP4Tv+
s5dx8DD7yr5JPTOF7lMrDvjLVud05Gzd2r73wJL2JQ6j7aTzR3SR5RgAWyNQN07tjCNdnDrqYFEG
6pPPR7fwxXigVmdCcb4bg2lLkKBSQad8aBDRmxFCGj4ESpa/21oXDBQkSk3O5Kc+xhLqiOYjv/84
n9Ngj+6n3Qn8GyhPMT1jdY2wDLb5CJZ0YG50kKawAQosHRdUZRodrS80KIS20/pqm5LgYhlvNY7d
h9gPKpySTUPhbxit5qaSuXszyjxB5W4cIFwA4qRYX6gDTHbhgjuF2H7yxm551YzZcL46O54m9k6r
h09uEHKP18rJG3CBv4AgJji3ZeXwRYd4wD7g4UvFWHgZW5xbVoDfb1wOBrLZBTVX0yKJQwNvlzFf
AU8EUYPr+0mxrAKZ9ZpeTB3Z7bG3L0XW5SupnaknzJCBW5gtAIJJOzv/8fKj2XPGLZAtoixdsx26
mh4xYgXqMunWJOLDaxcZpZXYQPUBm6GHkAbeJz8xWKVYkaMTWygP4pXH98yWs22egY/VroFMmy0W
eZVDbsKy7Ns4neqdE3fZvuDOeDNBCBIacUn9RUHu0TMi44cv651bMu+t83K1pEG5m9Q7mVlgHgn6
8YZjynlQbrpneiPYRbdDjMidB4XAtd0GybhmUOhb5LpSwdWVCnSpVL1E0Co4c1tawNXooz24NgTo
r1B6AELGdz+cmsBc0lY18OYI+Sw+BptlLLfQR4O8MdI5N8AMq5s8lfWZuVCob1nuQnwHFChm3IyH
MjDvqOVqE92BtyTb9a4uT9BDaRLqKIwo3ZgV4Hde2BTvswRZ1q1Yj0hqbPlhvC5sHDRVykBIeH0U
ckv4aYCg2dFsakx2YZK0lxakCmvfl/GavlGl/lqZcfEAJTd2olYTBt25qHvw/qGPLkFtyrULxMU6
KYN3GypX78LS8OfvIqpqi3M18Rvyp68iyOPbdSRkvb5OJMP2lkO2+EzzIDgM+o3RSxBkAqVKpfmv
rDT+2crEu3UGiHe3IVjryd66jre0Gosdm6hQTywR2270rS+ZtKBkXTTjltxSpNAzCwf7ZhrY4T9N
OzGjWrgSNFw0bR7K4sAJFtgYPd+hajBc587UbYiFjJoJYuufmkI3ibLMbOpwfe0NJYISZvEzwrLw
NEBT6NCm+C2paQtEy0vXRyGC7k0czREpKuASddNMgD1sNU0/NZEyiM9p1aVzMxqleY4q48c8EzIe
lyQqvlIrah3nMnTmszdN01NXtN2NAR0x6hMWF7dNFlyoTwG5eNuMHJwBeCIYNeo7bLB2IQhWnmJj
MoApGjfUlw/MundBGEjjeqdvHsYuXlJfNUXxo5v/rPDJ28oEWPc+LIYHmRcpaLmy4ehqcifAhvku
YXYFLR3wRc0uqKapuePcUSspMgYMYGxtqDlYwHAXaXChFg0qsEFfIEAwHKlJU3p+f+elyeOoaU+y
oUnvDR21LSphb7HBGCB3I6q9Qu3+hVyQlBEXaFDsrwO6vDW3KAQAgkJPQpc+j9t5kiivhz0HdHkB
hokAqezKXSR1ADRzZdvGghmOgMhWG6zsfgpvq6wMb1Etme1iyBstTPKpGcrsiqq/UC9dyHk8FEHk
3s5OaYOXS4PPwDxvGoApyXTSaHcddH1WoR9jJaCwDdLCWaHgChiSIDLZ0cEf52MvkMsYaG1qf1r9
VTxm695DELzqzG3SZ8PORbXQQyScf0Qy5d8LM0DmwCufctCl/c0hbbynYCyr2QEL77CrRhy69AwZ
Dkv3HnhkFrELTfvCiqqzlxn8hbWbKczjl6pW9UXFEXDa2twXUmxTAMc3SEbxl+ug9yZ26wkiWdNU
HueVUbEA35FYlCjvgzzSp0sfAvAmhhEqv+ho9NpKd5B59y448MRcBSuyBIxhn5OW5TbMCqjhOXYA
WdesXTstS57aHFvBuIu6f0rEqgxm2z9bpLEqb0y+OB2CGhnw2Thp9zgeYvt9sKoGxXZ6eAixm3n4
5JvNE1IewzrJsNtvNBbC1fiItrGxXHr9hVqeCTaFqUvbpTVawHfo3t6X771RhHL52imBmNJDP8YH
vio2ZgAG0xgU1ogFoBB+0DUqGQetCr4gD8jb++CKwllg8Jj51stH6g/B7bZiPJiONDDTAzsqbpnU
Y53F48HTZRV15xcXR99RM3JDfE/D4WRN0NoGCwf4GetSnsiNPCYjKrddD7LYPcBH/dJ38hoZz9GY
awPCLCkXsWXKW2vwqwuwLwbQrEidurIq8fmstDjprxE8SoM7EAKCwzyzv3ut3x5pceqbOLhABm3b
Caz0y4ZFwwZMes3qutXTA1yZdUcySdD0bUyfAySN8GibuOotzKo9iHeMH5ZjnSBcOn1pwSyw9FDv
fwPeLGPn9OawQ3kpUJt6kOegbjEx6/2kRHkzhXaxSMdCnDNdlZrGgEdLSALNrQ+70zpFu8plfig4
uBSvJDOAhULXx+g9sKuaxYE6Mny81mVmI8fPQii59uZ4rsGQ9tL/rKTVv0RMReDIBStaUAf8pQX/
1yaxpNqQE1hb38cwt7ZfrO92lO1kXcR3fc3FA8s5gPGZCfqqJokfsrZsTnjjfKHOSYjqDIrqc6Hc
7MTHNFtBGRcCi7oZ9FgBF3RLl9BI8ArTPaNK0eNBuFML9bhrMg7ON0Disjt79OpLBvzoohsC81U0
yliVNSv21EyRsYA6pnxKLX0EA852IcAM8xomtQK2wvT3nvCTI6pO3SW2Q4s+bdvnKY/E2TTGAAS6
gAFASLZbGaUfHUrd1G6tdjOjWpwRr4QmWtQgGQYU1gpUNuJAzQ83S88GsBi40QhUMDXfUNkBhq2q
/Bq4iKnriHliNhJIq96/qKAoT6iIc1cfHkhJoAQgkXLpao+wA6U8eUCTqPwa1e9zkIcBxTlwEYEj
GS8k875DMm091agBUWVt3aOU3rrP2mDTIEp5Qx55nHAgDgK1QHQKPLte4k4LvG3GPTnbHDXZ7dgA
c4WhNKLRcyIc2aztUk75snKNjRqcLwyaWvsUdEyLTjPDOFNYHakJkRr+5PTtezNSY7yJUaq8UnXr
7qoCgmF0VnfxW+/aUsYrOshTLzXptH51tjsZHhHUSRaU1ersDlTBSTFs4sY3AFLO+0Nrc/9oArU1
Z8fSEJRcChlWGkB2Sp01o4q3IzBA80zXAX/OiUgRVAlXqcC2h2UAuol8SG+DFCuamry7OixgAobg
qJj/djUNiQtJBDuXy6jL+mTpibxdJUaXbuZ2FU2aszzm+7lthVh867K40BRl7qa3o+pxPtSDgbeb
589QYguSOnXI4mMeyfSE3c77ZfITgH3+bIuyGo55cyQ7jejCgING1SSqGX7xNNh8GkIIBnuopeSh
wRZkc3QH/v3lsgAoan2lAaE7hNGRRgXSTsT5w+SMzqNqAZMZ45u+NZxHsnBj2oM+or9ttWngZr1I
qt47kkeBjMSqaaGE1hiNix0VSiXbGhxSNFRASvaAYqxgQU2UxFqX//Ikj9f9bQyIS4MsfNBnDiql
pzo/dvoSK452P4ocmKEpP9IddZd2r0BOzBV4Gz/GRORO/eRZTRX4fP68pX6jGeo1pLTirZ1F6Yp0
w/e5rg6r8DlZscaU5x4A/LOTZekqMxk/Krf80YZpf7Jk/36JErs/kc31wa/n2NmROift0YOtAXG0
DxfqUaigA6UzeNVy4+6appoGTxzNsf7SflSW20gzkInSVHQxOlBUai9qkSsNnEQ3D5wzWr/muk7/
+1xk/3jidS7264k0MysKfkQtNl6feBnVKSpvCcHrfzRx3GFPSYfXyrUX24nPTepFQlxkrDnbjiHP
irXhHkvboWMJEDtkm299AFT2iWUdyEaXwq1Qz6wvKDMASemL6HCCAG9X641PBuD3fmK8VF1dfiu4
/+Ljg/ANVNDzDfCk881vXWaovGdIZRx0d6FH/pcp/t99IAGGKi/wd6+d3nFOtXLtBRE95CITmwY6
tTM7BPeg7FJVpnPp8Cs/M/8xnhh/+dug0GfNzA7x70EqqfhLxO34JAsUX/a5oW7p0sVeBq3M5dUy
IRB368Z6Q54KLfpqajbLorK2Vowzqiut8dPQrF8aYV2G85SDBa4OU+mghH6Cjund1qGwtmkIIliy
2chQLprOK0ANWlTrATX1+9Brs+fRmLZFzQBq1XaTp8HVLqPy3e6BsW1fA1/37JQ4Q37Yr/6/28sa
9WuUvZoTXzp7BcpLaDKPc7KsBm3tqQ+ax2v+LBtYvR0cXy2v+TOJFCaisLG/uSbFejv6kkW2OpJp
totlGaKijHJukxGmJ8Grx+uje7xwtnUtxuV1miYcPk9NHaOVzVPTRCaonG97ly0nCxWCrTshMJgB
knLJKtddGk2bow5AhZe5B2+ocY+6lqdc28ivYSEUFIEg2dIM81ia4GMWCXYfFDTpST8u2J7OM11N
1znrON1ivfGO1Akc2H3iZP1pQBn/SuUedtx6IzPvPLDwVaON1Kw2+eCZ3pXZCKou3aTtilNEyLXJ
MD2SzfVBcABQ+A11zm56Xhep8M3VVrCf12mN0f88LQ0KDASzEtmmOEdhG0TTDmC0pk66dB/Thi2O
CmOFXZXqDGdfddjZ0X7Gj4CDoCbtZ6jp+oNEIRJSE9cm9aKWDd+X9ORHOPUMqCDehmr6GnQ4EkWe
OZxAKI49HrU9baQ7usRhAYnYtNnS0BAs61g29BBqX2cISxD886G5/8M+z/zpIWMWxAvPL+QGIY5h
r7zogdmD+eZBiDUInfh73ifDslGJf4Hgb3cCjQfKCccy+GrVZ3JwoEq8LD1wyteqqs4FdERW1OFu
OTSmvkHZuV65tYzPgYjyi5iAPUBqK/7ussehsqavHEXpK+jYFnrbHG6RIkbsoYVwJ9bc8S037XYR
pzy6LQrXvlAHjgCordAdBkrs5o7KAP9yyFBHoeqDZwlQKzoaAqVaeU822TlA2Y3DeF8jMrjhkSFv
wkywG6sx71q9qU2QSqKW7AyxMcCYD0VgiDxGnscOiKrsqajlWuhCTag7OweQn8+d5E92uoxILR2c
2N39adfTgh3aOJRWt/vkr+30gHQyxBEFOXPnH8NRvYv8sSnnH+9ab0NugEQWx6nKttdpGTD158SX
y9po1dl1kdBRwOTfDCGWaxSaxfdtGgD2W0KxQTVBsbRsq3rx2gZlfLLJ3nwfKAApi+9BCvKkwu1/
9naxStPcg37oPZJBCU4pWbusAh7+ROoMMO4s/abif1CjVz/ZfT+uBV6Np9osyqOF7Opm8m1sKkE+
sIhyv/vOWbQ0piz/CQ7u594Z7ZfAUAjuI/J+cQ3T3Jc2Svc9nMnuksIflrIzrbfRHvbStbKfpjcd
+jGo3wDahEAX2A+9vl0IOUwPJiuSbWjX6aH22vTG9kW0soJBvgFJvx2rNPthjuK1z5LxeZBqxOnT
Kk6B1dsnfLPLtTd45YvXIxyoXXk37WPPF8e6iZ1lFSU9KLCd9hj71vTQtdYDeDqcN2g0Q80ptLsT
9MOqe9C0fSM7fhlEZYZangvQ1t01rQCQOvZXRoDiOhBgRhcjL+JzbQkc9jkfvjXO2k3i4jvANZDJ
0g6sdcctaijFOmFpcYvil+K2DFHghYBDhXi9k99a0F7zF1WOn3jKbsiEGi4DmWkZcLFQRrmLjC7Z
SA36wL/auGN+Fi8QNpYHrte9uSNEtcAUlrfUEm5YnnMmztdBWYlVfxQxSDw/JiqQMF7hy5RsDIKI
YEP9PjH5eMJqF7nffCeyt0nzcVZpPx67fFE4mvJtJn6br+RDl0/tSkXTsQXWtbf8AyRsFo4LFo8y
45cZszBBGgPBgWRDGIeoYO0ZBRrP1EkmV1hnxod3/xYId6TJIudoNL6zJDoKu2xey9i27hmCZqe/
2Ie6+GxPWPfqZO27fw0A0JLYK/C5eQ3ChN2rCNVUcySrCIf2nd8VSZCT54IblDAJVKqWg3+hazpw
T4T2Lf4w5dMASaZdhxLuTTdy63XCizfqPfENSxjoU9rUOI29M91ApdoHUQYKkvVI5HTLJ6VHtiUC
Q5FbzSPJwQlRBEYjORAVN30C0XHv10h6pukBokgjHeGbry3AR+SAnR5qL6J1HjX2PRDiyQb/jOAk
0xh8wxCv3vGWV8gLCA618N6EHjUHvSpn6XdIF23Gypsi1CSKNTi6rO+JjcpCIGaTZ2cy5Spgkt2U
MjK2wzR0B7fuxhPy7BAf98r6vsZrHuV5Q/EF24jHMAW4dyHup74BY1jlVVpVxP7SGmax/NvPNvX8
Xz9bVJmffrbYMCCyq2u/qHRLqDZftlx0h7k4SzeBmu8OVPbVMuMedSTtvpJpKheIrIJCjsJ1fuPV
ax6DMWA2ukjbrn0ljAXS2AVOrZ23URAzWwoV4q9OxraMsUZHzmnSKl5KX4re9DZtBLFzr1Jbrrzi
YAAScpZur850R5c+KcFQFrru6tpR1+G3uDXDRd54asOTiO99rxL3/qhL2kZQ/QJ5ckKJZ/VCHqPN
GfKb/AnVP3IJPfbooPAq4de0/qcY/3xLThOcKAXgJbGzkUrg2A82uhHBXcfzUYMSZutaw4pb3nYL
qwMycAAs6NF1AJG20+mV3EITNKdOVSECN+CsEcddd+m02xChlk8P/5ubwjd/WwCKCBkrr39q8nyL
Um7k9fDN2zBHTNtcN2VWLRPohrykRW0eUuZCdtyYzC+mo36MSeDfItGsbsCmjYp17c+twF22vYfM
lZ4274st+Y+J9z5tibjxbspR2Q5qbTDsbnxgxpbILsZ7OtpSszKTZD8ffHUvKjbiT03EMuN9UpvI
RNeoLvUJuBrFzrCwrMFZB0VgnhxCu2KRGNwNyjNu358IdZpj1CFOk02sO6HIBPQSOYiqTxDoDNkm
qlBUXnpKbqifLoYXf03cim1VwXrUsOASF9FwLtu6RCl/5oBBxnfVgoxx2b77cLfvl1XbIvurvamj
9yIF/ksoLaQVkrfQWu/PvQwBJoS+1LIrIdEoU6D5kbrHLXZe3QaMb93CR2hSLcjY6B6684GU2Ze1
d3O1VxYD9cfc2/OVVQFoqLAzcLCMH1v6ouErJM5dauM7R7fCf6h4lkDhDHFzuiBHlUmEdH+1O/AL
FeD1J8unkdSe0tiCZvmS5rqOgZAQQvH6wnKPr22VudkF9GDdxgQX+KWyQn42+ydLw73oQma6m4Tk
SzcZi3WMnYqHM0jon6YoX5JLSrYxKBro9wh7fZ2hic0nnE4EaPr8vlgYUCU7BPpCd1HqdAWYFFwY
cZ4L1mTtpsYGfFd7OZ4NpfN23JEPmWyn/DWapry2yYeaZZk79vLa41peubJcCEo2EgkjWcTvlwTR
yAb18mhnyq9BOBT9mG0Z9ZC703jlZsiNnxSB/BSkTOMYKj8C5Okd0OwnnB0/RzP/CG7SYN+JnozY
eAYKmp+ZAX5AycUIpfgxOddjVoB7qTfuUITGlnUnGGI8WbQAY2Txj4rSNUCKBbAfMYRrnFD86JP6
Wxm53WszIm9vuMK8x4bHB/dka+L/WKZ7LFoDWHAaVPN76drF4orvg1Pgb5HI8TTfGrw3Dv9D2Zct
yalr2/7Kjv18iStACHHinvOQfV+VmdW4/EKUXTZ9j+i+/g4mtZzlZq8Vx+Eg0FQDSWUKac45xtBL
rKnSqACSaKyhg2iRmdWDFq/DbrAODID2QIfxgsTLM8Q6y6sccucAsGA5J7umQL6YlX5xF7nmcO9Y
HdYvYwcfXAGIGGXWngNf/CAzyOm2LH30sqGcdWDkO9Chb7XkwMbDzUZF1apqbsXGKhuQEN6m1bES
XvboIAv2Ukl3zozSR17LohRp/Gh1dfYIzyvSG3N1oYZeFp+QJSXvqFSG5VuXFv00CPTqQKsa+/gd
jmNm44YWE1G7pWI8WMMCuUB8TcVa5ggPwsG9omIfuBV2Y6VcmONFwRUabBHdMOdUi0i8tisy0FtQ
rRRNcKxrrFCplnVGeQeXwZkqsXQNZrnVs02iaeYAtuWoBCCj3NVYHMCVlETuEd8t90hnWpt/Al92
uzH0zBpmRuE2cMD3YILXE2wMEygzj2d08KAKsHMDHG7FP7W7daMe1IS63Yr/+6Ful/xlqF/u4HaN
X9pRhV21atvoV9eHyLIGlZBsRqe3A4g/rEVm5t0MQgnx/lZhB6CkL7Lkry5UvlXLccRbkc5+vUBc
IyKp22A5/Pth/OLHjdFV6E4m4+2qZBRlwbOZ4Pp5UAH2buNN3LpQcWpCp9Qlz8NnKG8WW80Msvsa
0pAWQkGHdGTspEPeW8gC0dx83hvmu62lszBaaRA1OvbjLwC50apalSoCVuJHX+qRhciW62zjeLMP
DNjtIcZMRFe9VfSg12lFG51S6WNlrvxGLKM8cObTFX8MDC8VgNvg8G7p2rFKsUsu9HAxDUWdffUS
261/Nw0VKz1f+oFWTE0czTmZICFag2FC7YRiajed2XHzfvYHGzXpJLdj/LDRjw7pj7ObTYzD3Eal
iputAEvoPOT4xYPezbnkjQ1uKh9M6lR0rci5KAMS2m1k3PljiwLyahu/tpo5VRZcOpcM/pakaNlx
6tQqKAUCxAPPF1JEU1Wld9I0T6BJKd7ywTppguVvXNkn38ZJCot0w+pgBzG4mRzmbu2ye6SEdEpD
98ZcdHgCJvvNRC3InhTDHVDmM9ZjQxBb4T0I9Pg5DEL7hAlpSSU6aAPYnGOzfmt6L0Kkr0ZGXu4U
1VwKFywGduLty5iP+/lCvNQ/zqJQf7fRWRNz8eL7fTxjWWK/TLXemunONVIqOluWFZ3Bey0OVT3s
yQRxiOhcIxH/zsVcBtW8zptTs6Y5+yBjuqdWdKjLahOZWXukUheE0blMs+fMTsGkMY5Mpq4CZ4XQ
DG97szWZWc5lyKI1NaGKWCUAXWQA8ZCNxvQLyIl6NY8Wt6t6tjLXUQcG6tt4nhkbW1vvkK+lS9xw
mA1yz0V9pm70kZAXUUCpNP8wul6AhjecbuH2ESLsKFuwf51uptQt7zvH9g+3O1O2G8x00CQCk4oH
Rm0rUbozTRP2h09VGC7SSA3QVVETOjgDOEAqvdKnT0WD2o0D0b0kUfPbZVmdyo1WIG/99kmbstF2
TLafbg8ODlLw/qt4e7u7LrWcu8x7obGmv6HT5aPXtb+bikPOd2DYaEcwTbu1DYgkaFnSvYZV/WDE
SfQQQrJxZzOGDN3RDj07U8vq04B1OJI/ZbWqQWW0lUnOHxWI7qgRE4Y+rwUrj4FpaQvNypKZggDf
ten0p7bu02M7lkTuDCvkioA5uXD0aym68l6C9KqWkX4lU6OD2stLvGBPtq7x8k0SZGw+dbAM79rp
K1cpHUycSNHDuroJtzQ4OHGjHbwi+oyK1MHBl0UTencmUzPAlRh3TbmmwYE2SQ6hmX6jSrpdLdD3
COF6d9PVa7NFtlkgljSYtKP2xHh+ovZ0cMLwNYts/UClDsvDtWsbDehE8IEGrfPOyFRZUCWZMkhk
znjpdjsqRkNubuwAzjpqQrfQAhnHhisZNBsaL04xsA3dAGg92M5THbaS2FO1wTMLzOY8cFvd50P7
5raO8wnS7v0SioD9xutQ9JW2AOkWcjRDxznkZQIFPiCoP4GnkIMSN6n3eRMgdc04T+YGCnyqKMAX
Ah/N/H3HDQq1zZSnd8vNjxD62DdpPvuQqGeGFcTEdfOi4bZzz32m+LXH0i+qUtlDjiDbRlWQ+IGX
1nkYG1BoG2vAL7z6rMHJ+SW0kAAZtfx7ZMZ3ddwbLyqse+iBGulZmEGzloXR7dxCRPBTRAysgbx7
iHoo46YQ6Pw6dodGKf8eoLudwBmMr6i7cs0YX42YAZIw4sgDqYHZQo8APov97gkaFeByhv3WrB3R
57FjI4wIh9rUTAB7T82AjngfrR+b3UYLwq8uER1A8rgHzTfgHdos6d8S20d2qWM8Q3a4QFKinmyq
ro6eioYf7Fz3vwDPE89zpEeflG2wY6b3CK2ZffDlR882hhgF9cyEh7Rt02QLLQwRIPLS+InOUk9E
01n7B9uf2nlMZ5g38/hDnE0TZr8HM9jmQ1RvirFZ/VWzBrGl8NpUayNKtrS0AjCTHzE6akyjxEW1
IXsXxrN0QGD3lDd5vhagH3g2knzisxKx1JeRKcstspAgzhtnE58V1tKwhzUItA1HexrbS/jJgFJD
moLVZ+BRNvLWWI6583NfOODBLvzoP5TbeahmbqDcvRNBdgSpMlF2SgYLARe9XVAF4oTZKYCGoLkI
h26BHCp3f2vm9pa/6r3YnnccaM4WiRp7lTTNg98a6RIsZd1qKg4gYuOixC0ZdvOgWn0AgWt8oEo6
tDYIwwDqOlOJRusi/X00rrfvo3mm5q0aldbweEkjmhFnFuSHDq3UyxOVKhZXm9BJyjkV6QAnL4g5
verECwcJm2OLCgRicz5KiZDtD2NMLcYOP4/xp6uYBbRf8wbck37P86sW6XviZnChTrqJgLVaduOP
Ahp9weiLbu8KiHZfeTvsGcRfl5gc7b1fef68lgM/VFFmPjHQpU+0dSrNdmChzBcesuY+UTM3LvhB
Z95aGlkDUL34Qr+YqoJwRQGfxblmrN7XXiMXzIuCLyo5ZoXpfG4i0K4O9RDsWBKn17Ej1ZdRBg0d
A+lCZhCJbRRjHFEZ4s2Dw8f36/YLoqXtvOGOfx9JXYeY6wCWUTMbIKIcvbe1oMiiIMeYLnQETxsw
9IL7g7NFR2cmtqptqiTcBTibascz03+16g4q7hIwofEAUkzlrSsk9K6tmiMoqzAT1VhGgN/fHtYO
5plzYSO0PvKlTX8Mv+4XlYDTlf6Wsd+EZyjLjRpc95bDrM8xuHYhpth+NoaOzVUUttDS89pNLRpt
wxDpvGsBCZ8jLje8FF13IA5tJwV7Z5C1n1kRQw4S+AutDZOHFNB7QLdx5pU5ZEMxJT9ooXq33Wrp
LGWsWrZpCWYgjokSEI1kR7fsijg+iKJ8ne54/CgiB9kXtUh8tYFiQfjoJPkhyzTnIQTh0w4zyvgr
bPvPoz1meFsYvs93wgZVys/2AYGMWaZXxQbTX3fEgr87DpZooQ/Ns3Vk5MGsYF3Yz6jG9oNhVheW
v87aHrpmGnQQpDM6tcbizWZHcb9Bblt5bsZDBWJ9RC9goyJV3GxZZVerwjWaOWW5Ub4b9sBnmwt3
S/ltN7tmh8OaIXd4FhNN603ZyjHLM2Jr1TJVmD08TTfu0sjSlsF45on+/Yxsf6pFYinoc5AruQ7x
7dlJhA5W1WDnj2WZvpnwMr4FRbWCI679rCdutED+VH9SUsKzp2fVKo1tMTfSQZu5MtEPkhgRyFFM
ZQseOaxzvB2Z6GCPXmQ6Q5gCWq75ACFaJK+uQlsBrTwC7iiJi2wgAID+jSmOcORkJ2ecflNlvBhD
zTYhtzAl51oXbTnT8JYoImigN5XHIaajh28ufhXSENZr7vjhQres5ORETO79IauWnUoVsN7Ai0PN
841Xyfc+a+oH6Qf12nWzZOslFpTSxsGoxWBCcT2orFe49sOFaw/pwmay34BCkHLU6eCkabF0bctY
UrEFeO8i3htw01qLJEG6eF9fh9QFtD8Kki1iGgAYQuHhDGWQd1thHzU33Ka+WP5Js8I18aodK4cx
FG+nPlsgZbHVrvCu4Sm0gZcvCPsfIXS1QazXwCsMKk8gUizPPpwxk42KVIHs9npjzjUbBAgNb4xH
wMCbHTfykZtawn1YQhriVhQgUMRzNY+h6SFDWgpnHo0M45BqfRJV6V1tq44PTR+5c2L0Fn/ZVWbG
h8wc5ZnggV+CyzeGKGE+w89W/wK+DYWcfyO+t5XowfWCP0RsBc2VyRKEQ+NU2/vvbRsfjMamofyL
r4O8WrkIZGFvOHzmDMo8neqfIRfzbqdEDHBkTnZqP6Shu/S0ARiDuo42vA38FYIciOvJAfMiYuVg
twEoJIrjjR4l9Sdq4dcBX4cQ55thsZXMJ+r5WmPd+o9lIp5HvAwoGUs6G0OAGs4XFdTP6JGq8mOR
auHxb7f0/Iug/a32l763xs04VCE1tR68Ydf2CLpCCr3Yd/AArNJSN68pUsIgc5wOb5l7l3et+80c
iu+mJeWjinXsLL3OPSALvJz6qCTXlmkPpBL93ljPy3Wo+Rl8T+MaSI0LnnY8xM5gzhl7vWGmb7jq
HGQS26SAuA8H8roVSQWB4l69I7Fv7aDJgLV5kzxyVjF8T9sS3DSJuYotJBcHUZEfAYJPl0h7Kp5K
W/9K0EZNfMW0Fb3d+rBg8Beaa70ogT8modaQYVysbkWn6ooV5JH9VWx73sHqAb2yumfKfs+yBtJ0
vtufJJftwVDYyASFq79W0dTA7K6s02eIFhTIEMFPIsMKE25hnh9IhiYZi9ZYpFqzAbaTarFXNB6p
9k99I+EjcpGkIFDV0hOWCVhXQoDWKDq5LxTDUnO0t6UAYUBfvxRKZuZ3FdnyAj3aBRhuveTseyOA
QQUHMHVb/GsKDPECtBr8Tsuh+tdrdvToxVm5hJLUcATkK96JPBLrIc/MezPMrXljCf+lMdJLEmf8
O4D9yG901Jtf/NXd9hXSN5rIAJE/3hXgR3DginGSg1U3LrIHuif6+ZPd4KlY23k5qQ85vZHcA9u9
T1MII90EiZLcr9eW8kGGO0CQ6Fah5xyCH9o9GGzARJUjax/OlVlhBe2einWfvRcJeoi3w8fa/uci
1YYM8LD/2DcbkKNTpMkC1LYHq7LTrTMusJCNCEU2WST+kcp0GJu42ZBuw8gODjoWn8RnEKr2m2tl
/r1oO35hQ3QiMgQzbc010kbDFbXqk+EbUHrePda2UysyG72JVl2MVuPK9cdY4K+YWqVVLlZKVuYS
HkokCHclew5McMPhd+2eU78CHzcm/yMwMohBuY0Pp0trHgekikMcsTIvdVbV80xPu0+hY742jh19
M4oa3cc4lBUX2Cqx6E04EFrtPItBkM3Db9qrwI3S9giTNHpwdHXtNdZcPi0om0hPDlnov9IyjTYI
EijXmTSbaEeLNYfjOwgwfL4kNi/i9VKdGx+1Eq+KkfmL7HWnAO0Y7byV81tTskOmM8aLwSlmIOwd
1gDNJM825MVTXfpfEhcwaBtcbKcw9tuTBIAaqQa1/yWENIDFwL1h2IG7/rlnpAfDfZqYzylWNkdQ
MKVHrHrTI3Yg4cbqtCdpBsHeDIOVZyTFNY7D5l5ENhJaWiiDdvC5zEuXsQ3Vao1VHzxPfp5qWS/e
KoA/9lgcYdciuAbJS3jIqC0dQFy3stpUu6NSUDhi8e9//d//+X9fu//yvmX3SCP1svRfqUrusyCt
q//+t2D//lc+mbdv//1v7khTWhYHh4XlgH1ECIn6r68XBMHRWv8/fg2+MagRGVdeZdW1NhYQIEje
wtT1gE3zCrhuHb4xnZFVAUj6Sx31gOEqZb8hdI7wefq10RbTPtZr/WgPxMo6ohVWa1nNBqlmVnwS
g5+sJfHKQS6Vz/y+CNaTymAU1D+VgSM++UiEuS0zwsgKF4jGJBAIATMRHbzI/WijxkUSLxi+4zvI
EyN7djxYadIdzfHQhXW5yjDpgZHpr9q4VJ9App9srIZhxW4lokQ+kmymJtSXGtMAUFNgs79/9Nz4
/dELwQW+WZaFGLTgPz960ONlWlvZ4lq3Qb9BENhD1pQ+LBOuFS9lhKDJuJxoB+CgC8nLe2ohgHkC
VJshTezPrcrU1XaJLz+M07KRZsPsFMSKtZ1lVf5LHJTGIjSj9mhDEnNf5ODJ6BGbehpA+ozHK97G
puCfRo732JS5UBrx4v5APzO97O+UH5o7zg3MuYA02P/wvXTMXx8OZ/D64ulwpIYIS1g/P5xWRoVE
6nx6nRbpIreAy8/4EyIU2RmKss0ZUP1Hmg6DKtVWNOVRcWyFdK303OfQKjZ85xU+YLUUVpKCNQ0T
k59WEGuwrPqTocqjPa4R8VK8pCHLni0th2RQ3qJpn/F9Zd/7WlbeI9F+hYC9dc1GNv0C3LagO4jc
PdlAGRat6xz8j1RLHcqgW1kjLz+8ZlCtLQMO3J6ZzOGcCreDnYK1300BeexccGaYbVTOKxcoQr++
Qrveuv7Sluv3lTC2EsodvyztSWHOUJazGytJfm5oPKCTWjg9sPxlB50H38rWSR7q8QBPYV5aIQjA
UEgC0cwaQA93iZOnD4bSy5WmD9mSaql328ZT7wzkvXeTv5HnBlsavI4+kMs3tT3Oynq9oorCYP4/
fCO489M3wmJM6vhvQTHbBgzZNsef04eZCjOL0YNKxrtaeEVBPo51p1YHvTLhDIPiSXcq45UWYVxr
uoNnud1J8x0s0bQSUpBhdCRV2UkllsRjJ3lYOi2dPM9n9aj2FiAJENo7RQhxmajYUyeqoOJ/tE2D
eSxy11UlkWXTmzLe2O2g7xmX+p7OeBeZxSwNemRbIVDENlyG21v1b20mAy/V+h/mnp+n/fFhggBK
cCakY4CIzhE/P8zIL5keJ8y92F3VIxSbODMd+IV7I9AcJH0n+rKJnfQlY9aS1rrUoix9oPRa3oLh
FsSzCCPmEtjjJt9UiDOM82w5zq4fDgAZHRsF8TY0IDM0PuB00n2407whnZeRDnpXgyVn3YmCGTlb
qIIl2nsFojMBvASgdde4SudhnoPLxnXis0Cey98/Fcf+7StmcptZtm6Acpdx85enghUV99I6FhcG
udyjOQpmgNokQgrbqHJLnKieCMNFl58DMcSLD9TLGQQNiC6ZbODPAzBWgkqeqJVdu0ceXCfqRVWG
Gri4k2pOqYCZBXoOSCF7e2vMGAy9ta1y+/nWqhLITrMZpBvb0TWUuyFIMQLN21BRjbZWAqHk9+Zv
NmqXj66mqfHYjmx9JbHU5tpLOdJ7z2xv4FdMw9AVMbwQTF2i2FJNUEBjyy0hw0W1H1o7vKogkMud
g6+M8SvQf8bXKV+FRjVsUguJKqOdZZ3AHAGnIlhTsOMHYb9EMr4lZ03ldFdjBJDkACIjdIud0lga
69oeCkpxDbccJMJ8LwW9c6u7W4h75ydVB6CZH2p3LxP7U5yq+kKmDK+uRYwYxoqKVKHHgFAx/fXv
vyOG9dtPx4HehqNDXMCxOHbhY/2Heah3GF53vVlcfF8fvc7pc1iVwZe0RdKh2wl2j8hPgPQ8JACD
X8//koMRA/F99yVHWGkF3VSwZNgiePi5p1M2DBuY/uAkWgCMK7hYRBuW8EmBrpaKMhiWfq6Ga+Pb
YBXx0lUwKuLlmZYdQROLVNOxiB1GvZH2yHIzFpMS5KOFtLoNFQE0eh+SipBCXgZINVtKE99yQgQF
rlEtg0HUH6DXQItjZVSWE3AIjqphG3NA3SbotZWASAJKYPoEvYbaXHbnmtYH6HXuddVStYmaLkHX
6QHMQd63EdkvhmGrszAc7y5qgH/tAOJ5MZUBpXDGkgMyFOwH3Su2rp/rL2AVqVeYU901NQtD8J/n
iHW1tUS+U4MdBNkFr19vw5reAA/w2J2GzVXmwRWfHyrFB+SNQrqxLxr/AZzrHPk58NaVdrXtK0QE
ACuw52C/CN6wfEpnyVC4j1EzGAtX6+K7FLmhG5U1xpZGsmpEAG8jtSzxLk7eAZwMnazG7eYGROPg
nAY2WY4Hsltl3S8ry1RzXQzvNqqgdh16mYyZ0xgyWEPEqrqTHjwoKVfJZxDA70gZsg7rvdUNzguS
GMU8tHsf+AnIp9p1qW+6AA573TBN3IFMPsug2lVu+ggwQ3THMB2ee2yMoHkBgWsrax4Q5/IgZ+dl
D1kyVJAJyJs1FUURq23VIHGcihBhNu+riq1CZWZneNj1RcZi+2IUWXzHCnut9519IVMXuPXCNdxh
ZY42gxcVlDum5m4bpycjT7fkrIVoENgNY7Elh5FPEbLRVnc2cqMbBkA4FksS1G0vWqqfg9KCUy+r
tqZbFt8bI3o1w0EC81q5c2zT+X2hm9Wax5WGfKABdA1Aca7yQGWXP40TR9suyYs1HBbNsmggiZcG
+SUf0ShIg4RK8ghESbUMoo1VnOInBRsdLAgHUFsxYJaSQYGYfNd/klm2GPqsfwwjADRkIXTEWrBj
x+qWA6CR4UU6khtacb4AsKjbtWVdIgLXNm10rMKsmFc6c87gJ/XXpswDKM5k/SEy4J1HSqJ9FQYC
BSLz5RdgqpZx4vHvnnL2TY2IDHVHOoBz5p4frJHQNKz+fiY0f31bYtXAmcnwYhC6rmNO+XkihBuq
qI1OayAYr8PF2roILxFkAHRT946v9A2owuARIVsD7Si/bh6GWhQQvAFLvrBz/Rw2KdYDbZF8zfCt
RHIZf761QA6/h0C1G2zskWKFeFYUSFax/2mcJZGqqFHAls4g4Qhh3LlXVcm0jjCRfTxXvI9Oyq+N
e6pgiIDc//1j0H9dl46PwWJYN4z/hKAd9of3gd11yPOWTJ3ec9ptZ0SS4ifPoHwMEi+4AUxjAF/m
7Ucfe+aCd2bx62RAPfIYSf706/dz8NkhUhbO//6Wuf7LOsfWpS4l/nISkwf/becJpKkOocEgPE0L
+sG1SzChe8Fn+ITj0SkPtp1oXTguW/9lpnd8qSOV6nezB97GycxMFXyG1MatdRXW9sIKihQcTUty
cya2EzwaFrhcsnjZ+xWIgxHyWKSR7l80r3g/gxACX7QKMI/U0/miH89u7VJI5P3Ddpz2DzdPiIV3
OrbBHBsLUzicofzz17nthy4oByva9C6gXtbchChLM0Bq28ZCEw4k+9IOLQR1R8BJq6J7JL2VT7cW
rsYHxIeMbtZ6LlQbDUAZgq6DlJMPgukY7xygQDP/arGk2LVjLRXp4CEQ3IvOO/icQavqR/+0tSLg
hHX9C2v3f/8dMEbvws8fFz9eaYMlhBu2DUzWzx8XUIukRyTL20wYLjOfTx4Z+Pado+GlCFyCQ6Uc
D9HgVeABh73pU2DaQFA9iwRYHD3VgJiP2XBbe4a57sHl7GO/AOjuh/KtnjBhsvyHbzP+SOboDfjw
YSxm4JM4jmnAw8Ol/NWLxaDqm9mBX61jFfGdglz4HJlCyGBrLe9TkDigwEPiubRLICV5F8zIjgwg
ewUuRgSgg9T/5LAshtiRJU46Yg6PCeKi1CzNrHTv+XC7UDGzQEtdhS0DqWOA1XJX5ztEzL4g2Sr8
nuQnLBrxRko9ExEpV76MVMNzeAbVhbtxvUpYURzquLF3CCK367rkwz2w2d4CU7nxPI7T1G7wfRje
xzE0MD0KBBPz/KR7Pl4gYJBsTki0P0ovynYGft366B5SYKDy1HHQHkvwbpyoFZmp2Kti2AD9/Ep2
MlElHfqmcBc6lv3z6QpkrMYhK71rZipNvTXZPlxM2vVa9WG1/2BLmjQ51KxYWG0BvUnqQpeyAP5a
G3GZfLRRG80qs1EDrYHD4ve7hhQ19oSSOWustIqtx8CCGAM5BhVHHfhMGacLoP0M6xDmBtz1ke6C
Jk9pzZ7Kmcy8ee3pAVa3/TJ2KwFVtSHq5yBQxhtF1MnVVr59HLh7J7iP0mhSsavPqppZ0AqxEsRv
PL7XePL91qK12HeQYNuY2nmE9SJ6IhBnb2sbMss0hjMOBOJ0kBYo60gteFxEG/jG4YAeK8lmRnwJ
15V/P10pcfpV0vfDYhojwIo3HMI7u1wHVQSmuLGfUcl0qTu6vZxGyNzibELf8jaorQ/BAkDPfE2j
8iF3T0Hs7aTFrGwOOCAUKXK338Rsuk7tufwA6ZZnak7jdAjrz2oQae6o6PqSj6gd5HWOt0CHwgOf
RiyMA/XypKdtyhx/E7orspkG4AiIdZ+ofcADkHO4ur+gZ9N37mczq4KDBDcc5phmZficX0D0yC/m
ACos6Ek4y1pYfjrvtGgGxZbkTE2QY2ACwgY10sAwsqUR8nrtNGATruLXuI3jVTfwYMs1I3+KBxcL
EDt+RQZktRB1ZuyhOtpdtKb5ohdu9Iq8KCwl0lo/Sc+J7rA6FTOqSEX3vSls7Ry4WXQYqjpe0AXg
Gd/LMZ0xa/oTqPpAY9/hT0EXid2HLHdMsK928TrOW2ddcS3/BOntec9Kd2XEFaClDsI4Wr1vwwKx
BwVn4ByzS7jVI5sBY41HBs8jm+VdwIq5i0nM1b30TLW6CJqFwM5/TUVfc5DPBOHVaagS3+ECPpqT
dBS7QhAjWLkGHHlULNKS3QHSuJna1h3w2ZAKyFZuZX6l0ezc1tYQ2bXm2IXrV0Pr+CUx91Q3WVIg
IRJkvE23KrU63WHPAqmV8c7NGPsrkIgANlThpQl/7Ps9jz7REMG6Nd2Hyhg/mDx9v+dWyDukE6fT
PY9fhxW4DbIlXTW2kME+2DYi6eMFxgPdN/zN7XRff3fP1KmrtN/u2YtKEPYj7nZXp92q1SJrrUpn
myM2BwyaypHYoTVYWtBpH6sSaauIieSBbW0cqpFaBrRiGkPWbWpZA9QRWtKDatuYFzKO0SKjeuUG
8jkyfQhJk42BXtQ/0OlkzRuDzZBq56ZatPADvADM6BpWBfAcJVjesASJr8BdxtcigSJl65ypAZIG
zCUDlGpJxZxFxgWdqSF1gQKYXLR+m67IVkkEi1UwhxRqv82aeP7eDeNWfo28HFWAd9to4ivzrPqu
18X61iIpeoWPqbINjaWG2jniiaTNvMjzPbWjrqXXQY6NddWWbGnH2kPPw5ehGNRWmkW8gGc3XPO6
s3YsSpOj15VYqXcLN823Msogb8XSZBb7ef/NH1Zxalff+3j4ih208SQzBBfC0k2REw7iu6Hi2Fga
tXfuXPDIpI2RfDZ0iVgxOiFhFjud2ngNLRNE/PWQXOjKXZ9ZuzDsxBbUgOtcCtALGYO9r0P/m9ka
BcKkGsgthbSOAd4aK557OtB0kMzuo8KZMxc5D1q1LDiIOWJkWbxKj51AoT2GP+G1kR0ecohEAT8w
sjdNeV8LKLt+Eh2L5rzt3WsFfsoFZBgYYB/D+7WB4s93v1w3UJ48Aw8B2Jzvt0/IEgbAWUdGwU/X
g0Q38HxZla+cPgeDOdjPVyU4QBZuDAmdtNGx4O4b/RXAvJnbGNWLUwFq74M1bsPgy3hyuNgVyThq
6ehzOUDoyOwa/S4NIsRyqCd8ka5f9FfX0fOdDTHpJXVI0vVghPIzoCUxBHLaaos0ffkwOOKe6gcR
wqerF+3Jz+GeB7oReufjlRLHA9EXtx/ws6u3HfOjVWGU7me3XE0dTdksDTVkO53BwwWRv0/TjSBr
dqaleHARNgRHA/GbeTYOiMSlXRao9GmQfr8xAAVfJbVSL1Hez6iBZgKfB+2+ZA/ypeLiSIhP0aUq
C+DtCquGew85EAcBBswFVWhWtXIwaz4rafK1BFXp2o867Tnj+MuP1wTFXbEYfBkjhIuMH2gkF9Pj
yiCsPkO+i3cRGhRq3FFEmHqUITJ+4Eh6qQfhrbshLzdQIemfhgw6K+ODjhLwKoAAMzmKQXOQghca
swGvpEcEqx6LHgoeAfIJNpkXQTZsCnwj+m2BOwH+LIHQ5UgEQxW6Z1+1DuKc49u01ELrko8HGWNt
V5ihtqTXZ+A0qJBffdFV0ws1T4JhnYH3Z06dqFWD7N0ey8kjlUSnHKhutHgNZ5mxxjJX3wFBNbOR
FfMYc007R16+193Ge+7sDA8HYM/JF1mWOtKcWNItqVYkXrzQELrbkvMRmaTf41yyE5XGEQ1kUTym
44igpwOxOvyXVoHr/gUWj33oTQIUckDuqTwoq8HqtCk6Y9Pa6s4YK4B1A4jsQ7XW5RtM+mI75CE0
7JCXJQ+uZfx12vsCKjtD9+bpn1vugexbNQmcYI4ZzX3br+cS78h1YTIezSHHuDYaaZ4q4E0uQ8n8
o5mwu/fGqYaAX6eSxVQ24C8EQrOooXQzDlal0CFl4TkOnPiC0Dgc/r7zTYkYdYaSydKoK3zN6EIV
z76qvNaXyERnS+Q7m2DiEuFz7GlimWhOBmEbFIsWlOyuH+UHKnamsUEOGlZRmWtd0yFfZn0aPXt+
iUjGKOqFhXT0DLUEuS6Z+14bxl20AGNTv6XahtmvPPPLO+qqecvBZEAsxEV+D+fLI10nSXmxo5tK
xvEBGf/zTVFtAu8j3ZT2/yk7rx25kSxMPxEBenPL9D7Lqko3RKtbzaD39un3Y6SmS+gdDHZvCIZj
WjIizvkNCp8sFpJqF0yzepYozwfecynmJMD9gJ3MQyxAdnnICPyGDA2VgAD70smRYgJfF3p0kteM
lk5Wls3rqg03bOlXwJLiF3Ag85sB2j1pYQfLkjoULNFQY5clVzMOxqwmj1JaTmcjLIa7bAta74Ze
l3uTJT1UXyqkJR8lUJXfutHRrrItD7MfmrCih2q4isM8uRFzuDxeQq1Tn3sjOEttcARWaz/3JgAh
y5sLugLNAi11T7I1Z573tcwkTyNb8X/nnkpB2nah+mY7XrrK1Etr18mB1FjxOttOvEsUVVvLYpiq
7cWtgw9HtSP+xfiUhhNqY7JRbXmpwmi8Y94oxeuY9MU2jwnRy9YhMLJzM/FEe4xt0Ulx01fZNcuR
KidQz8J9eVHRDf0Gx4eU7DsX8lBgOIL+T+uhuaYG1gJpkmlr8uvN1arw+QWUw2kswFhMODZsH5WV
8GiqGu0eZ715IPQwYQm3XEMFCJIZ2Uc9iMM4g1FHHDF/0bwhu1aRuKqKphSARWc2bJqBndDSakVN
ewomEGdBVhUvsg6jq+9WpgPEWqoib8A0ftkITfICkwZrQS8anr6MHzWgU4HA3FEW5Qi93IqkV59l
jSZY601Wmmxlm5iS4U4Y5NFd9hhGDK+7kkiSLLqEPRHu759nZ/yOVE57ltWtAqyRP2h/lMWwqUyY
RtAFZFEehlp/Ndo0vchX8mboFRGzF5Ql3qg8qNYa7401f5T0PpijujHUrt/wpKm2eVs4azmwLzTl
efj5+LRN5c3rCbI5sDyuMseGfkvSeKeLKX+R3a2cxKyuzvqvt++GJnsg65uX4De1gi8KHz9c4eyE
srdjGPfEWZDZinv8qpJnyehsQfKNF1l6VGG4QdpwHHcQan8NR+ffADo+9SuUDg6iHJ1NasJzmEDB
3vvYzR6HoHEXw4Xg6HUFMjNZg9zdOOa/+hleN2w7B2M/T5TRekhC7UI+u72ABMzWyZiKP4ODDDN/
tatm/z/b5Xim5ozNX1psyXI564oU0alr4eZLd/SvohTR+SpCHUJ+ZukMTZHOLL/fvlrl2AZY5rr2
1PHgksG6NYb2t0wJ265Aoq2u7Z1MCbNqu0wYETy3rEJlryB23qYBveIwG7ztw0NJ1976LmqfPNOr
nlIjfZdImDIO3a1Tlt62Y+okJetPNrRKSMbF7ktnK1Xq7CzYtiRJJEpQQP/pIjW2klFUa6Rwxs00
FMnkO15+R/cwPkiA1KNOwqTssW3WD3M3PL8BiJQjCui26vKlIaQsZhPIbg5xBt0/4022YjGGwTG+
DmkyhNsxJE5XKgNqmppeqBeReBuN7NjdWA4T6hf3MCt/THqdHGVJ1rud/muorJMH1VbG9cSm7WYZ
aB1HiFOfJqfpX62kazZtJZrtsBRNRXMOdhxGK9lamLF3q2rzKBtlVdn3a89QtSdZwi8Hed4pK054
sP9+NVXbRmFtP+GU3T4ryaXT8+FJW+zPh4wUuhe0qi/bZJ0dKthYRQMBoaW/rPOSS1t3+rmPs+vX
QHsaVV8W/zXQyC3S4gyCDzYQpph/vZIcEGd5sC90102vOesERBc0Qlihs1eUXD/lwWD/X2es8Lea
E4D+aokeEUkjSrGwEIAHDFVvnWWpGxXrhDHGH7IkD0D+p1WM0/nOyAaEuns3fO6Jpy6D5WWCqFWW
uzta902C6vZyxVZY1nkYFPFsC0BSaY4H5Pyuy48UI2u9NoXtIoHK1ycPcV2fUsNQLrI0DfBox0F7
l6XaGfpzXbjzLiVzdo5CgaPkckj+ObMir9u1SfUpe6Ra9auHLE5purLMMsaW0GyRoIUENGNZ63uo
ZV+HKvVu6tKQLQ2FCZgVQVho+sXg3SAb/xoB2/XvudSh61jpoV8gCoY2m08m6pez3jxnC0zB4dG+
b0rCKLKDrBsWMSAFLOxjUFMo5pPjbXPnYlvjyk70CLB0bl7lYfBGbNjw0N32GCqxoadBuAvQeVpa
TPiLo0FITfaTrYALX3tc2fZSWSv3bCxRbPckhbU8DY19XzbI8tKqBOGfYD7h3wu8hHJv0F++zkJl
EutyqVNCWs3E+731q99YWGfMbn6IYag+Cc6SDuHnv5J31Z8rspGyvsaDnrBZU+7VMao+BdukbCzt
975jwYMEJ1vupf5reI5LzakGmn1vdRRrZnycvrGRQAB9OauXOnkm62Sr7Df0tfh3q+sNv8YWdVCv
vEHoO2U2IMm1ApEklPiPAFA2suqrXp4VdhteOtdsdp6VzK9mGlwUTDr+Wk6ATA7yBFP4R41T4+T7
sCIP+CW6uBNHpdbuacAeIpK/nDxtvBmzHncaCJDwm9rLQTYYsy6O3n9GuHzS64MK5GDcAsbDmNd6
Mba7wa20V35KZTekYb6WxbQBaWwRtvFlsRkTtmmsFMI60ruVoejbYYhjsEMM9UA4+hV33klpDe1V
XriOKwKrS1HYXNjLibUHRHjRCZ7cOwJjm1Lo49VbyEHJiEWoaoXrHtYTqeygNY1vKIYhaZhk5Urz
UvObYudEa5W8gudWGd/qsvmcLCO9h8Q/X//LIEWb1HVe6PYlx1ZbUeKEtdI6DEFdcsesI3kyzGtm
LHtvG7a1zRQ9301gvImPM/nKotGY7KyWyVcWW/xUV3MmqqdpSs2jnnrKChmo6UNFNGnVd1Z2JuTS
fwOTlpt4JsheojQV6Gbe+OG5iPYi+JSdjV6RveTg/9bLUOCC5JotiIYk/TdTucgrlG3362Vl8V8v
S68mHYptpQzamvxhdv06xAZ6cKV6+arJNOZxH0zWqq6t8iwbcBfJr5Dfu7OKsO9HnnEvM8+84RJm
77OpsrYJmc+Pvm7W6YJZih1MDMKydc8xSrC3scfy/AFmYmRQx8lbWrW/RmpB9hgpO6T/jKz0zHiM
lGgnLCafpqLdR3hV/NHkuxHBqr9rnCj9quztNwuVjk3RD9GlrpTkVCujvvUsu3gh0kJuy+nNP7u5
8+WopJg+OzFH31qC8WtQZeIqTFKrmkX8DhJs8hw3gViFWVr9iAYXlQcyZ0nAjKqUzccceRWaLY24
IRfZH9y6+GTRn62r0SQWhfESek+T+50FJ5jaLvp7MTpJYL195pnmrILCiu5aG+h7103sfWFoJInA
32PTO4yfpl1gY8PcqinBZ8eE0GmWdw0qrXjtoRCsSjxC9ppXFK8qqSront68Kk1Rvg7ToN5a3BK5
74pX2cMa3X04T+ldVtm116xi1xUH2X8Oe2tXZVq6lq0E8dsr8mhP8qVklSvGNVY73ZMstcLw4Bvh
YyKvHUW1srXxVEYaljdjh0YBCLb8LvuORVZfs8iC8R0pBmY6UfZK6Orap3nx3YjASJtI+hxr1wVb
O0PqaLTi+xRMqHl2Jn8KvDw+SvWH7K5oYJNGl4W9LKLL4BTt8FkYXbXHWa/Zymp8TNetGWdwKTL9
UOii2siL9op1LLgZX+28hZJnmAcwZMlzUpj49piAuxunx5+q6AOmwoq5mmjyc9mCMhJTD8krH5KV
HdbdHhUvhQTpUv5/HPy41PJq//UCWogLaNwWqK8sig0tzH70LN5iDTGyTistX9bn2jivy3AwHt3q
fPytW+umv3ezWSwdVNbJlymSluAkEf+KktbzG0fDL6GdzW8qzrs5etDvquqJm21Xwp+Xhyjrg37n
wc3YyKJdWeThCRScZTEw3vrQbt+FUZvXMQsT0phcrLctyMQdEodx79vk/P+Ezb5W9ZzgBMCmU6x5
3nfTwE0O60T1GbGWfjsmrXIKvKo7Qe52t0ZUKk/xhOCbgOP93eq7qy7HzwkyUENU/1XmWFSMTjug
0Ir3cBl4+dUpp+6AjPW0j4OmvWWTgqowViTvJIh+ZnEv/g7VvaUbvI9K09/c1B1xo+HeUxaSWRxX
2g5mQHdsxYxba59bmwjtz1d1eVCwex9/KHaDljUxMfwi+31iqMF+Uupw3Ta68ZZHrbsvK4IQsjgB
KdsnShI/ipicGnvda5JHcQi5SzOsz9ZqEZtvqTqSLTfynPmVYmvFI0W7eHR2SFfvK4wUH612HbZ7
h4jQY6woHNZ5qcBqcBlb2mRPmknD/nF5V9B7MmzjlP7RmlkQSTtXRYVyafW8MtqHmjI9WlMvUHZh
r6mP1jmNgx0pdsgYy5Vrh0QIluDGo9XScHq2dATH5aVEpBo7tUVHVRaZ27Td3DXIFixj83GYd7oV
YJqyvK7W6+MO+zaoWlNzaNyy3QdT/ob30Dj6sCybizzw8/46i42b08zj+d89ZDcB5dUnkZfuZLEp
MRnOhYVp0mIfmZm6e/HmFpxRGdyYfA0HcRQ72lYh4qeyUvaTh7CIfzgRyFJZko22gv5klw3beBn/
1TVOiUWlMbmwrzp51urqq55jafp17QZn1pMrrGMTBcx4slsQw7mt0MpZywtrGQ8fP4I9nsGyPn29
WFBgP1IpxT1hQ/7b60PhaBA5yuON7Pv1Yo6eHCy3Kc9f9V2oZEe0q9/lK39dO8p1d0VgTHtcw3kJ
HA2q6GK3Ig9KhNOK8HDJnhZW2X+q01RYrS/LOlYZ/5xapNLQb0FywFCytQrA4vw4lV3bMlV80eLH
J1v+x+XaNNrpQUhqYXnJabmOHXbsimTZnBQXiRFP32ixy9oMHVxv0LxDFfIvl0XbShz2TaK4qJYX
vtd4uMl6bXSNQ1WrLGMBX31oDVQwuwHuDMrZfMuIBsj6JPPGwyxGyIHy4tjykCMBV0gMhAWtRipA
Hso29s71cpDFtrWqrRpAFJd1Q1WRpCbHX/qqrppEpmLnEjutc0nSZt15xnxiEjaJjS0NduD0GwJf
zCtJzjpbdpQtWoRt49JbLGO/6uWZF2i/hsniY2wdWkezQHP1R5U2u2nSlTOQhtQ1s4s8TGaEYNVy
kGeyLiJhtAYHXa/+1YDUOATEZazsHCv9blLL4vivetlDDiVNHmxrlsuPV/xvLybHarX3gwDiEpkj
9JsOwbRVF3vEaTmA6/p1KKWBYgqt5GCH6qaWxa8+gxGqK9VThp3eOLFvaVaEoXQdHpwyS3eDCNP3
KEieJKVkboKYv0X7ew8PMPr/7hEoVbue5hZ5WA8FUa9rCV61YX7WVWdjGnjtflU5aYw4wlf5a0St
J93eKKoL9JjsLOsfnZ1JddZ9hqOd1XXtHa15mC0mjh0jsROPdF/t7LGlKvxqstr7o7LMmx2AvkXI
lbpiOTR1Gm3YY6treZlHg+bgH5Ogpj2ri43T4u00KpO6StOgW33Vxa5wnEe5kN5NX02ahpyqL0fK
yt/aZblp0ML41+X+a8dxeQeyRR7kFW3N/VX3VeSuY2KXfdy8whFmm0BAW3tkXEa/DKfyMuLGSGan
qNRTBTdFNQRF2dIFjd6tw7aGW8mvvJWVdm0vpiCTEa+TGu1TY2ieq0jlWaJHzsH1EsIlQ5086e6H
bJM1IE7jvUPkcfVVZ1v4eEQ5bDotsepnAVbguXiW3eUhNTyW7arrPF5D1plCjRENEc1eL9xhr2Uq
GJgsSy8E49JLQ+xjL1CBqIJCG/jvuhxli+wDlrMFj92j47z0lg1wJ7Vt0RtIhmWpfiyspG9egwzD
X6vCCs9zw5fMisZPLQOzXltZSx66wpQuDQFI5M10nCpI9SwcwztCmhg0KjAwE7bO/pCZ018Q7VeQ
UIbQT7sBrJHhgVkyERRIo+5VCUji9UaNdIeD9LaaJvFBWdZdcJeKjTFO42vZACaPbJT1NTc5PK6E
0SnBlQDBx47bL83yazBniKi25cmwdPK4zpSWZIf+U5Zn8tBETbE3GwOxpzC82P8cCK3BfR95rGWR
q+9Ut/mUjV/1/+o7j5VYsG3/9RpfQ0Xi9kc8+Tby2l/18uyrbi7d6Bwhm728g3+90ledfDPJjPSy
iwvhP13d3Ix2lZ0jtBVazQVhWIzqndDYjm7WbOp4Br+fPXkORE6laN3XMtfvJfZLN5VE6mvTabM/
O2166ofMe52DrlkTd3H4Dmg1m8HeGiz/N/pS9BYv3VkBgiOvFPe1hm+M+EM2WkgFPQfcLqy5z3Vi
ldiwhdzqeK9zDBY5WzJQYBlkWZ4ikz4cQbQuvI/Re8sCfL7TcbjKElTOlyxXh9ujJEwCW+54f5Rs
Z5/NhfokS15ChMRGNyA3nG/gz6END+18kwcdIOwmDwwViAJ1eWX+aqhBVGK54rqbVrU6G4b/0oKo
ih/yhNp/XaFCJ+AWh2KXpxFm9P9cGXK8t8kN0JceJpzQnTJzg/aYfW8B3dzNwon3k+nALOtLoCXL
wSAqcsmwntcDdiOsSqnrjHBn1PPI8pSS7BtHpu7XdgRdHXufe4dpUqyMZzWahnVGZOsHKjyVZv+o
Udpbq0mmnw2ldK5TT1pNNlSwzfHtVD/7wYLDObc/IWS5u6lpi2OGWQMigF+nMfDsI2ndZl7FoV4c
W83Gu2tUggOWDsScIVTaVl2+ih4YODN8fSC4V75mLHB2NVbYa9maQS681EP2TjA6bVfdMPtuFzXP
5ZJURWVm9i0HF8c+9DAFgCGFrUiXq8dGC+bHIcmH34s/lNnOEPpVwhNRIXgpy1kwF+K3omz4V126
9CvdHAtaOUSb2w3PFmtfAwcahSDjMWVi4wi1hhUbxU+aVcOEqZrqR9Pbr96oGq9JN5r7xDGDbVr2
wTcFGsEIlOZHNSM5mvdTe43VzLiMZDtXVT3mtzESarMLQ5hoOSgv9DCG4KA1CV6RjR7c9eXArqm6
DguRLSbcvwEDyyK9GXCNoVF2Y4r+Sfg6PspryIOwI0Dg4RZaKrg0Yc54myNlaBrTd6MsUdokkY4r
VBfvoh5EeNBb4hqj43AtKoHmaxPYRCIofjWIpZiZLdAnAxOmrwbFtqqLAnDTqXKUc/PG+TDCAK1l
UTsnG2Lxt6H7YS/VAR5Qh24JDpIlqHwQzOFeg+uKAtag4I5qK2fIw+ZmCDMSP0uDrJOtlsY2F7F2
+gCHrVZoEPpKNjs3rwUh7jpm9EOd0uemqpTXEmjXvplNfZtWufKRW8pKdphw2F53VWKe5cggB6oj
rVewGXnONJX87i8riNZKme0S4xbbln4jIjlsw0zBQeSfOnlWx6JaLeGM7eRNPRxCdkb9NLr8MRkr
D1ad6leveJUFo+AB4WeA/g5j4fzl1FOXbFh3pxsTBt/6a1S1jA+NsvebKXB2skG+lQDsAxY+ISLz
iyu2AxVf6RrxPuH5futLLfRJ6BNwrudp51SNs5Hd3IAUgW16zLtL6//3KKuPqrcO8yXF0Ps74kT9
HTYCUh8GPslkks5f9V2UkyieZ5ftIN1kQ5Kq6pkQ60EOkvV8XkQf2mEJcTnGjWw3EfbBtb+plvoh
RXVib4fugPNTCRvk+zW3fHcaxV73Hvg6IxTtocExag8yy7hZZfNrNN/oB+jhv42w+8nlwstD508q
ADqLNI2wcHGKAgw9v6QBZUPbj7c8TdS1nmqAgRv3MmmoqklFqrjXd6EauRdZkvVLlezlzSLYPRK/
el4A+DNt8VJOevCkZM+AhKG8LIcZS6Z1XI3RVhaBiy42ytW0q+IZYUu3OzdaO92sOUPIkqz7CkrV
fJCNkTNOW1yY841sxe92PGU5Pjyytc5Q9JrAcclGWQXTAqitOd1kyQqIMQTNOWB7k+vrxW86Xew0
egCl6xRA+koWv/yqH0Y3sjwufZpKaVfS01p13BFutDa9uC6ynbqCkSlL3vlFgdXDZmJ8m5aSrFJ1
/R2Z2PQi+zf8ZXfYxDPrLD1cYERPvTAJ4HMxDzIFIhsgxXRsdPToij0WS8CRp0+ZPk2qzerRjC7k
pdQ1b2h4QtZOZ2Hr89x8Guu+BFypJ6spm/DbU3pcArqPsLW8e3K0edg8OXC702ki25pmzs4kur51
Hc/emkX6UcalAkjfVlaC9OSedOwBIeDoyQt4uGtwFL+7BLrNFoVmTTcNNC7M8SrPFAu4UVUi4Kjb
/KyxMmTYt5eL6LG3Iv7ELE0olsgZU/KgBrgdN4G5dgudKG6yIMn3zvg0ecuKyEPaN+T1kcCYiqOh
1/PqTY9geSOfceT+H31gbH8WSOw9l6oRHkI3+/T68A8Rh94uiDRvnwQKsS22w8ySEf+i+c2KpnRn
L2gGtxkPcV3yWdHPcSNsik3Ln5CTupcwEbcC2YMkAH1eaa+doX33NN31VRBha7MLiHYqjl8bJIjU
CeDPEHarfuDuIUqQ4znVYtuFZoh69zwV+XPyhL4+CwhAJCI2gJ4diKfl2KzJdGyGoWNeVtP4NAJb
9EXRXjrC8SER+78SK0ditjLaTVho1bZslcwfTACmetqv0JUE6BR9anY3/9FW3Q7/wkMzWzejrNWT
14BtZXLqN15U574WTX8H3R91jvoye9+fSGHzXTSfqAzuYi//1meASfSyg4pbPOug1fyhxlxeV76F
ebKy6opppWqxHxPmH2n+ge7X1uCbyT1M80an+amyTFhb5jtsgOoI5JjdCWYvvhn3hAwUZVjpc54C
sLK+65E+A/hmTelFhVjR4RMy6abMmWCnDLOpqkyukQ2yeg7J21kJHgVj0e1Ai/6hDHn+2gV/V0jo
7iChvSlER1knzNdyJICURYvg1JgyeczOWtX0K3hMPslcocpEeAGI5PAzjcP6qk0GZmjpa9f32pvh
HHsQlCslEK8avJB1gbLBeuQZQMTTPGAvfjXn8VgIFSeuJLsOLZ5PGhSZzZzwY5Do7XcReNJjFB68
qt04OuaJQVFjkWMOT50W1Sw+22oX2YgO9n13B/qxNutpAIVsHrXCVXw1ijKQdt2LMxckLKdiXndB
Xh9FPBzqDmwuUkukZoGvK526HwY4ZoWZA3wF14VsPdn+yMFCpSRN1Ha4xfW4MkSBfXUdYM645oiu
sndtF6GdGakrGwSkQHphP8/wGEwsgHwtyLUj23J3NXQKS/egPhDD9s2qnUBxqMfYE/DDqyrSN9VU
NccuQTj9Jk8reG+p/1vbrKtU5IXd7xq1OxQlgS7QkYySV9Fk8+MCIR5BcaD72TgPO8geOWxns/ax
eh/R0Zibo/AifWt16k3Vy+oIkHzmDotc7FLYH6+bCZBJp08/matsaDKz99SIRU2elYHP7BcebR1x
hTxcBaWDB1Xq/vWMn9Nn7LKBm5wq8nP9h247LyLofJ2c3iGEq7px4v7PsuHnEd58L00bAd8S7WYy
8EW+iGT33q1Okwj9YIxXbfGaR3O1STuAyHX3M3PQLAGo6yCbWpabWYncW18Hh2x2lZcAgd9gik6a
0b3lVltsUS75bPNU2ThBw4+HsCPqP/1FtUVPCp9EtdYUL03Ufw9rs0XJMLJ3iU1CpRy6bdDX+Yr3
m5yybNx5EV9IVqLZomdWf6kKviwtFa/ZQF5fr9i6BGKXxNl2JqC8t0VzzrICaZ+keBtKdSUWbxh8
KrGJwjONjGaybYvgXJeoSiTcjKrW38tA+4h0h1BNU59U9hurbu77DcxF66joiiBmn5iHVCByUbfV
30IrCh9PakOt/0alJ/ZHM8aavEkxTA2f2tzQ9ij01mFnrVFALpzmRU3Fe2Wqke8ZI1tfN7tGjh1u
a2NAXzgEm1p72UHXWCQkbvLR1t7sd4k7rZzmXLap79qT7Qsvx/A9K91tQbrn2gFZrMOmveZWRzQX
ORLE1OBhtUJFk7Lp3ojpx77orQ+jCGFkEXK6CdXbDymaJ25zLJTpp+egf2V5n9aQYf9pDIeczJMf
CdLFTM7jarKA8xW6564IQ497dl4p2TXUbNKsOsVDyzPYHc0t5hm63y1On0aqvUPoHsGu1mdzcr11
XPZ4ZySQU8UQn+ShF1Z8Ijt6SrPahjpsZ8B4+xc3gWBBZMnPbMXv2vrv2LDerWH6s9ZbcmCReQaM
fSphIToTcUTTdqs1OgjfGsxGN06eviIrbl1Hpnu/rdN6X4ZNds8mcHhK1D2JbvbNLks3GYu6tQ4x
C1GsGIcvbQBLm9mrTsNZudKFgSCQm+zrzA3P2NIEqP0Y0Wn2MusQsFI7iijRjvFgwNCM8vlUxMmw
zxFBPgMNN3aaENOlj7KQxSy0VuAx1bYfMEYk16Rtyjhx7lkbRpuwvlQdtB5T2CRTMYBEO4MlcV7h
cxgh/rtaUJCrNlHJm5tA4i0hrFfb8LALnEX11jT7XrHxG8hj960lab+qHatDbT9CY7gDBmRMWDIh
ka9+myt2TlrVFx9KRU7US9rxUFqmtYby2vgtj8uP0YLpE8Fr+YBW3AJOBvsAThXXv04YH0xgOCtC
1foY7a7Dw1eoeGta+GcQF/kIEUTxeawPH8TT2bAlVf+heUHvZ6CkPjwLKSRrduuPsOARgY5h9QGF
bERUG4m3UDGOGA7qV/QnPQISTrCWxVjM+jVXYBGN0cfcJuUKXpIJpjtst5U5Msma5jGy2RMHodlf
W0Rcrw2f9TS69RbAGXtlJqB16WVQLVPHurDWJqLk3ZW5Vl7bhK9sMFe9zbtEYihBynsc0EhGFKYL
jSUKipoP0ChgvyEOevZoaisbyPhWVZUG45TmD7dPSTGjDQLHv3ghpzNte/RE1iCF7BVuWIbfa0Z6
q6zB8SeRGJuEELBvWP1OLxIPT/J42M7ltU+qad81cXCd+SxKbJ/BLL6lUSDuBFI7H00qpqxaUW9I
oaPol89325yYsIt6WhFIAF2HcjeJKXayah93K8gM7dZYTFC7PF7BiE9u9tAVB2/GaRVpRzxYyvl7
0RX4jBTzrsKVbzOV3jvg4HVXDzHEF+7/YAbxO1Wu4KPYYEMwHG5n0NqOvQmSKPSDlEBrU6ODIzjd
xjGUIRGg8aUN6d1Wkqu+PLrDlMCVnXX1ukM7VEGHjYlbQHwgIIAWa2CtOi9zfDUrSEQyPbRxYD8P
pUdQ3cq2TWeU/lAQ1Ci80F0nGMD5DZnlTROV9npy6/6IUId9iYUW86ebwS00hMs0kwdqzhL65hTx
OTcqQLrGeUKabtNbU3yC21HtWPhbvLMbumnVXkMxQyhNcGq5VRGHKv80nbnDiE1Y+x4pmiiKCSFP
jrZp26DYFaFIV2b81thadQ+nUfeJqH3n6U2GeRDTMbf8fupLP2pC5WaXTXcd7VHxc9L1l0YMYoVm
Mx9c9Y4R1ht5QZgnaes70W7ADR3An6JGgTK3MNB2NA1lejQvfURpXVVLrtAbt/wlxmvbkG3ERtE7
hoGLY2rmXhBy3/Whkvq9q95MAjobw54mX2uVY+sVb0LYzjlvlZ/1yA81WppxMcsq3zRT8ldjgN+p
ERXHOededHV8Tvth9JV4cvwRl4GWeR9VCKYV1c6OGHkHmynAPUj0MKW7IMB0DekO4Sg/zdEcTmYA
fGsso1XUjdaqEfxPulLPjorooYAaBEansTi4U48ziFtUZzTHrmrNlsoAKmJgiahjuQFYlhWZyOxT
PXo4uowsnrS6b3aQbDfRqEBZq8S8z6y0AVpZvrZN8aSoAN4Q2G52TtN8aiLVV0atmdxhKTefZ97m
boQlN4cHN8S1aImJdn2UbJCDZgUfatNaZfdRepE4wlFSyV7N35vGACvHsmDNTQGHAp/11TyOuA91
3mca5KbfOj2xDmSaxhRt6Ma+kSodryMgQzSLmm3qhu8OYjWb0dNxMxXpZh5Dm81wzxfU92Jrh4G6
EU76jiHQuK4ImW2QXFU3aQSasFBChFb08pyP6GE1AVNUZpuG7yAJt1Xi3lm1WdyuRBDtiMGlxwTp
XVvV7RNr/DNmly0y5vHd0DRlV3Ij+cF0TwFwDFksnhr2s6FFotlwyZsIeCVt1bBjVWudlT47u9II
x11W2to6BmDjCxc52fgWitFiedP0qwyE5NpykqfIEyfbcutNi0QueetM3fbQ8fazo3owfhE54RkO
laZPsm2H8Pvc2QVyXjFeDOipb4NJ3TSOW/vQldNt4Fk8SQIRblB5+tTQ3dlUXTO8aBlhoQz2TaXr
WH15Hp6lBsJfVRCPa8wfX/ipXGIs7h+EP9OtUHC6mIy1k4KRCQnKgdZ3ahxNagTt9CAD5jOK94j4
DDzXlQI2EFB7W696lhTbykLBvEIJAnR40T5XKRQug0SgR86/HkHQp6M5+SorabPDGoznzw9kFoaT
iNMnJajmVa9qwUU0xqdtkoef+/IYd4k45BOPa1MBzlWQzSidk8MuE+rpCe/dtYYL3aqqNBSRigDq
3P+h6zyWG0e2NPxEiIA3W3ojUaIoqbp6g6gqVcP7hMunnw/JvpcdPTObDGTCiIJJc85vQnBKWXcS
ZgnIa8rRdIyaVYjA6l7XWLMMjdPeC0eCgrCrAmsk17mGQSZ3cDQxw8ggpPZSY6U+FSlAgKA5YnnZ
n6YxHk5q61FErt2fihToFJwaRmqPcDv49v1c5v6eh1ufrFyvTy7xrp2Q1WVG7PeEJJI8pQWLtgBe
0lpdzRckA/p82jckGJGhORO98FeE+i+xEbSnrCk/W78ggFLaY3uQScESOYDV7OczssT9fBqtHi1z
r8ML1zWKYuU4qLOYpX0ctMUQr95PsyxPjCIli6Ap3Dp99ekmoALEEFVcn1BLh89uYVdrLakS1lJ+
eFIF01fmoUl2cQi770JNb0+yb9HLGp19S3d4avUM7GLCtHTVtNV7molfnSj7+71SW+o2JdJB+3wO
pY/ySx/vw8WNUq0z1Ja/VBdrPp73pq3LiR9N4U7heHKjD0hNNR3d1kDqn9UFWdnASz+tMiqNdac3
2VEIScJdbowxuxpakOJmzz9G8s1BhhIlCGbwXReGazqp5Qc0L0PVXTKN7gIJ3XWSzWGxSvQw3Mu8
OYxdg7BCiStimhxHAS9RY7IGDHayTuoXIOZBXtiTH6TtavwqLF+u1WZnJDXL39BaJQIQJVIh0L/f
qzJgaTXaxGswpDoBdDBPMRzzde3BY2t++jL/SdzF586GaMgNpuOzOqaOBxY2qEl8VM+qNqfq1C6F
qqrCRsyD13x5lP/X7hAj+n8cPXpBt5vHmOBiuTfqcY3Z8ncWJ/26s1GF27qajcBImR2GpghI6nBA
VOP/XfkpYunzqg1a8Jmx1wC5oxhA/O3mrxhPCTKAk6GJpzDvk2OuFci5v/TYBO76ZLiWYf2U0Q+c
UMnGIa0ufiAnFxEo76Bp9XjMSvOlQxuecLjmb72s1VYAo0knRKl8C5uipO+Wxc4Yo6tHViwsbviu
f7S6b+2HJUygO05xmiJkItvWPM8G1jZ7iAjerW/5hoPBBy9ZVO+BokFiP1BGECmH8ahVbsan48+X
eEaQzfG0jlkTccYA8YZmyE+hHqPLLTSmVZCxztyaI1owmrOSZJ1X2gRIy7fMVRZE9g3Fo7Kus1NQ
yS8eNv40gFaP9ljirWmmYpOQIjNHEVzGWFp7gso1rLF1yhJi47Rd9aIXkBoHllHrOK/TVZ9H1YuT
knFGyArR/nIP0V5uyMIEHIXgszWhbIvHjenL7A9Q/+05LFN7jSVyuek02TxlCGdYRqV91nSzO29q
/WOOL9EV70xy0o4Uv6Ys3ntS4D0v7JvnxdWeT6A8hMTRP6syRDEh1X70oV2vkacdQIzG+UXTWfd0
wbCt8yT+EdXJB5GkNQ7c9vchiq8Ionq/i5h4GuOCWWruSx4yfSmjtFm1OrZtduf+JDLvEwugj/J0
0R8IlryRGoTj0jcQrYiWbKqoy44mivMbr7DlARVTuZekDjagNK2N1ES3Zfq4qeox3evNEu8IiEiV
RFpF3LsXgP7YFcbDWwmfxEqr5Huo1S5McJIJ5i2r9WohryRb3XLlWzfq30Vn/FGOokGdHMIk2X7y
MHi1pH4aoAM0lhs0l7NrnGYF5NZsppPairnIz01Rj2dnid7NQH1Hq20OwdBqH1hfb+PAIqQKY28T
9vl2itLoA6TgzxijqWe7NbV3S3c07DP0cev3BchGp0p2eTv531vi123gg63vwvlM4DPa5DZySgMZ
5AOK/BsfJfcfXTBaay/zjBdWANaxrZNu38E9uyW2gPVOJvx3i3ywE6RfLYbEzKcN6xpUeb14j9iH
wBriq9WEhDa0uPyV17+RFUjIkSb1SrZucANtHO6ixIMw3Eg8tmQmXwgxfM2mOMo5FrexE/61R9gi
KcEzYzTd7lECpztS+e+cH3tSOe+MXFq+etTvu9WRqlHVVaEOf5z9aPs/L6F2uzJU/TxiZdoxIvIJ
+2MxNb5vViN2x6quttR4MyQ6B6n6PzYf+x+HqzZV/KtNXUe1zYYoN5ZeTyvWdjnab2VZM6gum7rH
FIZw6n9arcFmQrDszzUgu1v82P6u30+9l/FMGlBztF2Uxc1JFfUyzI52hfiYqtvd/J866tXMIof0
qZrN6M0xdD4Hv7DWgIiiN9VWFy69e2qPe9WmCh1uup6M4dO9qXCz14hu7HGSwLnxaKPmf29TO8pO
tuR3Fq3j5eL3tlTrVoYx6MdHGyvONWL21ktl58Y28eto79RIjVda41z02tYvYREkDH2T+NH6xmcB
EPlm6tp0kmFcbF0MiK7VLFk+RfMKibfqewLiYp9iAHkgMQJrGXYiJnsbwwyGzdDmxFLC8tmthu7J
TvO9zxh7xsmTKZLM8iPMsX3Gkv9cItm6R9zlo2xz7wL9UN9qLLvoViL3eRRTygxff84mcUIMpTjj
3htjqQOQGxSV3FqB4WJ6UqAfV8kfsYfsJDc6uBHQfy5Fq39Hb63cxKNbbnVpvJJu7lli9sg0Vtm0
7lA33NttRaZHR5DJMCHKMfXeZMOgfzTeCGBUZAubgkhSjj8UFlSR9Udaf1ld37FSBtDYR86nHO16
U8Cde8sTRArqqfpJLH8+q6Y2MvtLkBdHVVMFROFo10H93qjjVZvozY/AGdonVRuSSpJhmp6FmANw
aiLeVEU2vpVxWEKDTcatFo3jm2pLKia7gKMuqhbgynlOmuI3MjR/HyAnpKqJSoJBWa6hisL8Kxmd
+KouE9QyOepYF64eBww9dg+21uZH1dbw3T4JLbwEHTn8udqglxi9GrLQMfHM5p3nR0t4gm5btUVO
ci1KMqiqyakGULd59Uv166opGeW81mvD3KtqOnfV20xU/H6FEgtsE6CSwrwqkCtw0Ne0Tr1D2tG/
ItnyH9Dt/ZBOMj83wm+P9n8fR4i/BA5pmTt1vceBg5HcJrJxrGyKcY2CU/WMZKB9tKZFP6dJppVq
U8VQ6dWzWIoo1YBzmrNcNJ+g5vx3x+NgI5PeoTb110eT2przsHp+tPlp8VsPWmY/bRKs/LZLnyuT
lHGMWe9969HmagIQQRuc1BEaGab7YWXU5AfNBAwjTFTH09rGDEUvxEdEIGgbMmfYqaoRVwVuCD28
a8/pPuIwXEA+S6xwOTgZ4+KQxjGg6qU6xn2NYzA4E6SaWHvF7ocV5ODbKpsI81K1SaofzA7kvhh7
92Mq2/EQa8zY1N586rKDaOt5E9lw5QfheqewZVLiZkTndM2IEUnL3XdvKFmCBfGnqjmFkd2WPIGq
JX7ovlu2g0qSKK6qqeojZhNFLZ9UFcSUvcbD8XuDzsPGnJrg3UkGDUmwRNs6QeC/G0yNDnrJpE5V
K6Re0F9jkqMOtuguXmEwnNXOEETH+zeT13pYj7PFd1XXr/py0Uww3RVBUD6pA7ElZk439zgjYVy4
Um0jI8827lChCljfB0k9QKJhyJvUwKbGJt/0QsKdSxpHDNBF1pZryoOXd7vYG3Kwn1GyL1ELeY/G
a123xS7QMIbOx0X3cnRvBAkckr9Gv61AZX1o2UB0Kte/9VHG6D6XxYdjTDPzfHo5TGNy5uKWd5YJ
dGd0RPOPQZtItgThJ3LQWHBMiD8Hvb1XtaYe23fPOtI7JlsXL0sPVNDJM80A+laGFHUZxh/dRCQr
b0hJQaMxD0YZeeuYnMAS5fPWA0iXbZLb/Y4w1hIb85nOF7e5t8q1bRbRITA3iI/6r+7iB6MKMz9Y
tvZile233tSw4vGb+YUfjQxHNRGvzlm7aBa0yJTk8Tpya6iGJhqCqGZVP0Q5vIZho7/jZKgQN6vW
DsJbQVwra5ir61rD/ZkN0EVLobbiZY7hVvZzVEb5vcmYwuSkWcNb2uW/ate3Dh02FpfYQR9uZop7
LpriD+be3S/fji/DVBi/sdnYZUHnsFh66Wa5YkJeksMWAriEk60CxJW/RQv+Oi7bVYQ3xoeddscE
IO8vo0AYTnvNsTF5M93qjDJvuasM4rSllpZbf0xrkt7JNyZ9zX7wITLEIojRp8/Eqz1ULYEAN/nV
xj/0SLr7oDMWdH7pb2adGGGZxhXG2T5BWx1krCvNq0zH8n3s04VdmMcnVc0b9EYBTTzBvHdfw34m
D9WPDVwNa3pNWnvhl6XdDlRweugaNEIcrTxg94SJQ+62B4J+7dZeaOWszK03pv78eUkOkgTFBhDU
NtVI9JPUylepKRKCN+7KNq+4Dr5Fkh7IoqvdRaFZ4fZdgvrSjPrD9ASatUV5dVitfQzSN66iM3dq
H9KnwbnHQ3s1uV89nfOHHXvBraiR58ci42NwrBkXbUyYl30TQnDEmnE1XWo6eotvzUDkfqkNJIvf
Spx4VQ094PqtC7JdHNbOh6gazHbLYq/29YGjX72wPdxrtd1cxSiPtp7pyFqYh6zJ5aVYCqGPZ5kK
k3ANtbrvht3gay5aRqZ7mUzDY807FysiOmgGqEZr2ZM6jDHzXJwLs3Uv+miwN5yF3NpJMiBYu9TV
LlWQwMTmabioyv1SRdM5JFUrwqjFGB/GoSAs2cUYpvlOG0MYQjlMVavlD5AEcDl7gT2TtQBORHUS
JkdLX5fHPp7f71W1x2jr4ZQ42aXIhz/sKq2OBRGvyzA0fxcoYHpbfOWa9b92jHowPZv8lMexwvIM
a9VNRrMCQI60yHKVRBAMmswUwQA7jF6szJ928QCZ0sj16IUvCZKAO8j5afEwUm3qOB9roBdV9Rv7
FcYdUYbl/Ee7bDrki1pXQ5cxapnKhcYmnsMYxilFmYoSgDEUyzGvSSIvbYlN74kQUAScwxXvhVN+
1GETX1QtCOZwgVbiSL7sHEWq7bXRTVlIl/277pbms4vvB4gRAeiFIxpgqSyOb6oSt+SY0KuXT6pq
CKAckPHyvarWc5kewzEAObyciYxn8SLH5P6HVZPrzOukzaM3VXOKkRDriCaKqiZ4v29dewlEL6fH
rlOf4GK4K1XNTc95baHgqpr6fSIyD7lbtK/qtxcLzmtyUg0/zeV3L8Ci2TTqrarWmMvzapa43ajf
5hbIIKUIQS01dbUkHF7zmhAviWVSa45R6mut6dqTS7KAQPLc0FfbVXfQXTJDEeafH95Uzas0irwf
AIjPLVt40vE9dY78i7jF50wk9HvdQxchKR/f8PlmqGdquMKjs76A4MgPdeWGJ2HJ+ByGWnIgD1ke
KkQ8X8wi/cyRZ/sSs/dmz/i1e379VRaVi+VyNp2MGlNjPwV9Q+wn+TqSiO+I4LMwMCI/veRTmYLE
iaIzKdJ9Osl3V5bWCjlO4Bt17j4L2VdyVTQGrzdf6pAXL6rQXDd/IRqKRHb4w0PhcT1kMND9sSGf
FjUDgCug53DodDQ2e1gsgZjOgOXlse2an9hmakfHKOZ3p2947aZXAz/4T3zXfpXSX5OgR7m7Dnex
G/9u+iJ7SdIE3drc03bQ9PXP2kkNJq1iZ/im+xG7e1Ji+TdLynFnaUm69bX8HGnBL6br+sluk992
Uv3sp9gmvdN4BwPEKFk2H+MshMamNs1RYIL8EMRW9udIkiifHR8oUkOy0uPDzpop2Jgx6aUGIMBb
Ve2JyKek/DA9F2WK+QvqxGQJjG+NjIKDE5D5BPieb5sYeUzbA6w0goXvuiF8cv70YX1fxtJ4s/Tu
BBG9WZGFinZ6RUTMQe6SwMtEvFdnbt561ss0/WnieGJdK+H6h7nokT+cACi3a+KM2sHQyKvBaWp2
cOdN5EFC6/QLqId+yYmAbdBXcjelWy4+svLI8IjEpht9bwq/vUmTQZsm88UjcQ+424uJmFJo9hQ/
TUH6ay4xXZxGtHOxWvxLQoOphRngBhh1a2eIxZXkrbF3Gic+RU5JVD6p/U1U6tYnyM+fo5PWf9mo
YJIL+p30fQP5OyZYX9WIQ4yiX+mI1B1x7hvf9MpIXhtQKqqmisYRxg7iPMGx5QhVhLUJ0mUKziFk
lTdkVAxgf+kBbMQ2xYvhZTBs/TaTWt0GJrluVXUQUrwUKVrwy84BdOFttCBjT+7wpJos2Ad7L3Gb
Tednxi0YLAHKEwDRUlNNhuUg+Cby7KROWEafo8XIzNwlOVRGuKh91v1tDoG02kl9VTU8qaJt7odY
6Cw7J1Y25KvFSdUC0+hviZaDEPCQpFdtJh4hxyEoXVg0nKAKJiU7Pg3sRZcTIl+bt1mT6aAROIJZ
dfram2Qflp3aUkwjgT8N0sBRHUGoezyFFSpQj0tGfn5CfDW7/+YiGat1Esy3OSXcMTuGeetCrNHK
Nj7lRcxIV4n0L1e46Eozd3rzYvctH79qPHHfiWmuZ8uZsCYprfd6qn/FGUITah8hWn2NOGVwADFq
v7sGfobaEIxbdWxpmdGpwaZmrfaOOpke7NedfWi/Mt7XgGHauTgFMTMIqGjJmyoQR6m2TRZW2+y/
beacFKuoCRDvds3kbY4mUF5hgPa3vc/jxLr5VW/dMqnR6YNpOapqqgX90ZDAQ9QhxuhaNwaw2SuS
+/FlRxp5QqX14C6nN1G7A+4eIogOt63Reu9NFVna0dt143T0otR7E2ijX6ZUg2ZuAkCr7Ah2NI40
e3UwEcH4ipYca5pQlGtQv92WGzRtATb/fb22/6sqtHALsx9gFLYpb3DpTCzuuv5eVW3CbjetwXim
apiYVnvZALC7V82Qs2SxDwFuvKimyZKk8/pUx9ajiW6qbZbhySj5MFStFdpwEE5bcQR/VBWDO7/U
gEOe702wIHG0GoOV5ZXJq+fzmQu0s9zZtFfkdskUW2P0popAj/d6ZcmLqk2h312S1t9XZp5ka9kt
UeC28VZqb5UwyueOSeisy9Ldo80Kst+BrjPoDXV3NRJYZb89vEWnTn9TBe8RCh4D2epHW2iPH22i
T08o+uhvQxSmT63h/vE4IGOdgvJG1+0fbT52ZWK6X7QbRgQrkBFaO5M7P5lJ+iqmoLgwBhYXUuin
ARLESdUwynT1ldoM8vjNELY4/qNNneZ01c9WhNHGqJsCkE/pXVXht0QJPQgBMNRpq3UNkC65mHbc
ZHBUb20a1rcwqwmvBWmyV21FUhKrTIGYx2VVr+cm1Fe8++FRHWxbeLRWqBRbNvCfWscOK6eb3UZ9
0t5aWb8JAoXP6L22typD5NaOtXCtQwfF62E8e709cAPYGQOf2pBIBSlluO1Nn9v0pUv9o9qpmvAZ
Mwjed8HRmMf6MtvT2W3jgec5Wh+dPdanYGp7UEFzVDy3Ub0t662mj/Wm67x2YziRBHgUdjtbs7zn
IYOikQ5httiPbfFx+9ZZYQUffngK6+HZGSIU22NyUvASfoZ9unNiBA8yh5VOxQwgqI3mMCXul/RL
EGztUR8imBNaDKZbH8yNYA6y7ph9lAH+QmaxkqCE11OiQSQNGc1Vtg98DOx6Gwy6ro0nEBMfRusl
+4gBgQC3DiQdkPIwmGddojUnDM0iuQA7ydf2+WR+su6iswG9sKkt/VL0+REzau2p6WvoscPoH4sB
ApxlfaTdmLL881kng/Yshti/ycIxTjMZbeIdgmCiVa2KchZwplb6hJMu6sSkb2fcAIJ6yFZCMkay
GH7Wh6sRd8HrIsI3Q2Jw58aG9xhZT3aX6jsNY5RVlXxKKd/JCG0SYdS7yhX+eShwgyEQwOajmEcU
4F2rOSNa9g2ExYQLnRh2tRfj42qa4WUov7hMfEJuxVqh+zyuPdsic1tpxlPBXLVwJv1q5Vx5bAp5
dhCcjWJAIoWG5WJmwsmbs0NnjO2p7cN2i33kuOk8L3rK/VZudGF+iyb8A0BM9dtIQtHQZX11gH9c
G9P+0NKkORSoNT4hkwiuhDFlm3eeeKqriiiJOcLfkuE6aubhCSDBoW8RZBRtti7beh8UU3AsrbnZ
5MwbWFrZ8crCTWvdDv3BaRZEYNQbW3t0sx0A4Z9INf1YzEQPNlnyNXdrWAOH69eosxHB471xOw24
XibE2aBEJwG4FloSrNh7i9HecmHb6D+bzJzh1dnteQRocNSWgIfVXdWM2lim1UxReI168iB5jDBL
mSEZkYxC/zCLH4OrXfIcni/iKOs8vYJe/kv6VnMi/6YzEmYtmmv6aa4a482G4WHz2pPuddsxA3/j
NWurjJOnvmyiUzQxwygMvt85xpcn72vk9sbl7a0LQlbegCaFl3xg1MsEMyOG6jZtu4/d+adv6/7T
5GdiTShQxIRC72AHvNXILbneMRpiHCEiyDRGiWlZ1S6Rkm8QAcr1mCZfXVHjkp3YB8byIQOxgrxV
u+OG/tXmWMRMhOHJPmDKIRrnlcCIuUpBl23CtLsFfgfHzO9wf9Ot6hi39IOpZq/lOHTruicm0Jav
aJrqT0OSGE9iKTwbw0oPEmZermIzCrd2D1IvNkxWKJrX0/c63TbKMn8NKGuXVNGXRuYBJYYERSFC
Gb8GZ6w/BbLmDNqHvsTGzvPhNJkRORB9gp4aMD1+jjqAPPLKikSsyXs2tX3B1rxY4Qbwkad6zJ/3
nAVCvZkhF79MAQH21uxnssLRG8IqDJ+iAaEU6j04fDt9mkBerrDNYlbBorDPdDg8tiB4LfNo5waL
+mwzfEV+WCBQZgFv9M0cEINdAjwM97HEqtGEML/qDahM4vcIaTAB9rvtAuB8resRdfZWdin0NULT
1VavehDKvYYBi6FryEeiFxNFIYmF2r/Nzfw2xW73RKixWMt+RhStEC+wl9+INHcrBz35YzCboEDN
0Dl6rn/SwiE4aVnon5wFp9Ok/Y/OD57qhG7W7jS6sbxpDhKFJSxU/xwBou6bvv8T7wMLTrAbbbU6
m59HvIqePILH1UIgjnLzlnv+GfzDzCx7CrmD458Tq3aiGxHwpTTdmlYfrroKEkWRNgQqRGSTdaud
Q+M31crJXLEHul4BigscQDcMBjvIzCevJCllVmhuIR17q53eJ8pTGZssTff1LOz90DbBH3nwDpep
10X4S7rtBs47Y2mwQGS0X4k1rEuniE7mFOGP2OjdhpV6cBgAnu0dcKDgTkhJaSGLtx7CvedUBD10
e8Oc8TmYnPE1H9Eo8qghJpNthR29l4Xmnh9FM1beveoy8z+6LRQxbL4uTsjcMRgdcIx+AdCzCYJd
GIXBOg5QXzPo+tYsmVemHvEphrZ1lm1K2pTZx1demtsyyuaTLpFvQijqaqTRb2dxiIKq84RusXoZ
WZ0xEC/FIp5jl5PxpNutuI6DmC8iXXpuakEdiWubMNVt2nxfR54er3OPxwgm7KgJ1h/9kDPzcJLP
LDfRObSrV8ea3N1UJqy/lyL0n2XQw0MTRrrt+mvuddkpZnlwykMv2VgVBADY2MnZce2rGVmwN4KJ
Nwq7xxHEFfG9dDtq7VViUElgj8VZvwicGcVBYcDcJSMNVRhYou0sXlcgMP9baD35ogFt0yrALsOK
kdQKa5AaUxEIwiz4NXjIni+JAE2aWzPE1hXDLTgSmIEGcKyjATTWHI0zK86QcwmNPCEofeRFrc6d
Pb/qsZygdoTuZkKVZj0vVWQK5vVg87Ds3Ado5sU5vJIe6UlpgC4K7OoMIuMwzjBSgCtderu/agL/
p9JOs42JiaZcK8xcvBD4HfBnW2+cSzgF0r9MuWEwFeyLl4DU3Cntmk8J3OgDrw3QhtWPeEzyD73E
JSYQX34V8nKrKIG3hApaabLSyXmhvMA3nlUxM4QBsAq0TaiORgMce7ValRpgzxCkwNyW9kldBtfK
96SNymOR1nTZU+9tMOwGHkJKARBcJdcVimmJV7l8F+7apst7Hg0ovS1AAfzXxl3W8feQHAmfUwKs
h0zGnzFScIiP7mas5TaeN0FwX/BGALQ3mcHTRf8319b50P7FukacxVjs26llmAQVmHlYWusZJCEB
j7Ntj178vSpr6xsS8ihyTm9mFjmHfNTeJEGAhd6q7xt7MR5I/9R765AGU0y2fhOkMjjGiXNJSaWt
cxNZJaGXCP9ZIMbds2+b85ORp++Tzio1biJkFGMow4tJUxOia5N1/D2gQJ93BYioaPudS8IbLFft
3oUj8vmvfvSMG7BdH2lsbWYhYNNPGwuuvsyHblPlbvAKC8B70ed3CYLv1QKM4JZRt2vS7FvNxAD5
ygRoZU0yVVVlbhbM+eoCgKam7bPej5k/WTnwF2dTRr21bupqOMCOqN57u+0OE2yRtaqamdeBN24d
/EK17pnpMv+P6N2NWUdfs6vN+yrN5Rnhj9dBAva2fTd7iZByeYk6oyUzjBSmN3j51mndZl9DA7ci
2BlahsRcwc9bmBr+iFSwF5NkrKKVJ6diyyr6xSLOQS++KYqXPgYs9qN03zEtE8diwczUC64uBmFx
tL2XZMGNttasHwFGxAuSVBWzmXxqmhVu0/82qXZ1eLF8du2pjrivgYBOtyqqnFIBPTsT5LTRNtEm
3M04Qh6c+D3tQAqEt6mL8l0EndcVFtyicbohVI66IZ53d10NhRFSuKHCZsHgpx5K3ovghtrRhzkk
yenn7HfRCVyWI7dMVvklalN90U4Dl+ygNjNJBAkWFv/e2FagfX1hoiBUa/t5gRQyly1O1QDcOurw
eghXmWYscQRaI7BYW7Iq3z2t3GR6hEPulz2MoJiXG9ctV1RbD3yia2S63CqoomqcZDEXB3Vk4gnu
DLKI0d/ni+Ui6igj1ueV6xX5Rv3KDK1pErAIny2ufvuo0/dKYcQL1pDcxyMYzl/98vwmO/EOJWrU
Kgesikzdf7WZskQmpYXxnaoWRbOPa83Ef2b5TSW4zwjvjIP6k+pn4LwcJ82IOMnQbIO6/lLn5VME
x3x5jPcnrBoVXqoMybo4C2n00TbVZr9HagVPJkAfd+yvehug3ZKhnuZ82upm+0PhgVUxAqPuW/h1
xFORHCma0cWMqPFy+ni/26qk9x3nFevRnwPMxW3QxTxRFwnRnci6m3r2bua/jMR9drK16NadMUFv
j6k76a3qlHss/0SMZtvjoYEdNoFQd9FGPS71NNRWjcdntlKb6i1wYjMkr9yvgmooT/g6BqDP1OZS
QETg3dD2DV7v9C1jJgEiAHPGahgj0H9sqrM9HClAIvtWebpvynwADeUmB/X3pq4jRt1tUpF9k5N5
Unfufpeglq4qJ5836l6ru5KJivW/MBBfWTAA6pmoM9SWaru/DqquCivHMaTrYyCaiD6O/Zt68PdX
U92ax9ug9rREPlcNGPaNuhXqR5pDy/0RUWWuiaAzy3Wan2KxDUHu8n5/7dIbJMAra1cwG+CtuxlN
KWDaxrtSQnQW5vxmLl2HGraL1PX2MpIggbHjW+nQOVHC7dATcrKy+l9/+B+/QW1iewXZ3YzN+5H3
p4eaDA6lg2VuVBegxvceufGDCyBresvh8t5v7h1O8Y+v5h+gin/fQYs0XpXAmpTdzopLQ25TP/5T
6wt9+7jDdIIn0/OhdD86F314LTCx3KnfMoTNS+5KfYdG4yDXXRE/idHUgHks/dDyWasz1db/2xb0
tUQ4IM426k0Y0nzHFIaly/IimBPSTjYc68frsxzgNpIDbHM9IsF2UG/w1DvjYS4dliXNtvRGjI/8
BVz5//5dt8qPYQxWOCgt4AoLIOXx7sn02TcXAKNVue0ib0P3tnTL6k1S1UdbRfRn6ZEcU3rb0GtG
MCv5qxdp9JHqeFU8vtZ/vKL3TbVfNsF4CDp7rd6E+ynYCuy1T9GRIFB9IQv2bo9C9/HxhT/eZdWm
qtHyFurDsOsA6e1jL9mpfbZ62dURj/P//Qqqunpqaut+jqrfN/+1X1X/1XZ/bevGdf/uerCVI8Gf
28cIrtwqBx5T5YDcBheE8zJwmAFE08hkoTqbO3woyNMzL1BPfHRNjEG9l1KKq8fcgPXhk0nEQuoV
HtvZtQSUMrb92VmwqnKqr+Xo9zvblkwlOlPf6FFF7GZAYGZFgneneAdzudhF2nJsN1FSv3iYFz8e
vPqrqnr/nB511fh4Tf51SjXm4jBgP6heRlW0S3ettswM+pKdwnlSd19dpALPOINZ4bUbQmj1a/WV
wGqnVW3+o3X0rT9KBxEltW6ZcQ3eQqr77iouRcwN61MtPxIHhxqSLviGKTM/kgG4OzImW3WPVaEe
e7pMTxDKZY085z/L2TwFqVXsdDmdM7tGoCzoD6qTMei1BZzdGvXcTVxF9xHAEl+Q8oujuqB68mqL
nl4sbBg3Gb/kGLxiFuffMcth5t5CPM92pXojHp2BbujekfMev88Uk7EZZoj3j7tYFx49abYMM4Vf
OJvQgS6kSCXwAv4Al2wxEw+QH1WHkFuDcmKhizIZzvauY6YmW+B1m/3se8cZYA753D30SDSKE3dd
4Bh2n13dV1GJEVXk3Ezj3gnDpb60Vmbt1PXV7wrdZDoK80VapdjptnVVT/XxaNVW2fe/UmtOVlNV
ofQPhfzvBdqj49DU2K/q94kdy9MaRxqWD2D8t0bhlv/D2Hktuaqr7fqKqCKHU+fc9ujcJ9SI5Jy5
+v0gj7no1TXXrv9EpQS2MQjp0xtg59dpd0aQXd8BTSsOgrXTBU1x4F74k/tJcv9/xT8xjzHzH8ML
+ncMPVMfnHJlQJBGFsPScDjJeAhsRvAVCoHrnEsm/hlxW3sysUcDeLCb4Rvyn8FcdJhH9PmfvN/Q
03g/X4S5VeREl///qZir9bCXzvNQL76MKN7n4nNZ5O6VY4DtBxNahBnERFdqzJ2Mx6LoIj72PuUS
WRw2edTuWfa1/8Lq7y9K8T0/zTLux+apvQQWcGJDEHsMXvRi/srmCKFr8ZiMGXIwS2/QP9BaIZ7s
t9Euq3xfXovu96w7vUEDwCCNF9/nceJOFTO6OZnrhjFhy0FBKVIBJjZNwsTPmZM7SlKUP81l798+
H3uYOOc+Q9etJV8BT9+Y7FKNS/R6Mzahftjii+jlQbVVeS+mZWJSJ3IiuZ96mhaKIhtBaF57EEDm
zqLLXBS5OZn/xrlu/owvxwbpc4NQB2MYY6YYOBuAAOlOlMWTxxWPWMZP7fcvP+ZKtgikTv40jRR/
4f3OG797EO334nYNUNIFND39B37TILkh7pR/z4qj70MVoJxqZ+fx6isVxIMpMi/hvnBCBMFDtM4N
8xpQNIhk7ieKnfuzU8p0f//20518J3vMz8x9PnO/mUWto6YN+yf/ee5E7t5LZL+WxUH3s37q9fUD
vh4lKWxs1OaTMiI1K8aVefYgjv23urmLaL3Ps0V2TsT/MRdFThz3P8/6aTkjeouOXz7q3+q+nPXL
J3nTgI/RXNn4MPqmRxwPZ/YqivG+VhUPvEgIpUDOhEbE4n0Ks83JXDcmeIJCv6NPUWtk753EcCtO
Pnf91CKyru6BEGIL/n5Hi4dFPCfzwzI/VP+zbj5MPHei37/V/V9P5Y7pRO7PQtB+/crGoY1p7TQX
Fi+uObmvZOfyp1jFv3X/UndfT0ynvX+COM+XPvdP6CLnpEjdH7lx/KUYGsQaVOTmd7QYQ+aiyM0T
srnzl7ovRdHPbREMaH8qJZIIUWZC5OPhZO+d6a24he9ZUSvKI6FsltVJkWxUJ3uch3fAVNDG57I0
TjRyURYjP3Mhj4iSkRj2PXTkekY9LsXwQPQfSdYKZeC/dLX7oGHKxBDE6JLlIyRMxN9W/zbczreC
JRb9c5/5Npjrvtwuoihae6+KCVnYML06edRXjaXG41KsfyMABoSLov7Jq7tgc3/ixUWZk/uwOpfF
5fqfRdEwP7qi6BFI+Tt8i/KXM4i6MYnATigRj9E82N8n1vd28f/MR1Z4lbB4S/YGgRFtipB8WjnO
3cSxIhETg7kocl/6iUF0rvv0w0XLl0M6p5DWo3YGFXgtoVLgGiB6ECnXFJAc04srxxGvfhRDl5tE
SbITVyaP2jTZjbK1qBLL2ImHff5H78/+p2Dmp6nC3FXkxN8bZC0RvXune5ArtRA90cIAmRQVrexu
dHK2Y1BzUYaLeETvcUpxB/SjGlZv4kH+G9UqZW+NdTZbJxWbg2ma7CMkgmGJQ1oTSVmxW7mYy67h
Seif+cYin3SHrdHAgIwBeY58GKribXXVPQrOtsEGQCCjXSOuqvhfygQqk1pkT3kIz0TwydXpDx5r
RHfqezzzy+UXF/XTX3Rfut6vuliziOz9MQ/YnBwdfViLqyw+dk7EF5iL4sJ+qbuv6kTLVzLn3FM0
zz9J9X11aWKtt8DGEKs4L3VfmizstxpCgGsVxixFqGcIkGZ7fCZpNVT2zjQLmZ6p1XGAeapRhHdT
6T0GSrJVpnPIUZmcc6+sF6LX2CT9ThpzfSW3CSC9rssWVcCjLhInsfWl6QDwVMAUneLI3siBb6Rr
JIMwXGZlvyYqCWp4sPaV6lUPcLLYa0Y0FuJ5YuFeFMqn2O2fJkT7Nw8Z2G/wb8oVqnE9qhwURV2C
4FESsT1R9qhAhGYRfwsdC2VBvTkPIVoIFrCFjcre/tYx3PEaF9VP+I67Vlfylz7VcdWK3Y80Z0pe
4gN/cD0ZpHhSPbXOaHx3iNazs+t6bDgoNeo4XbfwqrJ8LUcwvSzJ82dVjs0lijrAqwJku+RssgXQ
CSWPqVGg3yTLqwKJYJShcnDcGDEWl35qIZSEmUCHo4AfKdsqM/PLOETFReREkmSZhe5ZmiIsTBDe
yEJvlRfID7lD966zebat5UnKL5ELDTsSlDhWUwB4Ybus3MIsRPVahvCpuRiJyigYruokAxPk1B3r
4SqzDyA12F5zCLbXqH4N7RBcuymB6BJcXTn6QFZT2ouqPMGkG91FVLkyhM80g90ay7tWqGFfZXZC
r7GkKMuh7z1WEDSEpgO0Kja5limWonjILoauay5K1DgP45SUCbA9k3sLdjU95gZfTeKlklu4onXs
zugDZnN9r6IL4/4eomC83EugOVD+tbjn5uOLwHAeUJkJloVfL9A91daWYuirYahSNN4A02eaoh9M
C6gzsFZlpZpqVC+wgkcGAwfw3PHzUwHV7lRNyVzk/txGGTHUDmkjE25arh7SUY+1paJrykEk2eD9
U5m1hbQcHFjujh8TbEbU4Kl1AYzaZt++R136prGVDi4cuj/Plg6fGWQiaIWsQCWmHX+z3fnqp5H6
PlQRaAUEcZ68PgF2jQ7Ww6iwl2wMkXEs7LQ9qG1Y7+I4zC78BQqU/1r+VvUSN1cS62dZa59KVIPO
dhA9dGZRQX2Vym9hy8aRhdjjWhRFA1uhz8ivp+uyX7QYdyyGqXuoxJjyhWC5puPYwabKkqDdMmas
Ph1spB9WPOpHcaqy0pWL5fg7yGE4dSbIom144RSr+RvUXvTH98foft5SG+uHqqnXqYyszdLFYrn1
kkeMCkeC9lnFWtnUjxAtqm9wz9sLoeO9KGG0W3/DtA4yVNIj1jT1EHWWln89KLKfZBs9LlwDAWpD
+yFiMWUlGHQn9NPaU9kRVs5j1E5Eg4WSxR4ZzAg0G5dC1aV6i9imshRFcXmSWJ5eVRaYsOn6mH0P
0KWYJnrh1uz/3H9OHKXu1sxKOGfT9UN1GkReMjj403PP9J2OcorIiqTwRhjuc1ncbX2NhOSnStEs
WhrIHavuAeAMCDyvW4DrwlIhLxiU1PKtLD1/15qdh8a7X3zk+Ua0h51fbmIV1aZilCwC1pKNWzjx
wH3lBd6pmZIuQvfE1tztp4a2jbGTefFcM1xDYQiPeZ/gYTglIifqdFbZWDaYKKqFSlDhN/g/OopD
7r3no5sec8D/yyGx3YGvkJXt19PUTYbI7a2/5DLRwOWXbyd6iw8ZslytTnE98SjYdtSNGgYsipTn
YEpSBCbOoji4LoqFgdtBXpdDgutTcy6jXL6YO4kcDnpHXnwN+8gcHNpEVfy8cPDEGCTpYL0YQPFR
lhKtXw4VRfHBNaqjOwsh8Puh4tM+HZGo+rrJAWh8bZi+1ZCHkB1vY2a+xdiTglwa7fhYD0V8tPsA
wImC8maTsM8os1uxjjJfeZRzvzvZavkj9RX5sTMz+VH1y0vDAHthbxqmC6KDvP1aDf0vq6zVowm0
5MVOOBWbOfk5Rs3gJSikV/jI3oNo1HPv7GaheRVtIIXXMYS6b+nUsy9fok7RnxQ3yJ6VaC+68M5J
HuWqgn558ct4OLWeEp/7KUHcT+0WelSSNatxwZgNGm8qij4QTdnIce3fctThXmoTu4S5FL8kTomO
tqLVS1HU2qrbabimrnLdQBF/YRpN+w0bK6SLjF5dBxAqX6oWWwQZvt524le+AAXLV2bi6rsey8xr
bvZPQGiadyP/PtqV/WpIdn1I8gDpJFNt3qsRIIVsGekVER20dP32j2eZ9TuQLXU1hriIm5X7pAA+
Q8O27sB7kgv9ej1iDQtf+J8qaJF/G7/UqYYFKjYZT3nnlGv82nIU5qzsKZEM81DFzYDmdps9qTCm
v2H9vhCNEjC2JxAYrzB55bOoMt2K/QW7y7ei2KMmsVecIVqKYhna+nVkl06UxBmbTj7LaL2pMKKP
3jCCS8gMXzuWaMVAiy5dVNjM9EzQPWxWYPGQ9URadl24nXUQLW3tOmtd6QzuO9xORpeRB8GY4KWV
i3YJxyc4iKIVyCYwhaA9iqKJERE+kKp7EsVRGr7bvPMvojS0yZXxOr1qIfget/d2ftBJtzip5XPg
QiP2XeyqurS4AvRZIzvR3nKnfo7CWj4CVuhuqlrzqISoyheRfRIdRD26iJtcKpOLqBKJjspRYEJg
KBsVw9UM99jE9G6iewgd7Zrqt6rKNnZjFxgWlmtkzPOjOVjZMWggy01iwflRkkmqprCRmZWHVei0
iI6bQfXgKxZW4IPxhEJY/C4bhbNGNzPfiSIcHSD1avaS6z2SlFoLlmDqprSDu0DTD1RN2uOuLNcA
xYv4HRR1soWOb21U9j7eTUM7prZkPOp+Yp3zyABgMXWrB/n3AFpyz6tNOTOtU3AjImdPyajE7pII
XgV+95+6uYvIGVL9u2hVZftvx6s1AJjGDB/KfqwuvVQAl85spO9Adem8iX6nsvus9535Ulk9+kCp
mp0SXzNRNi5iEHHd+NoW9k107bX4VAaa81ZWqbyyy9A4x7mDAUtZopaCLuwzdKSfEuJX6zBb2sCG
TnLOQ2X34fdGASBmaHb14OiNd5BMK9oGsS8/oqpSLsTprfFNzp3qZ8O+ETAiPUSHcdB2xGxzVHdz
4+aYaI7zuFsIWyrpIkrKDGVcNKpOOWPqycz9Veuq4aFEnPxvw72PaM7nWngkgJ+R8V/JoyeHK9Hu
g3s8ibOFlk2lWUAnLCx9fy+KZtVRon7Dox3ce3qKejP0yNjKZgd3ez6FYelHE3j5wfINaR0rmYot
VWftDPC+e7xuqpOi6dbGjJLhOuDjsmpruXrmaZSB/tjWB3PnG9o80p/KebK7iClpnxmb26NZZ/pP
OImIReqM89x9PLRJZEFS8cZ1WRTlJVTrcqdrRXcI7NrA3dfNsSVoLPSxAKsy8MHMVHNksdzWfQ+9
/jkKdOm3BNLy/kFJqiAVlxm/hrj77kuS9aaYVYLasTI++iba4ExRvAco1PY2mUTFZcmNj20cGlvC
AfGDDRUIjHNlED9jIDPd0X9nAP6AfCj9Uj18kEEnMcNmEh55tv47QRlZbdonD2uOqv7WNmCW0Smu
npyaNWHTFsoDuI0GeA4OS/CurBXBNdfdqaqGB1VvTZIGcoxbnNIkR5GzrJItQCQQzk2ErAv+Nd8U
q3Oe0th5U4ZQOuut43ANkO8t/bg8iGKjoTyXWmGzV8MWYSqFedm+yYG6ZZXtPHsQ0hdF58vntsjd
56Ac31XDUy+iNE4IcEs1HkRXR7GOgWK4V1HyW29bx3n8Tc9U99kd2UvMjOox1yzr2d32bmK9h7wq
t3Uv11ur7ryPTN2WXWl+5CCysMwpyl3nddkbNnfL1gjsb6wjT5g8ZJfSlRDP9yBvNK2vLO51U0OQ
seOMs+7EZOm3iB0NPEQIr2mB9lvYHRqIqfmW1zzPHSqt1FaF2RibDkvBSzMl3BjDqsIbeSWKooEN
2+xSjbhtYVl9BOzEJ3tNAboBw9EFsbvsok2JiRTv0Za0c2oV4zeiAG9NHgwfQzABPWr4HOhAIbkX
q2/h2A0ffRkYy36qD6b6/+5vI7k093dtl/MAT1tWno3g2z/nn+v/1/n/u7/4XLXoYG47+lpPjXDZ
sWC/5d1Q3lRLV7fmVIdcRnkTDSmL33ud6IJQZHXLp7ovx/LmRM5KcrahyjtRJMbEtnSKSt5wZyR/
62Tso51U38zdRGMfOs6iLOEbePmDlNQGhEk4X71Sdt7a4llftejYrJJeyR5E0uv8X1n7oi6Uqlir
fiSfvAIiHoOUKKDQLp/qKRFFU5Mg3d/LSbFqWa6h9fhPq6ifi+IIUYe23TENALTNVfczzeWYQW/s
7Yecy/W9xf4DRTLnPYLPxE2Vp3vHhUuq9ta3wWyd7xoCdEQLne7BsG0MRyP0VrJYDth9hU0M8Xhf
5dJGU53xFUWGbttwViF4+gItay8+w0+A87VFbZxxwnYubqOw0TWdG/OKB5Wr9gxuxMB1QNM2alX3
B7X00eyeDHeEo87dXMfwM8i5LL5Eg0hatLrXNiArmOittddjPUdcp3ZviRVJNwSim5W6c7ARi8YR
TRcN7RhEyC19wRQEXkzYl1upSNotiz9k8bU/hV5/IDHSvQYhTvBRU7cPQdUqOzmsk73bx/rF91Q8
MaR8fIn9+A+gw+QPB/vYwR8kXUcdC+vfG34yW61vvEuRVdUtmxJNZnroZ8glTh00daIiVUA2jDq/
KDG8eCST5XXnZM1F9BfdMHhaYxo5YICGOE00ebIDmcdLto1uHmId+KpV8RXRIQwiDIzRtEbuN/ig
lRfDa6JtAbXmHCWQKrReH0+WDbIYdrx5tJIu2GdIGR8dPTD2hD2ygzOM3SEp+n4vyUF+TLQMYx+3
DU5R5SLx1Fn2KcoHvF5LgiRBE7mbsK5lHBjkcmM7WQ/RFdFlBKDaK/sT+ToOrebmovaEbjDYQUYc
0EBF2z6ODVY/mDv3T4GBPHKjL9rGJyjlZfJzxR700u9l7aW3bbS80T19xXumXRTB0J9dfKiQoE7j
VTH4AUpY6MfxboLw4cbjj6iy1y5+ZG/sXlfo2gQT134MHsGS/glMefwhRdoPAr/Qyw2PQLlnq5uk
5uXsdvq2nc5gh/h3gAPLsXjoWVCZAyKdQEx+ZOAS1Ub/7oA1YAmYdEe0UftriZH6pMY/IrpWnh1j
aJBC5glgZZTvkkpBSAbxvv4SotbCpLzfpboUPLmSY10sBTatMIL39RbKneF2uzbuhjfdZO2kKN6T
nfGkKEOaIRsg928BAMC1l3ftThylhtG+1DrlkFpKtyKWmB1gBIUsVSdksOFgyOHWi3uVPiCIKLqI
3KdKc2oRlV9b5u59IvQJ+YD5PKKuKGx4aGzgLRMcAy9GXmPlWEvNS4OB5aF35QT5Ci5Jgt42ccsO
psdURNHOWQ91hs/lVFT1AdKSbmR7UXTjUlnATgwXmDxAkjMtFgVToqY+fk+5PuTH3okKHCzIiWTu
I3KiDqdxelcqEKUuBY31fzhuRDAqh6D+X+cWxU8fbeEjsGcmtPhUNx8iPr8P8vGQxG/V4PtPjLnu
IgstY6+6cCvaVHuUHcvdap0vLceUv9lysvBqFtlOlMRBuuY81k3inA1D2iFdNF6cpoJSWKf1a9tb
xULrLO977UlPEIqcX7qibFKb4QAd8KWnpGpAB0R5myT8QzDjAXWQ8EcRlCGvnap+m+zul5HR5Gfi
3EcZEfczRIHinCqFv0HOdFxEulyc5wbRygTrbz8dS56stpZy8wJEBufm6QziENFxLrZmby2srmTP
8j8f8uXUUh/BF1LdlxiMKoKZ04fMJxDFuJN3bH6Fh5XdSdap6T0MiLAOxfFFan0oJKp11VFyvMbm
NPoqGQgD3bfvdTB9sVSK7Z1FqOBsyRiXhDJS//fiVIdTd3cOpkTUAcFU1viisQsytc4Nop+oK0o5
2egdrgCiWJtaug6QhVk14UB4vyh/BBAXnEwu3xVvgP7W5sOLlbNoL4fKfUzHtF0BFWtvahOihmn1
yYOtIaoSIuJ2Hoy222WgalFwDMDsY1u1N2IHTZBpFO8sObiksVxsEta6VxmtXSIGRK9jo5QIrGfJ
M9/OXxLztl8jEwUUY9T1DzxF39wqNn/mhnuQCWR6KOHAa4rKiKn0c5bXJvJ9BBnY0Gj+9INzctM0
+6lV4XdJJ0rNaAmAHtSQYbS4YelILRhIeiZj0j27ZVehac4CQrT2lp8f/QQqoGhNsfA8ue1YLURr
GPsJnpdoyonWoTbjSynpH9F0JnY80oe4LB5FW6jbxJwQWmJOHjzktSxdQpyEyHvGGDyInEjkxHsf
VbnYz1Uihxuqvwrx8bkfNbfKVmJtQzaiFqLOqnzkJu0K3inioMu53/w5cpecKz0zD+6o0ncMcaWC
ifTYR07OFpHL5okSK0fHbpSjDI8KznqgbOMRqRjRIJLeRjVoKU19Skkais18jOJKP/MxR9nuP6f5
1MWwQjhk4uTz2VpsOpatNeSr+3lFsxuHfMSnnqMpSUvssPSVZjoQwabTS10JRRAG66cDRcP9I8UX
9BPZ3Ti6/nKv08Q3mD98cCJuQddq5H3l16t//U1z77/nVX4lHroN9+8wXQWR+/Rlpy93/06i5f6h
TZ48hAi7QhXfGrUtH7Opm+jg6iVhHpEVLSIZxOUXWd1ukG7ofjjsCJ2lptsw28BOra/OVRQUyxID
Cy+AauZV6XcjqwY09MA0tvLe9N1xaznNb2C5wypGWFEOfrZqhHWkbuJH4aAP5nTN3o/rX2XiOhvm
TEcbCdOgUIOVYg6TlK3z05SwyA6bhVQykCM0qyOHbzvEGCvcrewyemGduYOE96xXrbNoeezQ9Rie
SrcAXNw8K17PyaD5oYgdXVq5Olkh/MsC1BMBnXVMdCvT1e9+1p0kdj2HDEvEAQmGfNrwyyQ2HSL4
vjt4xCxTnegYSMqtrCPpKocseXP8jK6Fe9SZi2AvN1V1fQtNKo7O9zoFE5fFmHXJfj7KI5K3Skok
l/BNla6iAQ7a93qEcVXULVTO8bEqHqtY764dE6HaKtFCT1mSdyOQEcTLQr6I9yzlmKzgkIPtQdFY
KDvU/aKHaqo74A2N+NIqPQ5gUzLE7q3s4PEn2dHyOgPUP0lGtHgJx6zfqBlaY6IuRYFhO+KyRsD0
n7pmZCKBpKm6LXDRy2zDfUimBDkKJ7eKa20i1xTX6OL0zGGu45QEsZbv7MEaFqLICKJdQ9QoIAxV
96q5vjL118CotYOosqVCRZesH7ELrbK1qBOJproq20RoNoounxpQzNOG6v7BotpQM/Z3hyzdiw8W
da7fLUyn1lb1ULJjPX1J0RhEcno0TAQIpyqDsPrFsqRV5/nhLcvXGYTga60owY098z99ULj7TtHO
CJHHpx6zqqtI7BGtf2StjM1cFw9tiokbyvyRLIUSlEZXw/O6OURGZFwJ9hv3Y5vAXI+Zi/uRX1e4
aNks2twYj6HRyO3tvYxDUrEps1hfgvOl3c8N9ThNnsPKfhgdZgftWLBXVDT61XEi6cEIjt5U0ILw
b9Ib5XtD1PIw6PG0LITvg/sfwIy5Xx+hchSPDL3iRJacmXhXBFcM75pLng2r+x015oEH1rheoIpc
PWRl4t10gmQ3Ncwec9frj6KbSJiSqQtsgfKdKIq+CirrK6MAOS6OEnUwKmIoCdGZNVy/dGTPucap
5lzR5R4PmtZ8eG6JSshUr1pJi5NUuHBDG+a/6IYC5p6de/8sejDzu8qBoh2DkfsvG4J6J3mOeYUs
al1xECvWim/jZdCP1lU0KDXinnLO5owoigYEU/RLETNhxHlDQjnWr9lK1rRlGzD+Rq1xmvv6xE4x
M6usbawW4cYeQEwgZ+nfctgQK+xZorVmoYy2tOrC3WiOhnI4+i03pJ6Dm15XcEO1iPhBTzzU1mJM
hSYvE5Ewdxlxy8LNUx17Zhu5hx2ehFmIOyn1uQgP/81NRfT1XtMaLz+8NRzwd5O1ios59EHksGtO
2L8+1BNLqJkgjCInkk4AJaeERS3ASVGJdG2zdVR2vPsQwZdsePLvwKsJ5y0z7S7fZHUkzFKzip2I
D3PCHBmqgygngvXQ6smrPhGPmolJU05fAW8imEem4B8ZBcJuqEESFEB39yAStaj7EYOjctLf+E9W
jZ2fQaSigVGlyD6K5rYdYYiKbIjsDJL/Ucg2B8L5bNqhsne/YvaABUmEzkhom2whiqt4b0bs5ThF
ZbZon2B3AMMM+oK+lgZNgmLX/B4a/ZeLWkScFdse+6+VoTx6+DoesqZ9s7isxwA7sE2t6B/+oDvr
fkLVRpwmc46MOMla/N75aouc+AfYw/LXuse1knBJO8qNuiojT9/VGLUdTC3L9yaLhKgIy4UkN9tO
N59jfrVh9DD0IXXI/MPcAkrJnNxGkH6UjFVYQmKeSGnphLi2pj9L5BJEG9YFsiC8d1vlUKFs4RUm
G11ajhJfFPenTxcGijLXzXQqJBQtZSlJiUu8n4Bb4Rs/9cSX1ppxyrqyP1S+2d0TTQ/6g6tOVy4Z
PhJFLQ5QfouDkxaIjotsajutshZZYb0qciKJLLcA7eSghjFh57PJjiXXCgg6TDr+9cbKHSvdBwlC
ABNHdPqZIhE/eC42iYayjIJvpjtxmMYJoyguRyY4pyJbjwS80sQaVvM/I+7TuShyjtJhbwWBl8E7
QyeQRJtgf3NiNLq/bXTjGE3Ye3EfiCSYih1bHJsxqE6iKncNzB08m9mIsDVohaOBKbX8v22WfYuV
qsR9VEvhgE2ssXvWatRuHyHyBUmeazrpQxQ6NgYiEcUwQIVYCaQ/JVPK7ogxZL0YK6vFFUUK+6Nl
ZysNm64664eFl2Ct6+NPvZLtglWMKrtbYj+/nLh/UvJJWJf5CL6xGYZzUOkHts7XatLCG43OSVb4
CzTK2Cgdc/9kgoU5e26zZL+9WnRDckkUXhGpUxgrB5XVo1zUS4aMnC10Iot50eyRG5iWtqN8g32v
7sYOByHTxpPWeq3LOt3obMKAYm9avFgqbxPUGFHq6UJqE/ZHgAmueOEyaIQPuqqYy0EZpLUr1djC
tOoG7X/k6cZnTY/3aZ4Tv8OSKKj096Ir8Cwc4g3yS8HagOiX1c3J90p5wcsRZrKfZasKQobfnBB+
BU8SsqUryWy9eiFBFbhUS0TZgk1XTB7RtQYKlxAFm9PLMVc7/I3tapUjUVHZxBrb/k9lcWHs1sEq
hePH1jl5QxQuAwy23DSU0TXFojRQCFe3MsK3Wog6PqaZRfsndGFkyyCplv1o2FsXrRspr3e16nMR
0KELdJMrrftwxatOBxfTvTj2FLrECJL5WPXL4tU9jS2KgnaMZe7TaKtJA0RgCbx/00lbZhTjkv3H
DybP/toe4O/nkhmhTQRMxx6Ze+pwc2zk0YBv8sO91Bl2kX3rkUDaseMpnwDT4p5h48Agp/zROSxd
OPONh2Cw7dkyXluNjuYUrCdf+lO7eMuU/Xm6g9TQrM+xP/42aFymFS/KgkW2ZLmXTG1+FgnqSCqP
6FLpWsyaho79Rt/CMUcO9RUB0VMWVTjgmvDEYHCvYsIJmg4pfIzkeGnWk6QIWsuLXq1fXd4XK1Re
F/gy4w+asIVj81lm4QRoQoztElTOgKKXcW4KaZN4lXsbUFwfC/tHHuOq58ne96GVNrXNQrBT2tU0
AWxNzT+CldsYjv9LQod1kfV4Eyv9+OYUBCwIQCrSbwuLRHSNtGCvKUTynFC+obhgL7UhXrl++zQo
9gYjXOAjPlAsSZfZbWWFJEU/o0JpNmPRN6vBj/ONZL/4UpoujDBx12WcEp9p041hStlp9DlhVxMZ
DBTlwevDGmnKYd/I31n5+0tnsNp1Uz5WEVatJX5dxPPXppO/K3WLPAsCSbaG6XHdvoDI1RA7Cv0l
Lp7JgtmgshzRX104GKYu6qFPFqHl7wxdkhctkl1mqL8gJFbogCSR+YqZHxXyKg1xX7FRDJWVZqdo
nkHb8Oo57XfXK0pEnbJf4fg2qhHia7H/E3BusqrUZywUn1vwkuy6oJbaHR0kU6e9jbpv7BWxtn5o
LEJmgIBNV/1D+AYJE/M97IxL1rNpHzsnXaVbonRnTWb2z5gerltch+u8Orljg4FsOmyx5zVxl039
3fAD52zi1U9R2nwoDYbycj1c9ZCZfzNOcr0ZgUCs0dno0xmhU0QmGzDDCBt63BPLMmsQBAu/t1yk
RZljCixp0j7vmWT5ulIs6y3XXl7FFgF/LAWOWr4pE8O94W1Yr9naCZd9YT2bfbLS0oaBQEKGNo7f
8LiPV4rDhndV1sGiqpJX8KKQHGvW0H0U4JcEetMsMRKefGJBRvfrSopfEPO/IZ1mL6rX1kSBrggi
ePfd3g7UX5kU/UoC9WdVaJgFlijzy6yhiHBv064ZNnbCZkGggGW3Y3BE/uC9KURB+wSxv27IHuWw
uBRToCodpo3Y31plYb3Q8YV9oLJVqy/QvSvXvWROdOf8ofXDRZCZREsmoG7h9ftM4aWQgBEyEe9D
64VR0/SWobIvk+DBAoixyOPskkTZn0Sz9kVhfq8CFl69fvXtOFnpcrwDqEI8yK3xa+lcePV2d6hx
M/OQql4VINDXjRaiyNO10cqUcKNXpXpYSEbar1xN+mmjbOS7LUD0QFvrmEqptWVuh758wuaNbehE
3xIF2BojkUw/fU57eaPj6r2xfRP8MJiVwOA2k7I3R87CQ7v0fHvSEPvWaj5q4/HLMNbxCv2ZJ78c
f2a9+apmw601l2piFhvT688j0pyRifJchf+kYprnDBlrO6vQGcxUdtT0ah+5LjBtc9sF0soO8Lp/
H4L8w/HiJzNvTr0JplHuXvw63lVgcKKeeyKsqw2SbEjTtCcf4UAAbQijlbGxinJW4FK50kqeT1Tl
jXhXVFlHEHdAMw59aEQD8K7wjI+h7j/wpk4WViw9VzZCNnWgvldJ9LNDTk8r+nf4Zb+B7YKL1bZj
G+wbPXkaoJEvYzn7ljeIlwfoMLURiGqux6OOidg2YxsAzJ9G7Kgat2xAIqZW7b2mueFphIegTXy8
q63flV4hTcEbFo9trN5THclfBJQXkt5heSmnyDbFJ7VObxHSPAtl7Iy17jjb3nT270mFQB9qQ/us
N2r09iPA8gPwCB8fTdzYj5hiZBd4w0D4LGTTVZ7I3CWyQ1S4Nn7KSX2K5O6t4Uux9HsNAGGg9Bm/
OKV0ZOR7BFyWL5rG4tJ7FwVn+sxQt3XY7frM3VS7qks3FZeFQYKVP3uH/YK9vYD5f4cUsJVfAqJU
uxo/NbnCWKx3TlGG1mejReynpJsu4Ont/h9d57XcqrKt4SeiitCkW6FoSZZzuqHsaZscmtTA058P
zb3XqtpV58ZlIYRsCZox/vEHL/zJcyKUM/hp5di8On13Mv3urvfygDyH+7qLPuyCvhEJGdENKn93
0dTjT1oNAaMZUh4E0Z8z5wYTAWzjS8qGxlBUNOPGs3QIxv1O0GccfLrlqrglerShDkh0sCoul/7V
6QCV59wbV/jwXPJ0bFfSxRFQFxCOrCJ6qpz8p+7GZlV0uVpLvycxEtFhE+uHQfcfXIsicopxzi6j
4Wi1VNl1H370Hdfd3JtbBzNvtx3OFugdzinZGos7R8uZhsoQK1G4U1juvuJBCNEpAkKzwA6bweJD
dvkYiTyZWdCNYt2bro/g3/NWQ6qKdfHYFnhEDZmmb00Lz4a2SR4IgO9CvO25wVFJ3vvf+tj3JwMj
Mroxe++F3ZMmJmw3/f5DdDiNT1oC76X/aFp/Gw1YirYJGcV+5q9zIIKGAUcOMX5d6hoXD0WYFGkg
IxCBXtcLEOtsX8yDdyBk8tVNMO/hDt4P9bfRURtPisuzwl8nTU5Cq0iYU3goppwuMnkwWH7WqJNg
NZHfMyfyFCXVLyGj8UoYPWMl6zlsPYJKyi8D5zpvblBJGCSChYlHPmd57iN5dCgWo668HXyGhuSL
YHV1RkD0Qq394jG0COxoyYowxz+TTQeQecN46/ncapxpnXn9kjDI3dwhQCpt8VGVr5kpuTpU4DSz
frGHYqQYz7OV8KjBnBzeRpT8DuDZ3dGuFocse8TvbVTPdqU2hmmPFFaEZiQu3g5Of6epsT4kWnZn
RRTkZNKWpl3uLJApKWdFQRsPO0TaVusUawChZyeOvvC3wjs1g7MXG5IrgJNG+wX0+0yq7BA61kgy
cMe08raosTHD4l6scti2+9mOmnWLI6av0iCd7XPT+3BT+x9buyFq+ZQQzFoCQmP4CPcuqzdIGe/S
QYitXsp3TBZu+nLG8blaLJo/pCC4evQNxPpV/FwLl0oIDpQHSLCSekTdWSXYTEJBL70dpCWbaEhX
BamDuMeZUIXYn2mPBeSgJjLbHXMrrOnJ1J2TTLkCYz7hTBAqwVTyx3bDYZ13OA4Xm9hwdokzfszj
DcyZ5xxG6opcELkpDD4nosRvUWJAG5np1x20St20QPD2q4Yz38JtC3APeTPbo2ZsHQKPVr6tPYpK
bAcMbpdFqlrhg4oUaoJAvVvc5Uj/yFjYNOuIdeD7EFtfpqNN29AcMEtGQoqjIe1pnmNvR0Vo+5z9
lYZ2gMKE2MQY/Qo1fpfEeCRl1q/ldOXKGYH7bVyTWDeBEG3sBU39PvF0E1c5d52RcrrSfM4S1zY/
AVx+yFCuj0PG1NpkcD8RVZSZxgOGfcUaqgwCSstY61llLy/YJGDEa9NksO9lO2HjS2uM4941Bo86
IK0DrOZa3FO6t9SQ2FF3Ry3hbKsasWrz+jnNS+RIzg3GmOu5on5WnU+qLyDFysnjnSJxHNfO+daB
wl6L78nw/9TFnK4hstWcpv29W6p3t1V/cBLdz9MUOKbxUY2JjVuywqIX8UU4Njb+JKoMmIPotXgc
Mve+bz1kGWlxHryeAYrUGWT776ndkWhfWE9h99ALHatuPERJECNxR3fD9RiX59wWJ2E4XLpRR54T
c4xGdy81XcdQlWodJ/odgSPP5kAqpt+X2yieHuLQHuACuvcMVAhwSUM8m+c3z3/wHA2SiLl48RXd
GHRdSoFNgYl9XbROzWo94WJLzPlqaHrmDfFOq8tzmT9jm+cz7Az3nJNBU8fWZkwNOrHBYFczKTea
6ViBd9NGGHYC+sFdIBvc7+GclO5GSf1Ny3NGLb25C0c898aQMLwcGzTp9kE0dH9iCfXetg7UF22Z
U2Aod2VTVdJ9qYueHaikbVyHc1KqEj8wqsHhbchDyH0tCOHmltIyAs9Lvyc3fouZU05TXwTagDdg
6pvTwZ1eK5Hkm9Dc5YKBdIkOFQ1qtHHIgalE/5aV0YJQ0/mHKd+a7zQBNwRmJY0B0kpenbZLEZFO
TvY8jty9bVK9t7Wi5BicjjFhy3g4JiTad308lL/rkIyMLK5vuyjeWgSJbP1pPNaZ+ZVrCHbjFOf3
xW9Idn9gJD0zEK+2GhyVleSK3/iaS2/ocykp1d6W09bHBXiagNvhc8l1mEW4s1XIAiVKhJypVtqi
/ctDsJAk+a7C/KS7GqbmaU2yUGgzekrafYzBxgrSkrtqKvNbWdhO5c+G45a7qDI+XEPbu/MIfuLD
5rHq76rC6hS/7m/8Zj6pqNVWmvHtjOUwzr5ZFpAGiwvBfGliIlzvRu6mXIoIDstPKDFQv4df8i1v
Q5+I5YQ1yiDovBjcF98Yj1ODGQk+c2TJW81laMRnyZeFJcp9kvnmTlsil+N6OuW2jut7UvbbJKFP
06n961q9cI1CA4FUvyyHzqaJph2vYwreRxjfxgdihZ4zw9TWJGDtXhCShislQ9hD3/74Kj3rFWz7
yS16qk2IqfYM44zoaqQTxzzzaVNZokKLgpdrE5ItWK9soNe86475IQ24VAWcCQDbh4oPb1Uq617L
MyBDYb0NzC2NSA1r0n8WPxU/OsW2eIpmZ2/kFOgiIpSP1YkKAKc9eljPxLtV9hZEY5yEAazu/Di6
r39YeEMmPwpl5RgP97mgU3Ma9DSpIhZF6G9xQ1DDZFbkQaknDEjzLRyuu9QdTowVEPpp+a3Io25N
E3hSi3PrZD0an1Hpfbp9+9LqnJiZ/UL2xaPplGsRkVNIBDAu4ATJTjdtw9WCrAuG+L619Le+s780
dwBXhunWWmTXpTpgTMr9350TC8XEcJD9bSbxAWcBgAa3mDcb7+HSvHpadJpxKsRS+5SZzgxw1/6p
5biVrvaSE0m8cmNLBaqi8NZt2AwhZwtVTF9WPlJxoa9skd9UYfdVCiQUcT9jSgn9qekf3VwcrcJp
A1PrqalK6Pc6BtVjqmlrseTz9r6xQQpOFH1a/YmLeI9xxU2TxFs9s79jrwGnapgCkqRKlGKyM6f6
NnMIFG1kfqgHIlN7vd7ACv/MjBa6qElCt51s0ozBc9rBfwtLjIPtDX/CsY8vblJCElanUjPwd3KM
eIXoMVTWQ9ghoQjD37nUnkyihEanip+07APPxNKezUCLdNhYyryd8B5bW53xx+27g+knj5Viso4C
8LsLlw87zj8mY3jNSnTVpC3gflXxPyfqdsrUuUqh54XRJyXEJ8Gq8cqthq1dTx99vejydG7kWuHD
CJwrvMdN2HbU5gtSOe6Y4sVrawKa1ROTAHgTNCH+8G0SKbK2PBU5cUqV/VB4SjBB197nSJ10iYW0
X55NlnDheruuqrygUJjcld0mUclbkjci+JV2/ce28q+wruFamtV9gVtj5xYsLk5D2pLdYY93nEu1
CcmPh+WEVtuoj+iMHk1tgJyO8heVxX5S2BLGZIOmqQ6o15cDZyOc81lYa52ZKh5cEVqQUgV60M1j
SlJikm3nyD2ioPx0hPzI5/ky4PPFWM05c4W8OhlubVq/9ssKDqYX7cwmDVzVQzjWSItK51vESze4
1s47aVsbG3sD7j8GeZR54JlcXcOsD3syHXDRhwY+ej0m6/xTteU/jC7gjQuesrKo6DiLy7OVv/Qi
WxOgetfE3Vs8MAJfTsF5ImIKYom+jRxOFPQTt3Me7kDE30K3uwW5vYQY5dMloEPLpbEhheiYi+Kx
i833YnQEjV5MWYueyvNxeRIdN8YyebxSBSIdUAbwuN7TjT0Sqv1Wd+kfut8nVKDdAdt8MpXncI3u
5c2uT00dvlMewMeIKVFCgPqTxiCnMQhb6Sc723iFuYdlBKyXThYlg4zIh9ROlVtrt/Sar2MBtjv3
7pa87HJd2Y6ipx/9bTFjRTOLPNuXzbmsNAYEHGDjZdof+t7VhBZCJKG3H2cN3WSBZSUhWdHoRTdD
omgacU5gtq8FdWoTWzzZu6ktjBstZ4IlUSIwiXBp1LxYR55h7KbJlwfkccmqmchgGg2reNCmFtN4
N2t314d/t2FDn3Jdtnm4dpFwYMRfm9yrOsLG3aIiy2BJfxrfPJFgxk2AheOOUyD96VC5SNIROX04
4MiGgH/qWr225//ZzgaFai9CkD5M7GltXua8aXcDFXqjuIcNDQBk0j2SL/zZd/mi7OLuM2vqIIzB
37nhr0tmZzDlxic8Mu41LXS3VBcROcf5u9ZjqFpZlPaOMn7C0uOiocIuwvDLSkUfABF5a2wDhG9h
4qyX/E8Oy5InbxK1lGyxdoxdOHyh+yf2zT9DC317YhEO+/CAEzMG6SBWnW+++hmm3/a2nrSzXN4u
WSYwlgN9SuF873sv+Odhe1iSLDGXwTClp1l3Hor6UqdiWKW5eiwjps+55x2aWgBpupfMRE3uet/N
aGPiH8m7yc7v02V04GsFsOHYHIUeqaBtLK4InxR4VGU35GOUaxnJkRl+t6a4VlzW1qEcBIE6Nt3b
3opigdkEzA7dwZHAcGs8UTPLxaExajapXV+adHgbiyVocUyHXWgVvyqZ23OH00YEvK3bdMpW5HOD
nSzmA5a18WP9LZncsx/9mq3FTLYhD82j4awTr2R5TB8L9RJaCe5CHj1aHFnRCon1auzwchirMfD8
lN7ZtdWKmeouTXTjNfNZrfGOpbsFYhkL8qGM5Ch60BdnELf02E+OXry2hZdvtEYkEC2iNzxGkLB7
5g41kx5A9GAZXEiHLrFDIIeAVH2wwJ6bwUSsbvIdm8u0ddYIhrSzbEeQKa8yjxazsK3uOZ8zSv5C
AVWGA8MVLFSQuDNxV91ID6eRu+SVuRdkjmOgaBqejBxDQN3C8mWoamhVAFZ2/Z2lEu+XUu3zCZzZ
yG3/YIpDV3T9aooYTLUz4JPrZp89IB93m0pblZAe2ryKD1E6LAW0+W4jcVmBVkbYnYzNnV4UDFZM
+6taRk/hhwRhCYxMo3btTi2YJTTZ5iZCGthTjNyHDmdlWQF29jq6k+F2QF8XwFGpN35p45I+MfZw
lsSaXoL4JXOvmJdxwuCMkO2aGJcKyrvV2GT9vSQzfd0Sb7QY8h/B5c+RLYO8B7cZcdQwFLAmtVR9
SAeJ4wd3hFiKMJB9op87pW8LasrV5KKcTmYSy4V+8Wth7YTeyy0OkYdZpu7KycpNbBLYMkfcHKJI
tEcF3p55ENzTbHxxSkimevfM1Izvv5yh/oDIhkmb3uQVsDp9Kz61qUP0yrDFiwEXCVkmp85lfiob
QPvaGjVEsfhB5n6xmTuLm7Fq37Do2ZT2Un9WSOPm4WBnrKR5Ur2UzmztXbOCzSyq6Ua0y0yogU5D
/AYcPjdrqGtz8sTRbmxEzGmhKYEAuwUI5EKjzXLslyJvisA1yjDAcqWEy4nqtU4DIttKDKCWS/KS
j7xFNnEJW3ljB0KIJU9BnmyRvnYOn21odM4+TTIITFz2yHxeGof/WNq8JXoikJjIYVljJON4w6vt
2xCLs+KE1ed4jKp7HQiFM6pchXwrmzhrsftuG9o93tuopy1BIwNTZ6osl1nPxvHqKkijYS9o3IkX
LohY7UW5Y1hs4RGz9YdzFRPeglb2U3dE91CY4WZIp1dLoboc3OG5DdF6QgNqdiVBNCzR3WVMZnbS
fgUpQcA60VdtOf3a9fqbiBkqwKFvYowSTcDmTv2NfzMf0ZTeDXqvET7toYAZPGI3SoQJsoZPa4LQ
mYSN9CRslpzJdojdGhcSqv/6LKaO5WYszQNGJdVMWWFzzona+B4j+1M3f4dx/sZ6hnALjMJteTe3
jo4zTggOHX5ivsWrhels9RwFBSND3GtaRCbgHpoabhUzZocUnzQeNm2svfuN8Da90RC4lmTVmcmf
u8lnj3Q8wUyHsVegG1Q69DmIe6lY6Wt3GPuIAE+MbM1t+5Ba4XTjhDqzDVofUULJcaNq3Gp4wcND
fuy0XN823h0eFxSG+vQyjMZ+bnVQ4bF57gYmIo7qAjMq22BUvkGhmM/89dE5brv33GFEZv2aQ3Ln
0e3TBHNXHIYRqhHtQD8ygI59jZp936Abv0TkkWgVYdaEO61Vq3031fBuReR65eE56+FWiv5beQD6
dQoED7vyqQMUIO/Nx/e3dAA/rOchpD1McW/YIND51Bb1WuxOx9EluqBI03tN1Ljn2xOn3FxXqwoq
ytoY6PncxRO/rcsf3VJf3aBTsThqb7D27BbTbVXlX3A3SK/E/ZR5L52x6TYP/EcpZ1WcAr/Y+S7G
Ahey4TrT0n2hE+jchNadbP30pmo5ty25jviQV1PtQw9kCG5I397EnVK3tbexYM+uvVGQttF/TlN1
4Q6bUgVbK1Ejn2uqEh5IvZ3SRbDb0XcQ2gZBfq6/U0RWtArpo6n7YRBLoNe4shN+AzjJo6q/lA7K
XO0PWLv60KI901cdaydxO7SM2eax/OO6izeLoDVqWoh1A9+Koc+7yJ/bS7L8sEHfCpi0N9dNTi6J
MgJ5qDOH/7ZdImjCcV9Af4STa7KWEqzuaT4u/s0wrWvJOhzWxlPaJynngf7aYi+xNkzTDSJr7zmO
vRaz/xolsUDlBqZdtYXaNCGNTKHQQaSrZqzkQY7t0+DW885MrWQzNPntCGWM2THTOavJ5Y6Lh2Bj
r8/wER6Z1TKJo4RjjUWlj00F6PDGatr+dqi9h7zkAy3nfFXURnPb+V1NhvfW46bv1XiydIw3cB27
NOEEyA/M2MXjl+oNXMRdxvJpb7xYDszCuv2oJU4uKLoohYqN37iXgonYup5FG1C0bkKkgwMjVjxz
lqAN9ZM20zp0ho74wpus6cctxt8wF8Nbf47OkUOvQlu2zcw6DpSWgccY6sYgf4AiZ/xhycU8yvXu
DKu5l30GDONEL/nE/FNwX4pwkG606XckPzgNLeM2sa1h3ZVFtNVykhGk4f26NhzNonsZuyFcCWyQ
A3fSA7edWJ+t+VuM3r6xiMlOf12HE3Qu8j9yRFurux21n0aIUTlFR2XVz00GmaLj5DLbJ3QcR7+B
4ROF8SZMGlw8enPl+uLPojihEMedpPVNKwhN92TCvM6Zv2yGyDn4UH5uECo+G0vMeFRrTNsrPgBX
fLc5Ykt0RBXg63YMPUxt0vzJd5hTmy4ZRXiB3DjVdBkspge2CN/jOxgorCpBqOZNb0LdH5rz1Gf5
DlrGYRrCC3EhSF/AIjJjhKrjcsxoml6L0v5p5vEsRH+hSsW2OD5mIXtwdmoQgtptJnrO7qU6Y45y
cdJYUM62BciJtZd2dzBGctCL8VGbZuPcwwUy4QFvq2RfNJS4nW/9mJnVr0qnfdWqbgbnyrgZ8LmZ
KDMlpKfGi48dszQwt09TdN3JICw2jb1pq3Wdv27nKvBFzNmS3Oc4MwQRa33V7LBVOsCZ5Fae6Sb6
/vojd4gTC0eLxGntJ7L7z0xkX10Tz5z95k5JvheREF5I3vrWmduPyAKETNNFTp8yQbPIeDIrLwoE
FmUgDExsbT7moRm2EJ9YYW/SLn3m+39wv5q68dcReAEwLaB/6+srTdFW2dHP2I4Pren+1Hn36k3t
I1OIMDBTDZ98l+AsH0cpGdIOCGNh7zBH1UgNdgSUbCIPvFVfzJKWX2fq7IbWEaO0LyNUXiBLeGLL
NKvskOfTqeVrYncOw+hg/nAzWdPO5Qoqo2pXsHCHjvZm9ckv5mYlyLMcd5UOrQ35e9z8lG77Ss4U
aHRZXaTYGiF3TtZ03JX9fSEG3I/LLzPz4KaPm95LoNTpoiaXAd1pvcTPaBMEu9D4ds0fBpreJp79
8wglbV0aWCNAvU6kDqfXj29GezZWaRKf60ojtdIqTg5qtayUxa6bbH0Dbc6mulBBXzo7Q40RbmO1
JIJFPpgcGIc1Lv9M3DQ0pRGKTtIdY4TXvuxY4XdTnf7ElVxMp7qDVWr836RyCgcUh/KWJmzJQJvU
izHH/hFkIxhbssc9OzE2o1s+xXVzZ/UEQWBTzZ+RrFUB19UDLUfvbZ+djFZIMi4PkkknuMrKTnjq
3UP/xvRvrJlYjQwxRsKdYE7tZKfVG1Vfulk3jmUxbFWpRWuZUZTV7b4qDepWMOGkTPj2xnLjxfM5
KViAwliWG73ubiKP4PZIJ3YBxpHha+3GzzXkysNbPjabZmgpAbroTjMo+lVZfUcM9GRKGKUfacla
m8xPp5MXoXf7ws+nTWdQ7+Zd5oAHWYiFchxZQnXXRdZXLY6RxapJTqDLOOzXh+NQCRuZ++D/kJHy
CfglpPfCBGU3EgOHpuVo0ZTGEWXEGJkXBCuXWOmXRPWwPYxDHeXF1gAecArnbjT9hcpDOVpLghQn
uK51Y762Y/IEw5JyFB8quxsQapTObTlbj6GVPgjWlK3n9rusmXd+bdyE3MkRiwZ9xYCMaMpNmoJG
ktiZJs3KlKO1hkbJIy+i2KnhxbQFqDla7qSKd9NgbN2uoyoBbPTJLFjVWn4SY/MdpsN31jKrSOeV
IR9y2fdcNEj+wurNjJ3vZLR/+qHCr99cW3pe7zC/Z142Yawg6dqd+AtIloF9XTaAZ9rFquan2HZf
Unfc66Z1kDGlqtaZJ+x3kHsIODo9N0S79frV6dcQ2kbqNTcMrCEGX2xtyR1WV19NiW1g9iUsQQ5b
dgDUvXdckLi8q17n0F830yx2cWc8++SwSum/x/3CiE/ik6YgUkC0IwWiGE92Qe5pZQJwF96zjotb
H1YXDI8GmFfDoxzAYroIMWzlOmeEYwTahfVDgZBh5c/Tqez9dTLbpCixCxOTk4VPCmNWb2t7zYNl
F59NS1aZprt47UNI04cnXwAvWz6yAtt7VJ1BwWavWXKZQOORAA1XPGcEdCI3wV7MtprPUu/XGixV
SWromJgXx3DJDMU3MAVz7+twv9zymAu8zmVmr0Rcok1H6hNK+15a7a3djF7ArJG2m9C6lSatu7x3
2k0Jp0d5MB/H7mj2TIMjximN9gcnB6IewVZXqsFBEl6q6fLVKubleW7Ql7oHIHjWxsSoua/Nu97o
XwodCAxXpEWRvtMQdre+Q1FCoahQqyxjQPykEmwn9GgCHKD6DdsP6RnbvhGn3nXxQ6lJhsxYszG0
cCsAzb47q1p0Z6NK+jMAxMxYT2l76CNq1Wr1eChaUT+kQsseaKuX368bqhb9Iz5F3DadEC/IMI6M
oLH1dvefp9lRG4cNsYbyct0EHYA5hC3e/z1IqqKUddwbN/bc1g/gMPIButhjrWPecd1kEe96K319
/3eHZa+cANMtf228/vdAAOmo9JWpHa77QbYe70dJfP1y1OsPtCX7GEElY2v+suu21mm7AIadjY3L
f7fliRcYmPpcrnvg3TXBdkkBtO1MXcQ4/OcHvd29J0p18z/bBbUBVjqKgdZ/9zekg4uFODEnNW//
3ZwTrXYbwTC6HvS6Pa8moqdi+45eZFubMrxLyfR8kiHEqapW3c31oeNX2ZIBN2+SMe2f/CbKj6YE
Sywj1XPn6Lx7MhCCHPlNF5TueFY6i+/1pVPjt0EEWe9wfZjmfrpD2CDWfw8chepEViGg2fK2TY7r
XGb83fX6Vp5fvzJ1EefrO6mEyMY59CIACXZXvSz2tNNacH2YoDw9K998LqTG36HrF0sa7eP1OAav
BMpo5Ol6ILuE1CdLP9xen+1SO5jg9KKqyav76w87l802a7i0sMqK46B3KrwuVNEG16dhNFf3vGGy
b8hgZhVf9imSOYZ1xVDr3+Nk7TTSD5Q7QApz23VWcgFij7eVGvM7RvALc6Cu77Goc9dVlAwPGZaa
6xZXhcepkU4Qor55ovZqgkg5+UsH+sZ1Z6vXeMbPzs1t960c7XKVa331IZr6h1BZ5JJN+eoNafFn
rEtkg6n1Xc4Q2XOv+u1GKoqCmQoTjioY9JqFY9bvwpGKZtWcQKug5Ba40AgnhX5ANDHlzsDec7WL
mYX8MIg4Wt0sv/PGvXdh+H8lKn33yrj51OkJqN5a/91kdrvK0nzaJnVENIpvyHvC5PHVzF2WoCVw
+botymoklbNG8TNIeX99wogMl0UirDfXh9cnmgRwKI1yjXKHQ/3dr47GjQPFbH192C0HqFzT2wyj
h6PeP+9B1nMFfZo5mq1kFQdz4+pbzTJwIV72uR7fZya4G6U9/P1Tr0+UbdjvypaZ1nWX6/FHTYfn
P8TM+ysJnw1F+n4eMuIiGYFeSAsq9r20UyJB6/jMZaZtOm1MHzExSILGsLuPItduTbtWETPi+9kL
419Z2J8QvP1X5ZgeEcgdslnl5qAqvjxqZWUdXVN5W5rXgeu/MJmLW8ObCoc3u8LKJbY3qAf4guZs
vi/d2nkfHbMKokjND76RVFvfKbDbKdrhBna/tyO1ObwQa9quLZnpLzAKUwyT4jupZw/lbJq3Vl1g
tGA5itEEs8A+i+UtJw6DoqjKbjNap52F18I5y0S+6yUuKXnJgKvI1HTObKvbWSWsglIw/O+FUZyN
fjJ3ONtEZ8M3nR0XinvKMoQAFQsuV9lNCelkVyPt31t2Gt9TjVDSGa7zJ8pv8JVwvjv68FXbRdPD
ddfEnjVQmf/uOg7t/+xqIXN+0Mn43g2dzerbZ4+wp9IT2Wc7FeJtitsycMZ1G4DnbpC1ijeKuNB1
3ehM/UJ1X5gtycppOG/MZFb31x/Ey7qBhZ3E9vrQWPYzBpS4kVXbu5qljeDuFCwbV5/oYCZy/Pu6
OAVU9sywuWEI/j2T5odRFUg/XP+7rvaxvUGnRDfo7StSVOBYKsTA6BLuLVyF15B2xs11m6q88J7q
Ho4+jpvMhNjvus1V1lpN2DNdH6k4LG6xKNtfH10PhD7N36ek50Fn5hjXH7awQ4KbuYb+3Qafs2GU
65iH/p/9mH+sTaztLtdNte+VWLo1+6ohQn3M826tmwp2BQBKt9VSwXdHHGS8QY2IHlObM7Ass724
3BYgAiwbwSaz4O/jVjYY8IHj/t3z+hDjfKCm5ce/h7g+UdlRd3EYqeM57WEDo9qLEU76/grcl1rO
H8GJ+f9sjGxH32sGEP/1hdcdrz+uT6BDZRy8vHiea+jjme8coqUBlXFj3Q7gP5eokNBacA38ADVs
GfLY1Z1ZY1Rhz+hxqp6Bo+WWP6VZ+fdJhPDGl+Dp1+2F6z9i96E/+ku5KyWyGC3u2b+sjlWNK5Q9
kTYdTqXcXLf3MR2R6utXpjgu5kQj8aopo8vCJnLWiJV2bF3OptX1124iubQcB6zMbe143dSkGc9e
H//99br13+cHH+FaXmi//7P9+vB/ttmmZxwKmW2UB4ZK7tV0jM3pPz90vb1Pev7XWcAXL2LXfjNS
xAd6ndUfDO2+bVE7n5pbvnSG0R2EY4mdZ6Txxi8sXD/wgH8RlcH4DIVHaXqsp5GBL1OTJ68kXhJq
zIIJK0PbtNZ09HDZCqfUWsMKZ/0rx9tJyuJnqjH17FvzLbJbHQZp5dGxK+1Gve5NY8BWVGd0v9KV
Fe3DoqS17pB2eWbxWfvGO/nk2gOG2dWxNLEZTNwZQsLYb2VR56+DzhBt0nJjqyHh+nDCgAMUm/51
aKL6xpBNvtURiB2qPipevGk6AEaWn4ayKlRPYXgs4iF9CEX0e3272fT4BuVYXdyqGG7DiCnDuLxg
+TtgUDLTSuEGlk4kdthJfqVYkp6vP6xy7M9S9NBrbQ+LA40uXUKQPFtmIsbVdR+0nMuv0LTRwInj
fx7+c4jr7kVdvxZFXu3/PXRuQQsW2tBteok0YBznA74t/u31UZkhQHMHbO+vD9MGFgv01IPy2luX
gWB3aEFAYIfpSVBJrXmdBuaqaSnkuzszt07GvP2s8uIVmof6Q0Tzuace/WkHB0lWGZFgX82rykMm
sNJo5Bc42o/QtxQjDBkvEovcvkAn3qFTXszlKlfiMGca9SohWnp3ffjvE1muFeQgw7McgLsvyYs2
ECNuYUh98pxY+tu2huKrRqc9xFZ/c310/XHdxV72uz6Ui7pIqAi8rHPvk1HXDqWHrqtApU6XPmCi
YCK+WifL09d9Gi3UgzwHE21sm324rf6hpddu/r7ENPKgMSP78ndnvqdbg2QJu7HdewRDHOSf9/j7
ehUWDWcW79FCKTiOdae2QQcP+yHKivIhXFqORG/g6vyzzWv7bp0BgUHdwRIO5Yp51+ied5Lm/7F3
Xj1uo+uW/isbvh72YQ6D0xsY5VIqVbZ9Q5RdZeac+evn4Se3VS737r3PxWBuGjAIho+USpYY3net
Z4XlHi/LE8/Exr2MrQremHnKKwukbIie3OKLuBcbDaj2C3Qg+UbO0QnWrZavUwu9a1xr3kPgZtYy
b4EjqGGPjwp7J+E5LVa3PjHvxxiVjZN50uuK/pr7mrbckmplbdwnHGuJQDba94bmL/IwxkCEUuCO
auay51gnzdCMu7F0KZxaKk+YmOx4Ngfqrul1OBNbLY1O51Bb7p72PIDRIIiPeWWWRwvFGi30MvhS
WMm2TEPjsdRyC0+FBw5kTIKnXKKAMA2wft6TXmpFUd32v6AXOe9pcsaa50OlnugtUXG3ivi+i3Eo
AfAMbkLXhRul1Bktkthad4Op7kKuEchhkoaOdpjtOb/V6yGRraPO57O0oki7yWLi7wJZsu77CVkE
j3dWFLq9rhp3HGbJlMHQWINyoNUZU7iEujWtSlHwH/Jpch5Xl3pGtoX0fQ+xpR4GEpI73SWCEHM7
Pe4lisTm1tQa/y43YVYEgN6WYlFMGKBbZnPLnf3kAgI8dBkg1jFA0SkHUgHprlyn0Ummbb2dmcbl
ofO7ZBklcf2oBuFX8V+taN8Co/NfQr6rFNMHgi6mfWxQRTt92ie2qCmUoV49jtrUPujcVz0975M6
sTJT7eT7PoWJLiWK0x2WKmen1IOzo+VJf6tTaUgUYeqtIq4NJWnYbErFpvez3ARrC6kJVnFfJA0h
BTo+PlJ1ZxV/PZRnctQHDwjDzJBtpum04jKp44AAYFSv9yNG2mXTk7heBb22z1I1WgZGKD1hkr/u
+Ba+GEF70qtOe8K3kNIWr34Z6ibNtbh11f3+lDvB96HvjqqPMhnrWRFRRnxWy1R7kN0yv/faNwtB
+6y0pnreojhvtrzfJ3fybl2VLiKUsWhJFq/knmssjn8aorK+FLORAhAgmCa5E0KYtK9luF27Mpqe
18RsCoNWIlP157ViGTJ8uR01StbOIG1Tw9thGdHXMa3iLV15aSvWY3yneCpWKklvw0WeRtP0c9KZ
GNWYSmNsxIBKrBWzYlLYBr0yqwlnOeSM7+PFlkHxPjdO6e8GzvMnj5/GJu4pzClJkZ7cVElPYo67
0MeaZur2sr53PWVjazTuxa4/j0Vt+n1sDbt3BuOgATtsewcxMQB98j1K9KVVJLBL6gbvt5i9jKkG
2h3vx4jNpmwAa2kJlgmQGXr3EvD3XZrWMvXpaVaVUHyJOTGpPK5dyJP82WVdq9pDcbgsR+YYrcIE
jpnYGYsjpKZ3x6FcSZOmqkxOVzY9sjfH4MbJmqdDL6OvyfFqgetrneAEyCA9ebKfnop4sPCIu9rC
GdTk7YZN3QLwu6zNNc1a0GnVFmJHMQGtnJ6qTTmNFCuqDn2YyS3HGp9GQtLM00i78UAYQjETi1iZ
snWlQVoSi6qOZVTCq7kXi4EZLLhAqve5o6qnKNHvxeougN1a62TIhUM6PFUKrV4eIawrsVUy5GuS
NMcbgrL1uyodz4d2Yr3ZdWGTw1NiJzoewxKuEM+j09tSYmiCmSFpx45cpSfVJZnk13erT++W2zB/
RSepf7q8W3HIiHebVACaC1z6a0FCT7hcrOrMQxc9wdLPdPSJp35ZLCofJ5qDhEZsFRvGPubMLpZj
Of0UK3G6EUtDUuw4VWLxiZWlE3Kviy0wCE6w3fpFRT172VfWgJTJT+YuoIJjxq0Q0UmuQfuhBJ8l
Rp93tDQf7XRhT7kewcmQquCE3szj0aK7ici/2AOQ3zVSbz/JKi8/OD2uI8c5FW30UE2rUwefTRnR
Tq+byH7qay2cU4gP9mJrbYZkYgzRo6egnq51Inb6TrKfSkxjq7QM+5XYS1U7ypFNGB4dKXYex3Av
XtKWWnkP6ZUO4PRSbhjSyC1TaS0Wh2j4NJI7C8Oqyu8rz12Kl3RqemPKSPJ108bqo45rLArsQx1r
dDxkGXMxQVYHkrKtQ1cY9F5CxXTRhep3wxDr4IZ+bO4lNAyXXcZxHDiJgtg3uLRqBq4Tv73z/Ka9
I2iJ0mGMONT1WAR5Q4BMNzxfRiiN+9CFWnwQ40k9qdZai9FSLJbTAacu7nQssU9XJsYcpoizdjRj
XTdDed2n+O25AUBqX0r8WmUgmY1mei/+TeO32QsZTgk6QW/KGtBx2461jdG/Cx8Ms/riaFL6Erkq
8hez+KipRrGsIRPuqUaah3xUCjKQHOtzKBULMbSw6fOpnWzfjjHZcIMccCUxyu52zJ12Jl7PxKQY
t2bx7OZIFaWi52ZMioxdhalymQWm/YRw4CCG1qH6qbVlPIiqqfCmqOiIvyFzu2Ju8Rz1x98Q8Qx1
/huyhHsq8TeUuIYegrT4gny3XblFpK9iORo3iAOShQrY40EstmWULlRfVh/0uvq+dXQ87c2iHKnF
hqZRssLtTJ9Ek8JHmZz0hTzI5RExfHdVKFG1AZsMR1QK4oUFN+/jMLRPSKD1b3a1q2JpfK0LThNA
yEMM5ew9Om55rKhnZg3AhU5Ln7uk8NfwshLwd3GX76nMERk1zb1bbIA8EzOs13OeAxhdFN2AO4IY
aLdOzGOsaEu3l4I9bSN7HlN3XYr1ha2iBcLonO41I1tmdUdkhNewh+YEBL84vX0+QHelWTqpWsoU
r2dZ8l7X0YJOS0XooeLJyuG8sS19ZVmWLUSCaYMYIrY6rZrtaCBA0Q9pUEECW8WlZxx06psHc5qI
RT/uzN1IuKRYEuvFCCWhf0TTx4JMnYZY36d9u4yMI99IVj6pN3MBYMfp+pAD+r8LPASTlYLOQoDQ
rbF6MB07uqOd7p/X57E1bxS1+gxtA7d5+wJtnGsY8pcbL9fdjQc6aG37cXoXdTQ5akluX7ROngOA
bp5lqE0LMI7KEXQqCWhNHKz6QqoeS1l58MqoA6lDUNaQOk9GSIZKqFjRvsmLjgwQbYDaP3gnnjEw
Y6feDbbybq+ptXljTBNdRbdoZDdDGJgTUaw5IMHc4f9Da1nqUXmljtxWXMY3VRWs5JpHNrFO7Nb6
qPCHoEnWYlFskIPyFWy9sb0Ms1BSWVWWXGPeNG/iwq2u7VaaXwZAluHWLBy+Xg5TaVaxrkdMfWIn
saFpgn4Rxb6L5YIDiXVKnfaEXQfJlVhsM9dcpUGOGkImG8fxjCebR7pd5yACEIvVMPhLSDXyRixa
UfZQ0+46YaZy73Cor6q6MZ7ywcPA5twqfagfaF2A4Pfkb8iw5HVY5jzSiHViEgRptcdzhW2ZsfKY
aSt3LPOruk0/oQXGeu646kKR7fC2G1LjpKtfGmoLGGeIq7gCY4blddqYlVl0K+uBvJDpDi3FuvMG
N/+kDaqyE0ugFI2Tk34Rw8WawFDkK25a3x4njDMZVUQtLUurbTGS1tUnDw/V+Rg8XCDXLsZPmF/s
eenQmQ5p/SvTCSiA93p3WXLd85I4V/VQLi7b2p+WfuwnTnI/Ror96Dl1d2pHr3o6Af4YeX69adsE
3PmT/ZzeQ/3odVdeN0QHnI3RwYjc2yYZ2g04luhwWS/mzuuKnoZZh7KB4ZfVacmZfiaWq7H9GnsI
88lnOLiJkR3EnJhUxQBTRY0bAsT+2OAqctC/WdatYJPJXrINO3Ioz4e5HKGtpGGphBO7bzq+mIhj
cVPQzj7847/++d9f+//tvWanLB68LP0HbsVTBk+r+v2DqXz4R35effXy+wcLdaNjOrqtarKMidRQ
TLZ/fb4NUo/Ryv9K5dp3wz53vsqhapife7fHrzA9erWLsqjlBwNd98OAAY158bBGXczpr1UzwimO
9OKTO90y+9NtdDLdUGMzu3co/W0jca+dqm3LBQZ5rRgiJnZS2PO0RO9bzKSgc7hRISQgXnlhpB/L
0dDOk2RUjjqn1i29YT5raEn6EVV+vpYUr5ldxokN9NwI0MwCkMl5QFHUSDdFancHI036g5jTfsxN
IyCnpNzGoTv1eTQ5uKpyVQdNdpMHSGldfXiz5KTyleE7w+qvP3nDef/JW7pmmrrtGJptqZpt//zJ
B8aAjs8LrJeSGNeDqSbZsWvk+Ei6xTSPe7uivzGtKZbGQDIZso0edMg0+b46LB2wgUXlHiSam4tE
lw2AN3114wRWCUKBdb1rGshJ5dbH1ffHct6UX4u4bEif8R8L5PrXAd3wR1l9jKO6edAwTd1GaLnF
Wrupw4PiYjEUi7FCU6XXJOD50z4G3oOlF1cl5v3GeERrEc9HK413YmuaRW+O3+dvji9p8lXXlBgt
XYXUU9etgXVU7YHq819/0I72ywdtKjLfc0u3FSxfuv7zB93Yqc0Nq5e+UhHp4MXw+YlP2EscPlQD
lAXGPmh54jO+bO4ysKhVmm7P4/yqwSkMR3Tr62O5p6yDHzbiC5eYQ0No5rSytSf9sJh1XX2atdTv
o3LDfG0L7rsKL3euYFZpy9aux+e6ng0V9fCRgJiVnKjNVZPo9r3hKiexPeEph4q5muPkdM1jCd54
XrX2+OxW0X1Pjfmec8C7A8bID25lR0NoOO9juKWj0Z9ay/L3TZcfxBKQwOH0fX17IucZAl+bp+6s
1SA/InPRFq5+GcKutZ6ed1UlvVyM3J9sshCVhw86BIR90N/KbnE/9IpCwFtLLcmup7/Fkz5a1nJo
DPmTDP1/g1jIPC+aQ3BM8bDeaTYhQUFmJASmsvefHXXavdRgIYivxn/9dPqrxOnwa5YPZeD59bvF
f95nCf/+e9rnx5if9/jnIfhaZhUigb8ctX7Njs/Ja/V+0E9H5tW/v7vFc/3808IyrYN6uGley+H2
tWri+o/T+DTyP934j1dxlPshf/39wzP8LMqshLMGX+sP3zdNp30FNd+bH9H0At+3Tn/B7x/+T0mI
Rfr86y6vz1X9+wdJkZ3fsIgquoHiG0nb9JPqXs+bFP03W9Gp8qChsh1M6B/+kYI/83//oFm/ybIt
m7aMEw8vumN9+EeFU2fapPymqbZNOgIINsNR7A9//PHfr2Hn/7U/v6YppsZf8+aqZsiObaCqRjml
YvTAvPPuqpYUFu3jyCTH8W9s7f8XbG1F6DiROAnpIsYUQ1Kbbb69LMbE6xCaIvnhtoBLkdUEmo+R
IRNzzSwiDiyYYlZMJJggW7svdJSyaSPPx4yrWTYBey8TiCRQez3FtrC6T8BgOAqguZKc9DIFZquf
k3FgtWEug86lkzIzPFNJN2K1GHAZ1ZXqo9HB2B358q5ot95SLMAaniYVUtYJa/tjDsQ8JqR3m7nX
c4HJamGyknrl3rWB90Z1DttXDBTLpBTDsX2z6XL0N8dEjzLtVRcFFIQEZcbPr46h64+DirckjnF+
JTF7eZ9ixyRf5wM42kiK1C25Gcp5TtJrdasZMSG7YlZsFhPChj/bukwna9rjMkl+LBqFNGzSLDyP
uKy/jDUqYL8ZQpkpxIbSFp985ZVMz/Ni9WWCFykD2jJtFyv/dPnNocRsgFllhQbn/rKLmDsf5/0h
3rzuL7Oh86IlHdmjlzf7/kixOYB6abHvvNn7z1/pP3vly5t+83e/OfZlu5gTkzeb38yKTYEZglSK
tZUFBniu2lCrL19vMfcv151/F+83Q8xPN+9WShk/JvHTIVm2IZ5r+oVdJnmVlfJSIv4VRnDZm2sV
Evdln8vAd4cVG8zxxicuDH4ZX4V44hOLOSWdgop+LL5bR2QA6UjmtMsvs2Ko2CTmxEQcSBzysmgI
xLFYTsThxKzR1Rz5r19dDBQT8TKGDkyj6QDUTu9HhULSfhSzLf5FeRlWo7KWO2utxXK+xR2fb4fR
SdCxNzFk6mmlmNgxjM/5eZMYJdbWRC3Bxh1xPFRF2C30WgpB3E17jTKwrzsxC0kzya7fHEY1PRle
mBLRkPAyCM3TDrWEXy7clcgMVxE3YIshVg6OVGLcNfsv0Go+uWNezxI6kKmPBK8vmy9RDHCrrPse
1tHLQJ0pobu1TCSyKYc8xd9rBzuwmVgXe/jElMObZAtx86s2tniE6x7AYgSFwC0LC2vHj3d5/jMG
nQr0MLHHm4nE3k7ncfB3YOGnxX+5rvqx9Txk2kPs+y8XncrH9Pju0P/BYTTSx9aUmzfiyJguuOaI
VzrPirXiMHYy4erFC/zLd4LEfAt0Ilu/fTcobFEkD7e5uJLJExbcSfpkK+bq6S+7rHs/5rL5Muay
jq4ZhKfL8p8dVm1Lrp9i78sh/mcvIw57eZXLYcQ6J4w+oWNLt/QPyy2xKOVWna6mYk6sE4tcwU9I
Y4bVZX3rVx3Xwmm386zYFIrrqtjn3RHFYiKukGLzeaTYaZxeVsydt1+Wz8f0dWkxkFSyGIEm4p2U
jgaGNipfn/1eSnY+sUdZB3AIT7o365uuX1corXAQKs4KMM8isyMZwTZxCrFu0nrz8y9RCxDLHpxg
zvUZ9bMPXZZnMGdN1XxfOU62aWsF04vczqPI/qzpXrTIg21UfTYl+4qw5AQBUqHOM1f1odvcDqk2
AIAGbClVxddwRK3YcoexDLSjbXrjySvcdZX3Ni5LJAdxUNzLloR9JKs+xgGWiITu7KA0zjIbjaNH
42MequOcYmflTE2YwHGWBsYgI/JRlWTzJpYnSmvazkyMkFXhf41c2MtDZ260CsshAXdwXqJVkvcV
QuS4W6UWCYxRcaKv8A3wC4nYYwbK3DT3PCIAve8cPNJR9DzENrhyO0oh5/TZgpC1bazKTwRP9Mck
yPfyUNFdwes1mNZdS7nsyihWDvrEeZERC504Ur/UaxKq2i64NbFRLkwPPORzm2bJwm8yn/9JWVnp
WRDixxk/ZnHwbNWjtlS6T3J113j5qdANwG+bLJGTZW5N5znDX48lhsV8AAwRBTJudhswaONCyrRG
TKM3ugm6lrLWVlVLda7VGRo7O/uMvh2yEbpnTouuBoJUu1G1Fxpl2jaBqw0+0YI6CREvqc19GhSf
DMPtF43tzprhxku8bajmuzDvv6FGTrdSQZI43e6G/4u8Xil15c5ifxhnbuoHV+TFuNzqQq8Zom1X
c1ItoMCvwI7Pk8YBOEIxYW4VztdQyfyZWqn2ftASoPcFQRFOFlxRnICveOOW4BLyIGggiZb2Ain2
WnHlte4Z1lIDsQn+IDSCHJ4uf5Y5dld9Z39KfTW8bpt8vGk+2nc4ANu1FVAeNSrpVfI3boEoi1zp
x8yheYzKiVwXULHVqJ00APMZWEAjt8BZ5s68NnB+K0BD2txHa5qW6byGajkjsXPlp3F1VZAsNgtw
EC4Ku7QWPsAqKQiAornesjOSYgOZ7pMXNd8w5/bou0F+wOppMYJB3auMa0PZ+Wj+yXA45lpt7mzP
hSoXB/M+f5FMz111TowwFKlEkcnNvG6UrVPl39JCPxmNq6zynK/DEs1wtdTHIF870akI25YelgrS
vZrA0X4MWCfJnQV5YXA7Mi7RGMWB3kw0Httr+fGMym0+Qoun/sFxiIKGnfYJMNSNWZvlsgpGLpVq
sxV7DLnvL3x5AExUnVLXyz/ZoJIDZcQka60Sfh9VlJRThWZWYe1vuNvHjR3bO/T83cK1k1kkUxN2
VH1bZIOyU0N6Ufw9HpkeytfemEgUnR7DYh3yU5+a1KMA6Jexg3ebxMe+j5sbnEqUeoOEZLsa+4Ch
BMlpICt8RowNIIXBfhjRVcB1lr0JjlKvLM1T1gV4ObWhfl6E9V2p+faGGKhkJO2H9IAcNGZm8EDG
LXQBM5A0wC3CeGPda/Gp73j8ayN9WGaZ8eCTO7Iqx2HTdmA4e32cQadS5rVXVsvcrldj2D7rFG1o
r8MbrvjhQwEtM0Bws6SGMGVI7roxPCKkSFll3/yBCBUcK7Wm791iMh4On8nTmZlU+Dif5jHhbbBf
zJIDBG1pLD3gFpVerBR7hwsWeFOJ/wqlKhl+/H8Dk6LrHz9lyESRq2cz/AtgrfXqUHQOPvy2Lmay
L2NPQKMzk5X+Y123CezdbpPznztTiXwfWxSDmX8I2nFjhv2dmxanykVSb9fowKTCWuUK/Wlu0iRi
x+v7DMUL3uysBBACGbTWtLsWO8diDJwrHCqgHqV+OHUhvmwtkNZtxEnX9+NoVScA2PNsgs9Y+ap2
1WaVJRAO4npZFP3R1cyPABWUuT4RZBMH4H82floMqXoLEvGRX18Ik6bJZ50D+TpmqcZBlHU6z6NR
kM690duFKgk0ZaWCqoaD1icoJ/mZohp5VjKlX4HyoQ9bYIqj8HTXu060sFrfng81zqGwtkh7NPeR
p9wjG+AWxWn3svHZid10nav+hgjyBp4UYCqlTO40whpmtC7BaqcR2bwynhGnNu7QLratre6aa3Im
pV3HD4xfmrYuQvDJtmPN6cs0syoBQDG06sywbHvpmTft2KOAzvlNdm5VwQSS1KveOFH0PhY9uJnC
4rvXRQ3m/iq6iuonODCI/UnIdDnd1XX0mQeEbD60UBRrx1llbsP3w0TqoEfYX2vkw0vupK9Ksuwb
dahOkR0sh1APYYeDfkATMhuHQd9hWYWvCrmhQVk8p8HdzfUgPGgj0PLaQdsBy62xdGyt7uNoDtlc
751HMLYjWEekdHFDuuHgErls7FoVvkMXJVMIpPmalNiHoIQFGIa9dOPyJABoQL1L+6l1Dq1gGVs7
1cT/qBfQWWGjkRjkI30PlYD+jKl+KuxGmTvEac0giRezEs/gZiDyg0f47BNBUMnV2HJH1JjBSjLM
h74dViB0HtKx12c1PC64j+SpIAUAejLuCxvfQ2RU92mjw0LRwA3SAToCHeownRroHpXAnVc2KpiR
qG0tBURxC8ofTDSyIlzH9Tbjt2FFbrfiRFIv6va5bQLkm3q/gFx20ibSHQ94Bl9omUisOl2WlC+o
1Q+k6+rRugqDRzcJ4+0YSkfAaF90uIe+Mnpb2cYcasAh0FVyj8fBPKLbiNd6gGLbHPbu9EnnSnvM
UouHpZwzHwwYBaUy6PjSnml28JIrAXxinRsF4GiIlWUdXXwG9QUmCNDFNl83YXpvUyBqOB9vTc9Z
+ZXSHSBCtDPXUJul3qXHBrTSEn8NpGI5u6u4cyjQvC3quj45WlHOvFYjSUXNrw1TfVRLkhNJsTeB
G5gaPFQrzKsFWlAMDHdNpOwZxH+bdtMbiLLHxNsHavsl73gpObQBN0XD3DKsbQmVfq+o/q3exy3f
0XrVhf7LxIHqou2g9t/ijqBvKJmw0Dzlqkq7fq7pmFxDPWkm5iTdhm8avFZwO3GGyVZ/sB0f75Ds
H92WOEfflpRZQTN/lqahAxcee1gQpe5VwS20XGb7PB+R7so6Zvl2HhMJhMBWu2p8mqlNtLd4xfnY
wEQMlLha6AUdpMLqV+AjtQ3nOJDUDjK7NLy19fZrY2Eej3AmBzYfnI/wIWyIHjCcZlf4JnGfhbkr
8k0aD8GVo8kLr7pCFansamdMuZ+fjAk9aOKIzM0s19Y8PkCN+IzHVruulOnUGRNbY/b9Imnar6lM
Xh3+YD5xdzF69j1PbDmPdfhd8/Xg6SYPLsltr6f2QoKW5GnyrdrRjdPk9M5omhcaX9D7cpkYAP9j
HDr5zO59dY9JegkAs9ngDgBQS9BJ5of+TrZIxiY9jS7/zNaVj7iXHWIsCgK6o3zPdZDbLdPm40aJ
0UwQ34AbhVynkQR0W1/jHZ+D9yFBGcswQsbPbT18lox25Wk0shQtu00cO1iDEnIXyF03TTwSxKSW
Oee80ZqhaSX0t1WvQ7M8xR4XYx8BdxNZ4SEP26MRvJS2eiw71XzSUuyxwTaXuN/uIw/uWvg6ADSf
14igZrpjEO5jjHxH2wzUBdBYO9Zn3KJJMzIIfNI5lGZRdAo/PrDOEjjEvr9R1A5WlqsepZxjZDUB
955LHyqUTA0Mv7uslZhKQxeC+5ZJxqwbb42uadl5w8EtfXmVevET0FZvnZZjBIrEOKrUKx7qbKer
WLT4eXF3gFZ3EXeUO/p6hOHuPzdDcC97mblI3e6bisndclrlShnab6b30OpJtOqq4VuX9Nqj4UNq
iqR8urHstSWmPkR3WdUczEWoqM7GQwUrVd4+r2mdOo3srW3p8HeYaavq6vrvMNP132Gmf4eZ3tR/
h5n+Pwwz/VtF8J+oCAzDQdP0Q232i4pg/hwH37IyDX4SEpz3+kNIgFpAoeVvofXXNcPQkQT8ISRQ
9d/QKyEJgEKgqzyP/RAS6OpvsmKrjqPIqmVrqozi5w8hgfqboWnoCxAZ2JplO8r/REmg/qzRMrCq
mIqqmFQdNVnj8j/pDN6o46gTZpTfmv4IVt9ZKpm8yute30/8iLWXc1ue6X1K9FRASmAA5xicKwbl
miJR4DbAz9GeJHL8lTbHvu0df+Vq6TEwKWSRXo+c+TqRHWmL3OxzINn52i/j9qp39E3l5A8dsJZr
JK39tVPb5r8Tn02ap4vsT/xhuuyok/5PRv0nZIFv/jA9hU7jIL8/eqqWrOEHzdVa/zrqpbHxay+F
n235CyVpQu6SJEA7xIXsy65Xjrmvv9b+CL+ob68zM+8POD3TDWJ1UEtqax5KgmzkrmxO1oQ0JAok
2hD13c5K4GIH13ZfKEwEG7lPbzOrUe4tZNdz5M3t0g3zdkcdo16bcvqNmlO3K03AAJOjTUoLNJwt
UbRIuMJdVAPC6omOAKwdkZnRK8A5/I5iswSUlUTSh6bHxo4ijCzEpQGF6yodbOkO6Ii2SXVg1h49
5n/zmZp8V3/5TE3LhOjpGJaM9OTnL4seWL5tOgOE9BG/f9v4hGy0egOP0/LuW0+eGzmOCmFrokAT
AAULP4OlfLF1r1oHTqHuAJ8BtYnk65agkE1NAugyNSlWFJhsJ/doSPLRLQx06kcoNB2H0nnpGh+p
5LQ09E2qjHmb7rxeXnq6jTe1g3CVBnJ3H2XcK/tmeNejqjdnceRxf+/nsAknqaHegwEpDLyo/OhI
Ocvs+LoFkyA3bR0uCsLiwXZ0yr1m8Vk642nKn3scKF+0UIYXtQH0I8KpPLTN1sq5Sw8InoNPYNxi
RBk3oV8njyrlFKMp9poW3wXwRbeXCV6sHl0FFIk3J5vvsqC30lbl1x8vMjXZ4ltu8hvW1Ok38OY7
boEX6KQ8JrDE+MLDR7azo1LjowslgsIAyvAQEexa3TAPfasTLEDb0cTZSKzIruYhgMaUcWxqXd4H
lBA0X1o79cIpCvnxr9/npEV6+1O0FMuimacBgJSnyfS1evM2DRmNcg5T6yirUrUFknRIzcRYGn4X
TJVS59+8nDrpSt+/niOrKCJtU3Ese1IEv3m9nO//WJR+dsRorfjXkvJa1BGphJIKU6VU9ONQw4WG
teHcFfygZjyOLzC/ZDtHrmGm6PKtdctTvvdYa3JyReOL05n1JSwaLNOB9Jj5MYUMUurWmSsDJifn
85CNeLtzleegSnbNw7/5/H6WMBsyn54qq4YKGQ0GOFeTn/8gy9IC1J0JTApd+2zFvr+zfBF/ANw0
R54498xIXlqoEpdVm0t79Ibxrpxy4GD53QaB6i2IuOW5kZ20gbNhlSsnMYl051VJ8dhpAT/BQRmj
RSdT7uxHQmcrsmjVhqpFq/DXWenYrbqGfjrRflsaFQncWcIARpA7WzkAsViVVnwkRYlApjG0nhwa
53Pf3xJe7B+VsIEACdERES9xtoLT0ubVyssJH3axfx8kkg2V2pGXqaL2W4jyqHWq5ltdUVyRShnq
JyyERRMEBLNRXaJ1NXmGzLjauXgFePonk+2vP3fj1y+SbU2XR82kkTAJyX/+3GWzMVL6V9JhsOe1
26tUcY3uxjbKj50vceJtQ+QApd1hUxpeIsUOXzU0TGqYdc9FZMEwi3Tz2pdC+QrkQruuVcu9DQcS
C4NpLBZ3VMbDS9NER0qpV71qhp/DzMYMbg/+NU20AeNmAr3JIFmyTU39WVfcSTN/C7eQp3dcPMuh
Ha25WgynME+6PaygBi61I115qXLXqVirBrXQN/5oE95RyOkGG2WxSvVe3wRglSUJMXJPEB48yTQ+
eqA+W7f81EZ9fh1refmoWzfCE2lXRn2QleVff8CqY/3y1dZ0jTOC6XCvQznEmqTNb36rZgnKv/Rr
7UAthkBuJVZ2DtXYnVz1MsGjgbKOR9PeiA1i0tvgwOhlMKaUpKFYXfZRXOlrPublm1VvhhgW8WQz
cfDL0doqCeetNeSL83HFZjcOeYk3I0cTWxMdCH3BN0Wjfsu7lLoyuZJUyLXiDV1Gn19SvEE/kV2C
+/TH8zpNvIPLiw9OxH8Gtmj5CgfT4k//psvo78dVXhLPHrbn9zB9CmLu8vJi8fyexOz5RZs8uQ6V
hVK2zdqobcqp098gBrj0RKXzJy+2iMkgPn4xq/OTjYqjzzV+rbTKuHSp7EiauwumUg/Zx1Php51K
QO1UDAqnslDdNs284z72sTXGbyOAztVQPwxS963NINo2kbYP9fGb3NfmoqXuVFN/iqdClB/1X/JE
NhZhQwurs+ypIrZrHDl/cBvrSKoCnYDKJL4AEpoacLtKJ/KAZJIWhOKtmzSBqoV9vJlKZFh0lppK
l5qekkkDayqkFdwmYJs8YlClp9HfdFPRzaNHEcRE+3Xw4zsanHOyoiVc40RQ2xTtgPJkJFH0d13K
abSZSnuBbWVzmWLfVPQrpvJfEmx1qoHVVBasqA+awQtN1CNRdOEhmAAQUyExoqKItu668Rx8ymEH
LrZO83mC6GBhNdI6ESXJqTipUqUEaMIFyWxX/Hw/60gVwTUtjIE+btDac0OUOqeiJ3QmkuunMuhU
EE2ojOZTiTSaaqVT0ZSAS4eMKOXjKAqq2jbSrKPnVf5OqsmbnmCBNmXjTTn1aVGs7w3CP1gdfYxc
QO5T6VaJ+xdiPf4vV+ex5KqyoOsnIgJvpvJCrrybEFVr7YMn8SQ8fX+p2rfPjZ4QkkpSSQiSzN8+
m3Y7bIRrPmVxewma3sctWT4tCgCuQYIbBQkXY6hV0UuE4XwTS0JkwI4rMGQPLJlknHwPgNlvCf22
bpb9hVxkHSkAup9Jh05IwyHGYS01t9r7KFhPQmdkNAjXBsZu64MGqt0qeJsr9ilXgDfoOdA3GLij
wPARVHzJ5J+0KZ5Kr9IuaLi3swLQa5D02ND04+zRfadJDjBIjYlS+XM5CGI8R+coSX9dIUpL27g/
GJnD5T2B6nXmvQsvRa1FhjYsr9jTPTEf2NlMdAc0+S1DxuyGzFcz917p0KSggOR8sktXJbm2a83s
hq234NTGvkHZ1WgeW8UylIpvWCAePAiIQr7ZTvbXFbCXsh23VDU8EXXcnpGCh0JxGALWbNdAa2TQ
GxaWhQINz1pLn3qu86oJ+FxBiIw6dV3wI6ld0UA/zQRCF4dIA/gvnDeZJc1tqilVSbAs1d34QBqh
og/G1wUiJlGMzCBcuJm2vmqKraHkikI5xeB4UDmj4nQCyJ0RkgfD8173UwyYiv8ZFBPUK05olhWB
x/SB4fks/i42RZGm4pBkv14Up1QrdqmBZhpK5Ef2pJ9jOixqxUTpUFKO4qZQ16+IcTFXQU4l0WTM
uyrzfkYtvjFg0WzY5W/zoOWs7GoEuqYVzgRtbR0IsfLOjCmOjPT0R1ugPyF5YptE36WLqcdisrGL
MdSyWu9DHS8beqL5Or54WXGzSDjTGRAR/tCusSyo3wi1nbaOzK5DZ9P6ozi9DHKP+CoEK4tx1jwK
IqTHqSyr+rAwv1yRq/nKZIt0r+B1cuNsRy7x2dC78tibzSfHUEMFlO8frLxEGlTWJNlOC5XvjfOp
+ew/CQW/rekuVKqeaFUiTqJ1hrwj0W69AsEFcbvPJjNU5BdVdRh1M12bWqNtssD/Z+oa6AOnq9CQ
eCeWQz8on9dC7WmaIGBTfe1NS6EoZjd+HyFcWYrJda04WHvZO1CyUnGzo2JpZ+jaTPG2umJwHcXl
FqyKFsXuFtC8o+J7O4jfDAIY3irlB4ATdhU7TDxjvooUY7xAHUvFIdM1/ZWPaEXYkZ1imUkPTyCd
pWKfW8VDt4qRDqCmZ+eB7CmYasVZZ3f2WvHYiQtwSBSkpRjuHqq7VZx3APk96wVO60KnAsYYCPOA
IR9vk+LLy3rtKf48hUgn6hBGXXHrtmLZTej2SvHukWLgWRcdSECs9oZDJsl4NhVXT1HkC2FpZy/i
F16g8/07r68YfiQtz6bi/KVi/02lAxitb06wcV8M6WvOwLmelWYAm/o+YVa9KDVBPaErgCval0p2
oBQHs9IetEqF0Co5Qq4/IWZYPgliWCFxTullQrugIWJoETMkDJ30o+4HpXLwkDs0SvcwKAVEqrQQ
k1JF2MgjpNJJREoxIZR2QkdEMSk1xYCswlD6CqKfGAGU5mJGfDEoFUaj9BjUxXk7qP5Tr7QaABMP
cNLPGSIOgZhDR9QxVPk/xkDnqDFK0nSXEgu6/NCVEoReXs47G3VTWtO0k0kizpRyxFYakhglde9U
765SlyxKZzIiOCEsZNUlTnNMlFCw3THApLVl/5nS4DDPkfFhIlzeBro9ncY40K5VJ6gVU8+4b+53
c+zbN91N5ClyFqhd9TL1eoMd88eP+d/jsmhPvRzkARWht4/zOHtJe/0/9/foyLjUxDi8Nw0h/Hap
w6YHnnYjJa6CkOU9Kv9xJCXph3aCdCMcI7lSO9Wdi8GKNhbV5Z9j2W7v7+UtFPl4VeA/mpoUR5Zi
5X5Ac3/KkkpfLeT/oyxo/5qlcXJxNn1oVH5vfVMTZ2CX6aLpidwEiJu+UG7t7k9l1xfQwzHwSDLO
rN6m/JgsS/vY2hy6v+82XjJcdn9MT5vWBU7Ym44nMPQTEhZQnuH4rIMPR/1ffcgvYwQJOw96t5V6
nJwn2iYvJLZ2m9pGNURXEpSe2/yVBLPRE9cMz0x5TpJVMy7GMTiMo2E86gONE/en6fa7Zdf2D60z
qq6mam9zLI3QoTh1N+lt+kZ269v9mc5iXzPiqd+HmJzm1JMk2sETXhN6RuxqYwSj9lWVYiMap/3r
x+Qw666VPQdtq+0JJzQPHszpo92YmBrVd7ETThm96n6kQLHVLn5yGzwRhC6FL7tRb3tW8P7LfQcZ
RfPA5ap5L5zO2nIeTKcmb9qr403ZRsD9fgsaxO5PJWML3ygarac6j4qDK+zxUA0pOepWzy+r/nHA
bNdP/OhbcyjH9Q3qVgLLzU+aVpB97gvnLQqS5/tT4yF+mjIFGzS6v6VKRpxKjrtra1G9VbqD/d1T
cvO7I32NqiGC+p6MaOkOPp3VB2Pq9adIjOPvP57QWNWDj7Qg5j2cjmKxwZiJodAbvMMzVXmJXoo/
k/2uLYX5TegNhSJjq59FIfor6b3ET6snVLRWES3/k8EebzStjc6jpiUkL6KTjWarIgmM9eVk/JQu
VQS2PYnLbE/WZRSG0u3xDuWagNbij+7iWSzweV4i1+vIAaBWnLx+74fI79+P0g6gq70XXHxcfBej
HihkFT7X5M4qztF4uD+LKR81Gvyvq5Cadb4/QQ8y/3vWnu6fx43oEqzmVL+iz+/PQedgHV6W7nsk
Ivf3A5GcrDIhoutcGxllmV6wqXrH//L4se7PAIdoqSwumxuDp3NKZjPDUT33X53sfr+1E0zU4qaG
cStYTqOU8Optwoj3mXBU3t+ja+N0zQ5KHmLfKU+lGprU4v7TTQVPZccQ04JTP4gQQsWWHy4FxR2z
XSSf1Tzs7t8lQmS/MoV7SDMNX6jVLFQuVsGWg2n+yCQiZvU+PcUcaEnc/NGZ2yaMuebS+KBlHzRW
EZjJb4RWWwU7tPKxMwkanakn2hGfa74zPSB2lGcQ0DfQDE906dLU9tEsdbnD0roeTE+8CSNeO3KR
36mfBxtHn9NTQ0fck9Pof+imkd+cPDp4AI1efsJsX0+ANDz1At0szuCSzmthWtEBPyTxJok5fRnU
q6kXmk4mtz24Rsj1vNgij+loEate73+shZ8AoNbudXL8/iprbLH3dyWH/Gma9OElazsXEXRhbwWS
pm+XNhPGwm+s8eVu0BNxDAq9eTUB+O4fnyDQaQ2spQIoInkzChrG7m84jvKrd7z8eegsK0yFn23v
j1dUpxddP33WM/HHS5X1h0k65tuCovv+EYU1xxvkFMY561PrwcF0+/uOLto25noFuegZOYHjzFh9
f0uX+gISEZIPX6JyrzT6HQgjyD90EtHvbzlKCkP9JQU40FuqkWe8I1RetyvN74KHujLIiukagwTH
1Dov/UQtjvrusk6OwDzLmyB+5NAa0ttlMlg+axo0jAEPATTHQDR3lG8l/RMhMtTyefC1z99PpbJJ
o1RQ6J06Ng2s8AL3P3TJcs1jr3odF5cYjiBnjSuH/Lsn7kb9gMMyOVvyzZwj3aloUEjGRFIlnn73
DmGca6JSO8byyLs6SZf8vmtrDK8TwOizZ0xFiOSV2CD1JQrtZHKh//LjZthZVsUhI4X76rcpy1P+
rhkaVeLqEBviKbrdD7vZZ2loZntC7P/IkUt3TOFTGNgoXy2u7X3kewTZI5vqh6I+tpn7RdJofSgt
p6FJjhBSo7LGvUuy84UeK4fWjXlhJBy5qg5PlFiKY+ZZFByQNxMatrGfdCKE2wCRITM//5b1y9Pc
t/ZFoDOnmou4HFawXGJ+3DnXHghopW9ncol06iY6iSTNcdAvX55fQ88Y6A7LyRevwg+OaTZJGpYb
K5S0zbUVa8B7VJVnsaqO7QFxYArxtpjjs1bYX8AYhyLznbfBVGHkKlxicHtzl3ico51Ty20ytkO4
9HlzilCv/m7i0qR+FzxJ/WhViIoRk8v9plT+mmE0T60kwshPozL87+P/93n3J983loGN8vfuYCf7
uFpO95fd3+D++HI30txv/vdBhvGAgE3HXg12Ru5+h+I2zMcYlxyJsqPWARf43XzhvQS9qVqxHfPq
DScF+EvKCijReuSgfv+WJh8lDBcT4rIgdRdrbTfYddioTT7ozHVrIu9momxDI+om3AEpO1fXsDEs
zspnF+0KFxuEPh/v3lrRku6w2Li2xqEYuAjIbOuPN88e3N8njHPeh3cvbqkMur/W3JMOOHWwpPmc
k7LjEK4e9vo/QiMbZ4WFD4eg2tB8u1qcAKNKPJm7YOq3CfErBPCMH2kXixMNBdSw4gr1umlrO82t
9Kyzh86bdid2D2dZtzXzKVuJHL+Dq7FgyJrx9f7lQEfrkBKbUq8V5CiWsLd/iMwUJ42VCh6U9NUY
sQF3Xf+iZ4lcd7myvU0t+8rQ9WWdIeRKDUELk3rs/lei70nzt+pNMtAVSG/MOvEI7qsqb8NEIa57
a33/YESrBxtRs4oj7JdvjJg05kfbMx176Sjto/BRe0jKaNwKc7zaGTF5A0tLL8B6ohxPvo8tuJ6t
LhQxF15RYf2J3CEKozzBb2J1KEjVDvh9dwcRfni/X6ZGsM4kZS8UKx+NKDtQFpwfFmOotjFDFRSL
jsoT1nrjOkAOWVpoK2fx8G6MWbce+/aRaslhrycQqVgO5d7svLOrzS1dNSRBrmChIUTqgOLgdnpL
7XTniYaQ9jgIQhaLdu9gW9MzbNDKi9WOEhCSPsS140t6nhS3V9eC8Tcz562RWG6oyejP1HV/My8q
1/7Q5tBr1tUeq3rfCvdWUJe8MeX0dnfL3f1idwvd/VZ7t8G12lQhSraJyiYLksZm6w3Vu3uJijOV
d96DRg3JCc8488Os9o8DL710ExaNoqNgp2001umZY28zT5XwGemwj7z20A0uhQQIopHl5vPeMYgY
tEZjuGqYMY7xMr6RfIflghi7U6V6S6iPyjfpHLsXimKtXWZRhDsPROFBQno7DFFWOA6GFUayXwWz
ZG5Bb9vZ49KA3UCz9qgJqps/OLuqASDG4SX0msRofX6J7Sl6yEWQbak3EltHL5YnrQJl5P/UYTuA
2eZkVIWE7yO3dchkLybDONRlYRJHElzmvvboM8NumnuYUVZDI4p9Z+WnjCVyeN+gTHwIOh3RvjDP
vhrAkozh7r+bXDOq9STIDNE97U+cp6/ELPRrJmBRqInhjXaIbZdLyAZVK643XYj9rMNT/4V9y9jN
0nxILLMJvc5hCe5nh8RiobNtmPlzXo8pNc05O8g02j1h4eeyn83wvxvhqjZRGvlWWil+oqRE0Soo
ikxc//fzT1Q4cpEorNVQj0Qqp9kQ3jdATkOYem+BGCWxjrRo9X12S6vC2RUmavH7Q9X/3hqDDB2G
57wtOEJAFeVcEBvAaZiqjUkY8Vb35Eecw4mD1pBqlOqciXG9KfB/AQd3mH1+j3OkzS2jIWWPY+ho
Fu6UhUwbP59PDj1MeSaClW5GTI48LqNNEQy/m/tdlZFBzbT6C8pnfmds55P6JvdNaWnOJqpoKsOL
FoWL2tQx/r6SCDfSvhJrXS3iKkadWhpG+STiI9w3vu79eyv631u8mYWzAS4/z/qJLAZjCu+3bBn9
/3fvf9BJTCgztz7EjSvC+4aUPa4rTfka22aGUh735H1TNoxjETO237v3xygch1lPYnutkTocRhYJ
BQl2w1Xie/WK4eB1iOm1iBb8i756aU5Wd5hYqmSqbCQRBJ7ET8BK0qhrKtDIpKaYOi43sG5Aoz5j
u6lPwNBQoOZumcSbPS4ANbb+GPWkBJZRLU6TgU+pnxkvYsXB0iGI3KFVRCn76r7BgAlOqKfl7y4Z
yhxNdBGAUqqj4v5N8pZzKGK5rmuHyvKHnUzzb31wshO9I5tmNqZfF/Cvi5izcyPADCFCogfgtYFE
V1qT42SSoWPbMkTogjQ8mIj3XQI9pHMwPuZ49VgiMWiXHqeaWel4hO73A8KA42gojuaUqfZTAi9s
AhrKJsDP31bbwop6vFMmB/tgWqSVe3G1S6Lh5e5sn9W5ch8O7rf+z2Oxy4EY9KTjmRwXQy+CbY3a
4JItZbYtkjYhhSOvznCFQQfIjDQ7ITV30WO590q9h91lMWYK+yVHc77TJemRlK/sCPxZvuFgSspq
KJMLcooeaYGfjlOj4fqIaIaUxGoubczj9BK43pKfLVQ8SPE7GomS5isoTexQUftSOq08+SMhc0Qh
OoF8otsruFZoDISljWEWQAhaCdySDSW+cmOj289pPN+mBo+Z22sVJjgynlbou5ptZ07QNMWYgMWa
ztlw6EfM3eShxCPjM3sv+01SxkDKmVquoK1H8UL3CQjvlkodfTMW0/ToOQ7LKEOPDgmdUeaikXeG
U3F2Xesh8ptqbQZQNyjxVx7gywcJPBjnGzVaZ5LymnwkOB6d2MqYLbFzzQI7Qx0vsDO+uRnLOHgp
xuxvq0f15X4PLJ4pIO3n2BCCfN0Fjv0uqRKjdsn4GmzN3Vq2gfrCJOxd4hK4P+7VIyyCmVCKaeXt
W1u2eyEy5ymYxGc7x+YmyC0wpaZ3D+aMAMZcnJdad9p3AtIp8MNVgfuo6t6FsdDAHFeQQuqvuJnX
FF/TlV0HlYozne1VYSTaURfMo7FztO+eG4VM54Ofxjb4PayF0HRB1TvpckA5u7Sc5FN/zd2su903
VleniCdkcMwaYlyZJxrfvdYiHiidl3iIBhYGTDw6p5gfBuh21h5vTa/5b9bcpQeyDy8QKcNWE4n5
EKtbM5mA2ySV4tDaFaeO0+dM5+z5MSlabDeOO5OkMIsN2q+eXU2WrCyyGb+AjsytXqLQWxiBCoJn
j2TbmoeuKnBO4aEZqrp+C8YcbiPtANtsHMamhejM9+1xx7yhX+lcK3/G+DnIR1JaLf1N+mlI/FCy
zty4efFMWaiqknaNggs8Wb92nebwITwuI4ZLPJfdLcj+ZH8hFEd1OxXYfLOcSyGZk48tse4niiCi
f6wcR2vXISXaGt1wnNqmfmshOAYCHShhyhB9SevqBtUTzJT5kiZW/4JxovAyyubnPju2cuhuFd/C
9eby0Fs9xXrqTCe81jql1c6bobpmXsOvxqWueiqqQvVttJf7PcNDtKfpDcyNhzPMipM15YDJ7aDJ
wn73ZEH3gCh/MD3MNP9l8XUs5Gcj6/kMLQr27Vje0fMd89FRm2Vczk4Gjl7qds6KxWP8azjIAjqs
H9A+rQekFTj+2mmTRu78aBHocxwT5ZKy8g29DNFTNUNomxFzz2isrA8TsHJFGfHaq43kx++YSkQE
orbV8InuimKVrnNCWtfESxAAW7iN/xUrKAGosiYCDtOGVwbujqo9Hepjnv/4hbv1l2T5DAICzfC+
lpvYt4ZNrYtup1F5/tyXDSNos6R/ZJxu/Npz/6FHVtKTPU7xnumZT/ZNv2UgSz4RQMa70k/KcBr0
4HGYcf45hHCrzMzG0VMIRC4Epor0daLm37v3v8JwQpI6TBVFFzXPrmRwlrP9gZtn2TdRjGRF3W1a
+UHfMIo7c/pP5+jLlcYurGJBcZsRA5z8DFe/ZYMAOy4GaVDLcu22MVxpOoObAO/q7p+ghL5H4pG8
2BFEACzJfIh133taDF3RMKLBALxML9Weygv7P3o//mDPL96rasYcq8nyVsTMklKKnFYlgWz7cs4z
yIZ2hzYxe7VT+annIltxfvjfZuc/Eu7b/DO5AmqGronVIg6AP1S9dhjLnNphWBYFECmxnZjdYxKY
PNd9iZQ1MGNGsNe8xdzEnkbgkuoMTAvjs0jj5WgvXX+xF29juFn9RlC4V2b26+i603PJOV9Rs3FL
tZhm3Nk3jhxENr+GL7YtsdKboRv6cLZd51SP/bOgEcNorH6bWctXYYrEotaKdU3Xp0+dRmFWO4wa
Obz1+M5rPvKWTpq+4cRooYrxyy3YzXvwrTmoWaKRHvK+COmvqAQl4dH9sGD4y+ooG92guq/b45TX
d41NzxRpmQcLKOkAzJSuHXeyD9VY6er6KrZan9OgboLL3BucYIVZMI6mXNt51G/pb/Ce29kOVp2o
3LDILTg9R3hhT+b0EfRoIX7GuWS5nnwmBG+ulkL7SQwNji6TrF3jmQgMRuQ/nfxrywkOdrLqi6XZ
mErb0bh22fAmNZNWeFE652zovtrWaJ+LuK6pbQXfdP2WgrdPKep43/WO8TIZZnEK+tKgb02jWCbt
Cma+tD8si/ed1QblUFQxu65rbpfIjI+G6RIYkGUUJy4Ac75o+uPoWP4qawNWZ71f7KFFuIhRwHlG
KgOukApvD/slSGsO6Ji1tUuGSHsLX1w/1a3V7nCQmut/f8HeLDZWbL64ZSc3FAx139Qy7FAja3tn
SoqjL9Re0a3nJk+to54X9amO4HENAj6s0ZFPySK1q9GP+/s9x6VRnGtKd+mqHgnIUtHmExUbx0ut
v/ki/raOYe9Kfv1tTMMGywjv+zePPWcqRjEYfXN9D5HRNMtrJxFeGH5qfwbja0VGzNmd/BlBZadd
CLgsT+QaKCmRTvr48v82rdh72vAPTAYm8AhhoWYxtSBV46SJ+UzHJLHi2uydNORzqwQD5m3Oh+DG
WTkj/jbw0qPZ+kc6hb6m4Hs5QFNlz0V5VPGkYUv8RkjeyHNnxRyFXQdC6poLTtic2haWYp2s6Bik
IXuX4xfcmQnNtffFdFcO/SkqzOM0dcFzYWgIYIjeH0pkD9INuitDlCf8azGxrKrVN0T/pF2aiAlW
M22z6bXUZ7xzY+Zfu94rWVeM9N0kyb4MiMIgaq0+QhrXGyKRxDateG3vNEHI273SmfWesqh6M6VK
kJ2qrYya+lMxj99p0lQbO5vc7dzNzNBKCAS+TXGx62lc9eALoUbvyd6pqz8gvDeqUszHKY/9XQ48
tqm7TKffz4lXzkTKUe92IRVQ3Zurg6VTy7wu1WkydhVGWFWJl8/Oj16XrlrCT49I7MuTzdSeNlcj
3cSi22OJVN88eo0tyoULdKx/IjWj1OTBRQBLCIq9Fv6jZZEL3I7j+OOrHJkhSLbgRQXyICN9oJMR
/j7ScGsuw6sWZduyEymXughEaRHxmkDaiVCNPDs7nfVse7AsbqotN1Olv0+IsA9xIKNdAfcBhd99
lxMk0NCW/wGjgVUzvPI8EWUVmm761Ph1uiENShwcf5zWlcWAvbhOcbJLMWPsjr2jptO71fmGwb7H
vL5atGkhRVZaBzuxN7UninfyhYFYwOurnmRTwNzghwDwHXmt5XNN2Xzr0W9mj25ARC09Q/hjx9Ms
0piyr5i6cAGfag5wWe74WYomhrwtC1L/jX0X9FzD0vjDib2JDxyh+tY2wqi7Cxm/24IAS4rurLF6
MDOH1A89h38yWArxtflQ1mvcLz36hvixznJjy0cvtgBYxlPZZPoTJ3ArV3kPM2rbLPzs9nyXipdV
0m61tKObYxkNxpUk2iek+uy5fiCLGsz2REBJe6pTrvLE0R9jBPh7ZhwR4dlmsdVpEFrTzNaeWl+2
J9bKV81FkxX106tsi0uTD9aRuUm1qWzSR5YssU5Ms7i6dZ9J32QPcnCak55rlyIx86ufk7aizXZy
AfkiFaTQk3Ne4Ggv++6Ez/5o6KX2EMWLsZIjp3IBGvbe5nCU1fDWx7u0SMtrT4jmVWsWIpKdhPYJ
HipzAzktUTlmXcxXXNIvcap7L2SuGMhLg/cxbd3HtHkf5V4CnTxlxBuQJdCY+1EKEjzsfOsLcBLP
OPSJ4ISpl81o0Rcba0x1SmdvQld8WS6MbyacL8cdmqeMtHvyG0r3R2+MtSXi+DmfPRW+g40mTr+y
YQx2jeNWhz7u5XuPLimrZLAuS7s4aprdPecOByz0x8EP4o6GTIeOVrO0GtQu1TN7A1CKINMTSphV
PP/0g1ruWl8yNmKUGlF0mJZAhmman+eReY5ofVIgcFZ898iKR50+Bif3zNOQyAXjB3simwf5jvEE
+y96CggmT74zZ0FIGbVPAxG7Zh3nj6whiGuo2mDrCrc9OAAYCjuIKcBhQxkT71sZ4yaIe3L1e+/l
vsmBdmeTqqi0lO9TiRiKJoNsn1oJ3hY3wIKj6WFERsmlI997a9PKjCCvzw9Fn+gh4Qnmpiy7+guk
6qG3og/N0Q6sxUemVgwF2cDy1R/84lp9mTPDXTbQUWe7vth10DkIUgoN2dZYUPxF97gG7fPSLxA1
FM68j4224iplXCMqK0DsbdbqafmiBbk46aC1GV3rDz0LmiDX5jAdumnt121NM1DOQiXW0ZBPtnXs
Ee3RAWJc5o5lpii8hrkJdXOIbB2OSdZtcioeBzpwLtkYnGOXhhpzEIjMSghnioHB3eir6euG9DSA
76DjRMtHK7RJbb54PhwVIGbw5NNNHRTxF4UBwdsgPGIGmY6gERUkbVAyvHtjkV/hbimqGwKT7eiZ
tE7vDV3Et5igjFcnSTejoU+XxlRsICXGtza2vWPjVx9Gmxg3dCwnDHfN0Rrc6tWrjLCSTQYh08Tb
dJY1YEWW/sg57LP9RGPqC7UY04uJO91s87/wWP1Fc+LukRVwCb8XEBQSEfpflkJg9smaizdBvOp0
c6HNGqAg9J7Co46Q+VzM7YrBozhQPNcywWDjYmdf9ZY84QwqqZZrswNzIOMkpQQ+Ew708KQ7L0nf
3+LKLr8Dk0igxkSQ0sbPtbUU63HIxSeh7BA4nvOPBc1OYTKpNpRz7CYn2JO3noWE3xsXYCr9UkK1
XJDj9eHUaueevk+qcvtPb0RY2/RJehJx9N6DCR9g8ID7WL6DOT+kZEjGjVW+RL05PFoapRdlBUvP
PLQkdeh70OiELzQ448GgOEjCmh7JKwYyakrrTfetdJfOGvB/7pCR4SIXkKRVPk/0/EbC7/6mS/Hq
1ch0SA9ZWL529Q5S296B67WGGdG+MfrPpVdfkrzcAlo5oRSAZHNLjIjDSLcC9KDrQ4+tnQmqc5Oj
HrMm6N7dTti3+0NJ0vnbSoz1wakFmCFXzSIlT5XLar7u6wlUE5nleTadPzaQ1ppGlXcKV2UYDc30
kNqxfKBKJd4FWABhbgZERLDJmeOj+5d68caK74pVqdm06ZAf4GO8VY/w8gD7boF8xO6ZYJ6bhwSi
9834MmHXeurBM3A0aq8e4bZL59gkouvZzlI1QO6QnhA410+uw8lUaWJD2LcDtFVAisyAkxWg6sE3
kmCPt9Hc0Bv+ai4FJ99SPjQ4U7a2HTDG+sarm6bNgXJtJgwGefXIsg+wYogRCZvcimiJL4Ud/LtJ
gzYI82opS8ap+puSTfd032hdjxgCXyCQS0DpTq8DI4jmGbG/8egNIj/oKTnCdVy45aplHYoAImXW
Ln2bcg+4g7Z/zNSmKVeNZqNA8hp308OqbgxCwSY9/zQqpI3zbIxbd16MsGe2AtRtZag4tQzNzRCv
rDKrCG0YjC1Zdc66lbV5S1urWOP26w+jBmw4T9q0p/Pc27YgqRh4Kj+spsTfkaHzPLiefwLS9k9B
nGSbLltovHVFSXd1J86pVi3PXfZCtFixiY3U34/l1L4gDWEh3/XmWuu7v6WLzMSek2VTT5JI5QKx
hut35QGVehjUSgVTfXdRGV/mUUUZLfNwm1JOzEh/tcahv0QUhW7zhg5NzYif5kXzrpLEnpe553xP
MYr9rqtH0uXWMNJg1Gjg+vYraMblU7qsQZ3Iynb3uwhEzq5Y0IgDEax0USWhKQ37Vltzg7x0sdeV
U39YXW89TNPfaTKGh6WLsTII1EADEOyFtSRBiZ7ATjUXrE6DZkPQ+IHg1Og9oz98l0+6TpX08MCJ
BpNvUsUSDehF3Tby9oY6VBNRr+B0lnAam24bjYrATiP7JO8beQX1aUJKyBKxSpDzHNDbhm5u6tdy
SvtNO1VvpUkbE0Jj69NtlkO5WO5j42IcEOIohOX+teMYXfGQyafJa87MDoLDlOrIbUWevUIHBtdU
yclphwmdlrm1bwf2U0WEUt2C6eVWEpbAUW0W0TaaoYW0anrVZwnHb1Z/0yZmyZN21yKb7BXHxXg0
AFRCbxhXlm0GT+ims7WRJ/bhfhex17jxsOY+LL5xpt8ezdpICGLuc65Ymn5BzSy2IKXuepwL/SL0
Ub8Uk8mInnFJNKy4e5bDZ6mZ6ZPpdd2zYIqsxeZn5er6a+qyK2Kt+vfW/TFt9CmeLK2912vIJzFd
ES0bXIBRxs9lBuIiHBFhk9GuK9kS5hjT4bcjoGuHGXWAQoznL4DRZ2tq5XOqyp/HIscA4CJYHqay
vTkdrVJZsVjrpRudV9tHrDkLt//gK0GMpZn4Hnr/tY3jx5RTfZ84C/ii3j8MC/YTaBaW7X3kLhRt
S/9HuWTNzEOhncTFsdDRPFFzVx9B46IXu0M7bSZu6CWFvFr/w955LEeuZcn2V94PoAxaTIHQEWRQ
qwksk8mE1jhQX98LYNYNNuuW1at5T2AQoQVwzt7uy2XMZmHUzM6BIt1jsoXiKCv+Idmkmt6f4rTL
V4QX+D9aI0YbX5ovXWxYm6I1f/UWlV9FkP5eqAiwqlSW7ighQ8aZ8uQV4eJzQHPySIAoQzpm43uz
RZ5QOFJwy/kTuT0ZTQhQI4MaJa2CtBrC+2UhjQX2m8mxDnCBqtVkOdOqL63otCxIm262Vaj9WCq4
ITpLRQqCVSnEh8opcl8FNy1nr10iDWIXU3+ln97Za9+kzaxJ0rqg04a8WsEFGVUxanYl26LEIuDK
z2jqdm1HPyuRmOCBCLRbq93KsUT9SZeMrUnva2dQ9vWSmjZeFTpMgehM7uyfeNCc25YCl9ekdral
HdCsOaVpXmFQUFa0ozGXhyu9Vz9Ta/4vt+E/5DaoGhnJX0yE/4JcuP7o/9/VxxC9F1+zG/7c7Z/M
BVkjh4HipQbWigAaGUPyP5kLc64DZXjdof2sW6rJoa/hDbAC8CkzDiZYATdoU1zCGxwoCfBtLVlV
9P8qvYGuEKbGrwZlB7G6Qg9ANwzFpLH1zUdfxXpKeTePT00VAWY1/YLOk5i2STqcYntG3jtz4zhU
HRD6VJBwsCG9lKQM7UrUVOsqZDiVoVbQDDi99XBoQkQpy0Kj/nzwVVtfS9n4Rl44wO1Sqg4OKbdA
sefV3AbstF5WhZ/Xn8eXTcQxlSeBEaXOGiDMUYGel1p1Q4Omx2Gl5YdlodDeIbt73i4dK99H2S+7
IF/GmTUXy8L6a23ZFHRD16MCy9efBWjTrEnL+xmbv4hfltV20ks3z6wRHuSMwp7J2GIWs102lzVH
6SkAjRNDVIQfEIaLg5aCW74sjFmxJnTjmMww9WFRVcyLaN7smQZupqg5LftL3xi8MbBxnnJRSd0u
n1MbzKVB3RXFHQmq9QbaQo6ArUN69rlqCbXfJ8OdwZyOz7QZq0Oll38Wy2YckdCsRNLvGlNnfwyI
rnKnxprhmgymjnDfVmS0Md736ZiX3a82G2+If++pqQDzbJzsqg3FuY7lYDM23dYGDe9a8+SxFlHL
yJhJbBgDsa3lnWJnDyJUyLUM6+teSYwt9rY1EXXBDTjMuRLDibs+6vMaYTUFs0vlh58ka0uTonXd
0+ODqEc8a0J/seinNNLQn6VNsQ9m9czy3eAue0yntvKxWqr60/L9BcDvN0mj23V7oxe9SRuixS3V
C4YD8D4o5cnmB9TgBuRAJA78nhmezGtoqv6sXfZp1DdT97K93Oayebnfsk92fAQBFQi/ehQ4Av96
wP/wMN8PLw8bkPHEVz6/ss/jCc55BBuX5zSWF3fZvjzff7+vLh3DYyKAzm9+xmWR1fKftW/7OrKy
t5IBchPp018f3ZeP4NvH9G1zyEk1lkXTrpY7h72CHK3xD+n8d4Fg8WeR/7WZLMz4y/ZymzpHl+0t
91mOfN5oObRsg47cEp6NiFAFCft3D/tt3+XpS2w6mNL+5pVcbnN5NXlbta7EiBiBGq99OfB3t7s8
HtGpDpNj53TZdbnrZd/lvV32JY16rk10EJ9vVzWtRzhAwSacQ1aWoIfPCIgl0KFWpX9GRHxZXaIf
pDE4x0JRNqpZNfJaVgLFMxnZeJewiGXt2+bysImVEMywHHGWpInlyUc/1netj055jqT4u/st+z7v
vNxmeSGfj3DZvtz7274iG9R9UsuItfqwO5T+m75eYm3aWYUbOUzLP7ej1Bwmbzn0ZXXJwvkMv/l+
qBTIs6PtQsmnGc7JYsx7xyMcUncXPeSiM/rUQ365UbDc9Jt08rJJeQxpXmJco/SsDlBiq4M9J04s
C6TYc0aOhBx4GhvEFxxYbresGUQR/AmlWLaXO18OL/uWBajdP48aAlRynRz06jR/OlledYdlbVkY
hdN5JO3mtDv/OtA2eOSTsWDsicSYM/TXxd/taxPOu/SoxXwdHJbr4Lymzv/TZV8yzf+b5Uig4GfT
O4XBbuKkGF51gQ/EZlqeR9ffb/x5v2WvtPzV28nexGoa7hZR67IQnc+rR4nntaFVHcz54rYsolnF
tqwtB5REqqhLFM9yPXT7RSe5LFRL7sk9ivFoGk7wMswfFU380CsbTaK/RsNrIIbF1RXkcVbPyckQ
nP4uwsBlbdkXFjSUcgSWeqROh8HyscnMi9zg/eZd8ymFTBrzjwIyZtLUIfHej3StkCCwoB6Mc1uY
yHmznjSiTq03gT7d1X4BrjsuJAQx/GCW73ecv+SUPBC0ZvNOsfx2jPkimB5J0I64P0oRzt4kHtCt
qFN3+SSWD8YnMQMfn7X1J1k/OMLBgDOvhUb9Z200BdNXMQOos5waxCI5VCcdRQQjwOIgD+iz8bTg
wABaS5JC1ezUoVnBjp/6ez6o4mAgcwRObJFaYNQokJw6prya0WtOQhlD/VwRJgfZOaQIsdcRbjJv
sC3JVXPcaoPUr+t5VKcvo7dkHr0t2+1l57K9HFkWOcmrYFXVlBZEMfhY0+bty/EvN1oeZNlOU8nc
qCrShOV5JkaGK4fyAK0x7d5W+mwzIPKfmD9zOtHmzJtlMUSV55e9tlMyuoGBsVfn48tCm0dey1qj
xaTILNvLnS63IRSYI99ufrlNbVY6YjDZ98xZsb8sJlAyXPjnbX5lSIrLebj7t8dRPcoww22aov/7
Nsut/z/2LTf5fJblLn7U/wqcoF5fnm5Zu7zVDlq8q9N78JY3tXxal7f7bXN5owlt/em2na8KlwUt
duwAf+0L5ssXMIzioBBYpM3JRf5yaSEckGL05YbLGkYnrmuX+1wOfz7sEpz0bae1RI99e9rlNv92
n8kY3tMIdDLBz9IQ4Je+LLAN8wV9X1228zm+6m9v2RizOvzfH//yoN9v+mX7c/XLUw/qwL9OEubn
Q//L8eWmU0RlrVF+fXmOv1/9+2e6vOhkVB7Q0sSbL69gWb3c5MtDLEe+by87v9z98/iXl6PRI52T
y7DpqF8W6V+bGaFn+px+ttzisv9yB8h7/rokQu2yy5+j1lSAA5q3rC5HxJzEtqwVczpbRjALQ1V8
MyyWPJppjqtJYh3l97K67FwOp0v6zeWWy1qI1IMkJ7Tjn5E3y06EAkyWl9UvD7cE46h9Wcpoj9Fy
L8c/n2nZjuvpYSpJx2iEcJT15e7fH/PykpZHXw7zdd9hKQADkQ3SuqvVp+W/cvlHLJs6EJN89/m/
QONBPN/lVvKc3odBjyzA+RLfL56qcJkU9/Mk+bKAGhh6zpwNaA3VHBM4JwbGBeL8ZSF1E4GCy2q2
xAwuq85HLfCyDKg7uajN/xl9jp8b5tDCy2aGJzQ+GLadb8dZG97Y4RvDHioII1YBuxEfo9B/4Zj1
0oIQhIQ+j6HcQ3ysD4XoXqzQzY5RMwLVV/S3EEXWeplbJzxM4SCI0mguze9umb5fFssMf5qjsPSA
ywpxGDHNU3UFnIEBboiTwtS4mJt0+pIqxigpi22vm48p78UwhmMDZV+WGYTx26Eqm65tU3gTroK4
Ts6XuetSilhmsdlg9OvK1APX6dHML1Wo/yvY/YeCHZFPMzP03zNSHz6GH83XWt2fe/yp1TnaPwxA
prZsKgYxq5rFg/1VqzP/YWoqI0YbktRnQe6ftTrzH6R6645N7DGMVMWgjPenVqca/7A1w9CJbUS0
Oeez/jd8VEpy3whliqIaOowgS0XYbc6tiP9NKJNbSeqqAgqRHtfdzmy6+6prkDgEWJYKy7yCCIZG
zy/vsgAxrjONp1w4q2gyCHvgJmpanhARY/5w7I1h13eakf2ooSHyg7Z2cD42GMwfgDOhSXTC29Kw
73s8ezVhdXU4GYxZQ9BEk/6Y0FHzElltToZW/8hlfPs69e2xWg2RejYVi1AU5aDM+lVR+rvaTjeW
aJ6p/jCQCBFCl3ST/cq4rbTmGvcBfSBSq7C7DpErVdpNKuir4UKgQZ9sjKE9qqINVpR5vJo4LccJ
NnSXLCR0lostg7GWoq56hrNpqmTrydrjDJBdK1LKtZ2AJ1HEE/Fv7qQkPW8s30pS9NA4JAj0yKSo
EiGErXoMuNGgbhE4eqXINrbfvFW2shG1fhLWDFZRw71p8XmQQYPrR+GM01koKtIqOxa9xAtQmUuX
XaBeZdkoH60Y9NW8pQ+VerWsKbWp0S6Rr+i/KdfTyOecF5GzLXDn8y70hiQWhbMJfJUVeQPg+0xH
OudGEdz42hTMFJptTl3sNI1avMZGCp0Dh/wN7fJpbQOO+twUhV/dYBtI4KxsNHUM15ER6Q9W16iH
wup0WvtdCD7Bfw78XDrLTkDeVBDhx5Zs/7wsanuUzqVaEHrzM3MGa0cWQau6aLSnawp34phn6rZE
2EQITU2D1edbBiwR656WlebSawVuVGgBczolPAJZ0jyLn7fXSol96nPLOtWj4YbSUGLwGawTrol6
lfI4q2j2jgy1FV1HtG+ykSs2kxsYbrWsDtu0z28cU5auzGQU980YhSQ+RARwWEZ7n9eGfqvI152z
D3WlfpSlgoX8BtHJv182VAOmS190N5aBLbuPzccOVwpwtuhFRgV41OSOliwxUy/AocrVKBvEPDTa
Czqq8cHX2ic68d3PuIeVNEy6ftuZvnIoqhwrtC8zxWH+eBz5TVtSIH1UpsQPeCivuwoQExmwxVqW
A8rSuTAeVFO7dsy4vTZl0KPoAO4HlKO/7CrbB31JI7wgH1yRzPC16PmLp4TXJTqpMPZg3oV9Er8p
vkJyg1LY9yMwtHUgW+Gm6U3HtfNu2qdxG+wqvufbySckKEps482egn3ZJf7PToVgKcE6HhC6NVYx
7UL4DRu70ZoX1LPr1DfVM1lpwoUtrG0HCTytM/bBE2l5+qbMCn1tDzBJs0Sz150RyJvlqNOrW2w3
CQw4y94lpRifrUZ5ptdV3DS6FhBsBGDJ9g1YD03T/cpw25f+XTI1pGDZ1THNOue6GbIIi6DpUFqO
7FOowJPS86Z8CE1wgTFPnTYKYBNS+Ah2qZsDzchHkJkoSdPgRybNmTlMq28KZCqISdB5qBnRODZ/
NhJINOsw2DjY0tQZ7gupH+5zVd0Jw0m9vsnB9M37qaZM6zYalfVyCwsj+a7uGqhmYQagMRtvk9oa
bg29JUkmiqgE/HMX32WyDeToGJkmPkYgXM9yCfKZmSedv3kTcgxBJ6HPq8qCY913iDKV5OwXSXNr
TCJ5HJFzmkn/hmFiuuqrMH/AHXMd5U2A34qtIegx8CI32SHw8AZa3A+cgQjIIh7xNEaJ/Iw+b4Ue
3CAevhc3teE8GRhRLdlM7wpk4bcUwrd53+iebo7GWo7T7Eqvh/RKSmCWaCLe2IFKdmU5aBFigAdd
1foD2CZ6spZv3Je6icgp9asPdCkw6LpTV1nqypQIl5vSJL+iuVOf+f4kzBBduCWXN9/JTvEU6FJz
L+VKdhRcLufstnJjlWW0K03tHMhd9Mu2lbNNk/d92AjF3OOyG59h8RgH4SCTXjZXhFHrWAAqoHWN
br2k/KoYgSfPOlDPowXHyRuzzH7pnanxZH5ebtSX2toyg+KFBB7Nql/kqfePZDSSkVW2vzuJ/xPE
7jP6oO7JlDRpI0d4vYjnMVACNbHLiNC/zfGxuTS/CqotlrWyO+Lq6pE0s07mL4wEi5Kak+WrTtT+
zoSD+GQVfCmZ1UaIJPJroILOuZ9E5oWBFRwWfbhlIL8K0/FF9SFN0QyOMEsU4tbucHTocnhf9Trn
ah93qFEU6UmN21NS2d2NnpQSf/NYPNc0kFB75gdTAvI1NAjZdStv9hido0e1JlcqknlHy1EgHxYS
wFOeTXvEFjjSTJJablB73irBJI6f++bNvIsLTMXykw+J7cqeF8tan/N6+o4cmXZIOnS/andc1ugV
Bl4yYSvIQn9Y41VCy5FzepKhp6zsiOZ7pKrlKk5mfICTVTcpui8raX4jViOIk8Q4wjs1wFjzpJu0
x0NEDh9pcNRRJj4Efj8A6oK5ABFiSXaqVw1X7T6JAswasthnRbQZpZgLe28wyqkt/1QilmE6FF+r
hzKpbzKpzW4lzrLAirBPS+aHMjEg0rkobDN5GqEiNNWxS4imMyP5Hu4mepDYV3aT5psry65pfCTl
Hj34a+BkWyXo1PUAW31n9PVPTsKTO1aSc0bR1uAuht1Fvfyq04cfOvE/uihxOxlcH0RiWl453kdd
Cs64Qw6ntS1Pi7rZ0vWW7N53a4wfppjUzZHgMylU3AZBmWJM5O7V1W8/UjwhakBKJpq4plVupHbu
2KrdL20Y98ikG9ytSrSB2FO5hR6jHIgt3TP05gU4pivHAk2VnKobyxxAYkXlHFtHLckp34lcI/LV
z5+k1oCAqK0dQ8vdMcjWUEGetEp9VzLk/pZ8Lck++Wj6q01WY6/YtwLTDn26/sMSzMAqWrRU0s3H
QDRPOOS3jemb20pgbCzHj6REDGykkieQDSO/fe8Ks/MciHQMNSytV1byKK/g6+BgD28BiQvX2Mi9
DLK+85nEScTG/RKRyY+5FQSllc0WC2PnybWCxRbGcD+SnwhZy+ui4F1FcOnKmXFbErZWpe9RXL9M
OtTAtEMeVItZ0XvylfRQ9SUSMUN5Llr53reSu0JAC8xM/k/y7950+358AmO0Rn29KgODZDcqyF17
9ifpUI/Wil/TemL8N3U3Q2N7EKnxeYTSXadJP5K+uZUDwLqJWMWSSZxbsUs4E2NsGh4wNwVeIZWN
S0E2d8MZZYfOpggQvHfpXW6hTcVuCasE2pUWVyTdlfj2bPPd7KOQFAD+knW8r1SjcbVY9oaezryp
macq0VaBXj0WVkvIH9d6rBJlda4CnXiAsDkxfkq2nNUsOtjuoAzXKh0QLAZ9s6o72toGuEvZBxbo
WGciElwNAVRu5f5RrVibh92RzAkmQ/NP6/46dbpXK6uOxZS/561cbhtpfJD5P67auo/5GEkNUycU
NhUpqxV/REem/aQYaGed8UYh3JqXn8xppD4Abb6eOhT3YwLWSo5jN7flGtRVmQM7Vzb81ENX2EQ7
TIH8JBfadSJbOQBDLVpXRvw6VZrlNojUEBgGMG3i9eSoAwO57qnJtNdmfhxFMV6DOr3WhN97o51E
5Md+VDr/EU2q3rsy6t1GNLFnPuJTBKaj/IztX1wBbkhw5aWWgJ0qCBiN/dvOxp+6qZ7UFm2znGe1
F6KlSxqj5zpprrAB/eg0+2lU9I/O7D/GqDrp5UfTUDnJiuyk5+HeaGZpFSaU0Ihu255UucIoSXM0
i5MVjly+xhLFcex2UfmGw85xuQ5sbWPYEQeOObd7UfruORDGXWOa1xCCblMV1GKhZe6YYQG0xVUB
QYIK2pGhkeoWdfgrVLRq+QFm1GHg6zabTlDZmErzXCfmUUzjOjCQH1AiQuWLhPcGgwx/yjrnRzIB
RNE0tqT+BtYRwG/9DVPlTcD115QwYxXDVGy6RpyCRt9VnRbC/Y1gFFMQyW66zieYD1b4FCBmqLPs
jEmeU1a4qWvU0pIAYlv1UCfsN33uJFXT9CFs0lxrQEMNHg2c85A0fI9BA1b5yUx2Wh+dm1Rtt6bS
3dgjzvW0fvMdsS8kK97QlCJhrmlwbkZXouoAgiF135rQYhW9kndjZawbqfiBeU/sQSIobi5LBvh4
Z4Ofoma8gZNNR4XJJYnPwJmG8EpHWzBCGL6xav8hKurfyYg2RnTAY7V042M9ew/u4ntbaPeYhKOH
pNCefZ9Le9CU0koCBdGBzNswymr2hsNPKnfgQaJWPCOPeFZCPT31tYr/NhoTFJrrgXRMpnI7R+qv
yKKX76T0IdJwO6hGqa9SjfgPQUaIX+krcmYbBl8I0yoHEPQYOhv0RD66khiG5gDyTOjmU9hCiTPs
/GwlY7zpHFh4sm8dE761o8Q7naVuo9YF61JOz5KEhaEy7HPf2w0W1Wxjxk7MoKV2MOgCy7Y59XuI
09/M2hJ75ol7Iwz99QTiblcbqPXiQj3UGbN4kD+/lBbaWJmSH9I7SHNLjZh7NRuxQrXVSwPgv63t
9cjE/z7J8CBPvvlD1TSkvgXnvjdDUnV8xLjmMMvMKYx9hLdIJjYysm7D0d8wrbW9qrbvTPSnxJci
UFdNLpc1XG2pRj3Z2ufGyG9HnxO8hYCzEYhl89hHNEyYKZdXO3MgVtawrPNylB4bf/QkojNWtRO9
GGmabmqjv4LA/TsckSaLNsrJ385QK1Y6E2vYxM1Mh6rnNjV5yuh4LtvLTs0xnxN1stbL/qU7TT/z
X2+3HI6Jrmc2Vm2Xu9aAxoqIYsS3h1wOyj4jQn2QT8tDLrt6EpwHZIPuhJqLtmGQE2k4oqylqO7p
CKk1A3d7cR0Tr97m/UeYMZhtR/mFgsdVtAek2biq1O6Lpj3rbb23KfuAnO7cXJgvRtT9TMrpw4rH
j0qjDSlGf9U42l7r+48pwWIMp/WBi9gRkx4YjMHDxE3NVNXBj+rqxzjOCezhqi6Vq2IExNX9Ag1g
bdKUq0BnKKeqNFd6lOeo9TXqza0Teo2NYeRCxrrQsqYUGVPXVwhfhSV2oocmMaO0lgUOiwyCifFY
JXOBXI1+ZCFqaBm3RtfrFdNVy00HYDuDincMmgx6FT2QVws+qoKewOV6hkgt2wtJCg1B0qa3AFhl
Uk4zjBZN0bs+1aTRIWoiIcwbURyjs0nNnlN9CjeTRaMTa1fuYjN9AxFKxAGuWNBeGikD80L9aw3U
hc5QKuBPPGQJeA412Y89sjR19okCQ220a8kyfqkmNTj5vlWDp7QPjg2G6jZSrhyjfg8b/9GKhl0Y
8YET8G7OObWnXpPXqpQfQBNvu3i60pQeIo6ungKJ6AWDFq2QAel322iomM8gDmPSw2+DSYrn8GJJ
uAi8plTX2GsTz4puu1IjHlOsW9Nat470Vs2ZOb1F9tLg/CpHex+RpD4PEWiHKUTorCwHJ5FiHC0E
f211OwTiqswrQFB4L0BMK7L01vr9itofQ/xqbRAVXYnwTZnkK+x8/JcmJAGl8Kmm1C3FBvnGzhG1
h3c5bLOdJvprZ1CpaQK/nlJcF/qxg6uNJ46YyBMN7W02gN8S+NpGWz2rfnxOAqDJQ0xLrc77bceE
2oXFz9u0+AXnONILQeGySA8Gsyg7fYBAzcRQ9Z8V1M2+FDO/AAionnWr7jcyaF7fpo2AGh25RZni
edxrcqvg5S9/JzBTnFQ62KPdHNVWgAegImDjXO0Gp5gTn1J3YNSCPX6vQhpw07Ir942RoVUo8aGL
U5X5j0VpyitQDucY5rNXlOeRtNNtrb+Ovg+7j/R3Lk2HIr4RRgj6vYF4FxowkKliHybRbjPygt2k
iTdgCZ59Ya8HRaOnEoVUWMPoodS3IoOY0VXMAhhw8NNvBFL7+4nhvms7GCVqE5Nvo4+PIWx4TyeH
YCVVryFlB5tYBmZMAAmad5iHUOKSao0K8T0uMntF4ZbK5EhOSX+F4OBt8FGEazM8NqcHrfflDvQq
ht7Zf1j44a9x1MR1BDI/02ATJVzGUtt5Jrindn0BnzPqmMrQGtbz/qUiZj5uUwAHzbOij1vUYu+t
U+GllZJiY6ioFVQQOdl0n6o1gBZZSCQ7j54hS4/2DDXUQzh6o1DRNhpHGYxRGgHul88B5g7cOLdd
UEp7pX3RCc2V2mdhRQctLNe9qPZyqt/FOVHRsqWgfRSRl1ZR49mdgfBSu5IUjDhVfC6q0WWEjvez
UVywTBo1lOsm7T7AWrwG8Y2mgAUuMFjnZZbNqnpt05uc0QyDkKs+PDmdH7yKsnhXzGSvNdJp0MXZ
D55s/ohaxyjExmFZ2v6t4gzOKmAoYirNPXqvZ3j+R2PI7/HAroiH5hqdHKcq9Zraus/ieq+3xY8E
YborRyTaFBo4IvAFryFeqW056T/9GNuPZSMXwWz2EIbJfTaVv0NOFOpU/UbMS2Bte5vKnHMsTBMN
NJ4i/zlFw0+fk4KiZL9tR7lqRYn5xXobcZwKPIycp1aNnhdeWVD775Qi2yBL8qwEP14UueorfId4
h2LsAa8Q6n3co/qaf9cjQQ5g3+230sfJ3ER4+Xu6przA6coehp0zPgL0tzfBWBzyeajql8ScSWjt
VaEAcdAeay4BIlDOujMVSBMLVxnzDU6czRgxFYzxTHHp21Btu00V4CbGu8olDGOLxy/4VVNA8DMI
GvPrYur37RDcQsa+M3UGZROVYkHZw6hWZDnPgtSetyKdhzY7gAqOSb+4ihR5cCPNuq9ikxSHcW8g
uKXia1OdVl572bkLAcMiBlbXFmNDOVDJRa9woFopb7eA4ocZNqYeMjKCTtdmwIAHzsXt/BHDr3tw
Uqf0TM4IoJc2ahu+S8zLCNEuGObwFsLXGBNy6gDmx8o+ug3hAOqgXPUmGzm5KvVUc/bMJmNP//zG
jt67xhiv9Ch06HdKL2mUvmqRPU+tHEiyyVMdIA/sH/u8ULhbdF7+SG3KT7/8zeDjMZsNM8FM8G9l
5mj2TWXCculHh2q7pKoQ7hTmH7XkjvLwbJH/QxeLMbuEOJWKFJfJZLpSFeZFZnKiPcZjdW6q8Yvh
ig7unm7XNhQyJLtyhY3nJuqVnyRac5J3qptAoW2rwrscC1DvqcoHWMdUsOfpdjF2eKoC5WSWeC6U
xLnm2993eR559gyIkQY5dAGxgTznDQa2sRu5dnimRU6Fbzwalfk2GDPLRnn0QwocXf+bMe6TSO8N
0RVYIu2VD25lxW8rBaXTj4B2Q64rCKJWgoAPxpHjAdAFJ4Uk+W30pryueqAHw3gXlHOjXHRiUwLd
c3tV/ZnZuHQhjMaj4V+RZP3Yp4OXwdu+nioH12mDHa+Rj2o6gSw0mWg76N8yMRqUXBmXNhSfZNsN
O4WmG/HQUVVswlSldZgHQE9V5XVSgBDETyMtGDdLfOoM8xmyal5JKPlhasgkbUIpTDBvJztlHIoR
RXX5qdTuUBgt59EWsyzX1m4gsktVdY3ZmTFy/bEgs8DVtfSNiZaNFCkoSV2KyY+SdkClzc5WZRsq
W7LFbiwpNHHqtnPpNbEPLca+PgUgF0fhYy00uKJ1valb53mSx63Wt++ClHsXaRpQYyM4W6kDg5oq
aavdt9XwXGrOdRfQy0gr6YWKrSHnwh3CIt9lwH5dM4y4znJBi6LxZxRiN52qxGOa93tCAA/8gTkr
fT7iJ3BQtRYXAvIb19TXnb0f/aRsb/EXwoWnt0AZ1Fe0jFyy0+jXYMtrPbP44kIE7lNJiIVi3blm
03abUC2eQrIKi5YX0IUYSRFbUENyxFrJChKNCLcUDj9xBeSWq3ZBtcJlu630zkDY4LwzvHkk9lAw
EpJWBBl0jEnG30PYvme1vmkji7GrE6mur5hMIP2NnGsF8BTxpDjMn0RzHrI1X+/RCqgnjSCZQXtp
KwHMm3mKA2wheQQXRzFqxWBJ6NeWWQ3HTlap0gaFcgrxsrtx4IdPcqnOeSEBpKPJzyiQ/9AnE3Pb
nE3od1f5oEcrHdI0DTzi1Kdmw+l5XBk983R6UASnQGmQhgc5KedAl7vQKZigETa2t5zyh67STgqD
fZsNFLG6D7uUt/RVnhNgpy6OjcehT8ZNRJKY14XxxsCAlifytC6U8Xosmo9cqoyN1GgbnTq/Uj4p
LX1pM7Io5kXRz/I4NFl3sDt5KxEGasRnME3EY4z2B/Gb1P/p6+WUqyVCENwg02lB98A/xmwDiLF2
uy4z4VXIblzi1c9V59kc+MQBPP3ISS8nxGPtYEf3Wg2ZDB17UGLWLRPah9Dvf6gJxOixJTqEYIRt
K2uvNWaTrU96utcN9VuTUt8CnBqvwgF4A/EWXJyUs0Gj0PDlkqx5znyalFxJgN2geesU1eN1Qjdl
rfpc0hmyYwC2HJo4tckQNLV35YTgSBjDKoN8vDEx1+nyoRSWDLpba1a+rJCXbirKqmviXxUtM6/P
4wcrZdo8m968GrmXa1IE5JlVOgIrfMzRapCaN8MP4ZBrDIxlX107FgYWpZ6eAgk0ZSZU2ett+GJm
bo8rIQ/vwmKXkak3tghjzx4OweLMNpHEgvmZGbBrK0RmEBZHIAK7sgYu5EN1J9ajXgFWl+aYkM6j
5H43NpjzyQnEm1fl7Vq14f1jGp1FBQwmjWff0m71IUg9P6JKaCv2CofQawE03xFPIhb5KiyccZd2
vnIkKQbJbLXRVSjY9QO4S2vVcYI5ZBNYBqDXEW1989pP+SfTedJ2sYUAVgp0mZjZTtuIgYtMadYj
1x/lI2Ly54UDF1rH2NRFwSnblfos3SfjeAr7pt9l6ZSuU93c9zicOBvWe8bSt5iEy13ch1eSRrch
Sod9lDj06FJ5H6SwxiabYYip656lTt7gNP5WEsBmYtz3ecMQQa+Hjd2JggtMWwPEY0I+NdJLUVsH
Yr5xkZYrEnmOclAOHlZ6GIu1jaZ5jFUSTbvW9ZOJcxGccSLSxp8q4omrFDcw3bN0JWd3UYDKvpKs
K+J0Bpq0/DECeQ31MDnlfnTvi56Bh80rG9E9VjoQDFq1uyhMNjHdSeBw4o55LLZxGXhFTKe2y630
0OXFdoLhp+Y3Rk5joWSeDYo+veuJWHmGvEkNpygN6RfVufXUmiCNVE+ZCcq605zxl3UrKe6iLc/3
I4R75hIywpk6ox2vl8UG6MxPcNSroonJxgotzrESeLGRiogexNdGDhi3ke9Ky9x3Vp6tjFaEXE2K
wiUAFiGwqZtAqQXFNusd/U++M0SGtyiM7bXCNcosGnBBqk/TgYpPTz8ysJSfhOA2R1FK/8PYee22
rmxZ9IsIMBf5KipalpzjC+GwzUwWUzF8fQ9qN9q3D04D/WLYsq1IFletNeeYNzV+p1iIJ29aUiPD
PLvB6O40+VbykvYRlmnUxWCibAyuM6gOWuzigHU8QHIEMVsvbqd+vrYEdvWFgaN3LSTMjFEH2WQG
IlyuDvj2hOoihkvsmBoxb+YsfrC8Eo5EBHo6T6R+Bw2PUaJmPdV+da9iaCt9jVlbKespCevtDMCN
oB5bPyhDVkHjD5uZnv9Wb8F1huV8m2tnW+vKHcfdycq0M6IClB9jQ4yHoi/BHg7xTlJfObP2Ucfp
k/dKQ/+Ya8+DPR2siu3eEDnwX3wuPfofa1BA29r8GabppRfExKH/IE3hyoUHuELecKcUlnMYjz2b
pJHK1SvcjQ2mc8U0+kWZIJrG0tpOs6wRt+Ddn+SdmiJzFUMDWGdFBz+zcj36SN459vGVtTjnEZ/H
p6LJxVnLxDGC7LB1rIzWWv+WoB7aTZIoEL0IaVScMBC80R1kJ9I1UeCaQWb23oodRRnYyASZfNjn
HOv10AdcLty9KODzFAyXiS90VbvuTDrZXG6PiiEdhgP16VY2aHAbDpYFjL1nU22UxrfRenWQihQp
vkUmS+H3p2LnhWo9NARAaSVpVRn1b9arnY/kkepwM/UJWyqa8rVVwhzLZLlmT+cHfmaHGyNjxXYQ
rzaKxrfjkstVh+F0xjYIHTUqjqM0cPz36FORmuxt0f5ERkqbK/uxYeysJZ+Ip1xr49bJVY8khuvA
VsQk6iTDje9oV7CCNuEEI8ZL1FNXpQ8YSIEODykmg+Fp4tWYqnufEvzcndzk6FAg65mEZYlya5dl
vqkmnUNdDcvHlN6jyHR3BfofA3BB6BOTwqfGdr94yGzA3nKO852qRBR0VfZtxkx5dLd6DEOynozs
rWf8DruQhciv2w/4THsqaV3MYp9HMLBFVf0wqHqeSS3U2d0RuE2DLuqfhTGe2skLyUChXTeogjwX
+Ix9kn+4k2WycppH39S/Qxe8HGEUhGNV3qNyd7Gy3G2VDrfTVJ8BhbgrFEh7hDX9JkTJCtHbbHde
1pLAOmRsPqmAc13Ud31tHxNy2TdEn21roeF8M8yHDqAFUxUGhXrKRTt8YTDVbGlW8Nl0MQ0nE4h0
K2E0cfG06WgEyVi8u54AObhclrx4ZN33sRGRj9bn6U4Wqt1oC45vZD8pXVhpEHL+MIqr2H0gvMLo
u1L06crJz68i6OnuyGR7YNiFaskOXMUBx12zMqStvWuOrqjpdNj+gxaT+1qp9huMBpsowodXpguw
bbIsqMqtG3MeazsS4ra6YTzPuvbdRKN91crq0Oh+du9de4/GGJfHNvJWQ5W69DujB9f640Lxu63S
+S7qa5gsyToc4/E8Qi7rlx1XmzXo7Rz8We48BXp9CudCnaqubXaehZI68SJ9VbtdGdRt9eJ4uv7q
ts59YzmflZO9RoUR7ux0IpuTpENx79Bg3Vl+lh6RRpHAOlNwViTznNyCBTKzvYA2U7PWweUEkeMd
RvmStfN4CBezgu7Un1WrasD8VgA297aTVsfCQIlZ9TR8ZKM1m6aT6yhydnGHRHJqZbSp8XuUWn4O
Jy07GGqabgyRXudRB7A7afSDO+s3NA7IecBiSahmWrMY63Ff7zvbaNmXDLgh6NCTpwC9NxpaCuyh
va6SNPyOC0ZsYy03qevvNDeEoc18CSKdtunrcVjTHNmNTnjWtIhrlsVh4Kn0PE3uA4xb697OCbAZ
Gns3RsZDwixqP+ol+eMdgGHHxdmERF4x2L8yPP+kCZPwvdF4MugQOoDAtyRyaniQBuPKtDywkrQd
J3LAthOJ2rihgX4ZsNjsbt4Ydt9xvksgk0s329eTZ2NuY1hM3UcLm2YXs9KUrlYQQEeHLIw7cPAk
IRm5jWYtI+SaLPT2gA5EZyl5z5FUBMVQaltm700gF58w301cw/Tbti5A1g5kGPb5h3Jq48boFT7B
z1B3suc8zO8wi3w64GY7Se6Vn6uKrjS8Fn/bx8M9dJtFUds1a+2y+9XWoXC/u6Z70ere3yRuCdA+
XpJKTWdXc13WCeFyo4LC1Bct+0B5M3QmV0p1NVRy3qg6OrBOsZsq45chJQQtI3aGij3cjcuO8zvx
SIu2k+RNQsfYFbSrodSUMCuzq4KDem959pWOMulg1dTWQzX26wbHNOXTFM3vFpvhUTB2BZy30Sum
GEn3GppNsoEJ/taaTYj7gakJFfKfoZFwPFvYkX7XtWs/oWlXlxTI/TBhwhbbQuN4nYe+RXTbsnI1
PFmz9ImhIv8sRhTvKXGULDaiAvKhav1Fp7pfC6Ue9aghNmhpE5MTKdc9MX5F4nfbrnUnek5EZDlk
fKxAbbC2ZOHVBPZvnbbxE668gsBCG+2saS2xNloJkJCVDy1JvYms6aPpip8O2gpCKXGLN8jeuf5M
3gBzhwDhyjPB91wv5/K5H3jfbKuf17mozsBs6PGa8wjwbHjUFaGBBAoubg2LW+qwdbKAEdUh9qOR
F2rHR78YoZctZofLdxfj5//jNvNilfj9w2m5h9+7kZRCuN/jrjwaaVkHlz+8/I2sXYR2l5/p43tT
8PuIYQZniBoJ6EAyxfzq8g//8e3v/f/9jcNiY3qH//NZ/H2Sfx+R6107b/7zlsgOoa/UuF6ObgPV
7nI3l0f/+0QujwbUpSr2vw8stYwS4vKnNUkhzd/37++dX279vZfLd7oYG84HDtKDr96jxR/qgcw8
lIvN9x++rIsx7B+3eRd72K93K72Ykn//8vLdxdDye1uLO3lcbMqX2//ew+W3f//58gj/+L9//Ogs
Ful5MUsbF980eBiYZnipf58IpCcmEJf7+o9v//rYfu+tXEzb5ug8ZcXA1lxl+rT1eh0wMoaUy5d0
MdgChfrvH39v+/2Ty3dlJ64Fyb/bf9x++f/LbZc7+f1xpgpl7wP54fLb31/8PtjvbZc/IXhj8cMv
T+0f93W57R93c/kRsm69MlonDuiA7H7v7+/Lvfx8uauylympxv/7Vf/9o3+728v/ZLN/5be93EFt
xGJbUpYZtqbYffGjWHgEzoVh8L9/BFQMnOEfvx70bbp4jf2l43LBNSz/dLmjy5d/3KZXoIatETDb
7yP826P+f28zLsCI3/tCX1hfNVfz5ebLndh/GQ//86wuz/8/fv+P1/Ovv9b8Qu6ntN/861vwb8/1
X+/m8oe/z/XyN5fbYhRkm0FYf/qktwN0vsgI/5ufQow6gTdktdzCe0+2f5eLwXrWHKKT5lNsyqfL
alDRwiMQB5uiDcyWMJul+1BszAUAgvJVbd0FCuLTPOWE++gWXAjT3+ZIFlVzdJbv6NY1NltslySt
BTbCaz6bGa0zHQ6JvgBJfMgkGYSSekGVuAu0RCz4khGOCeqFaCtDddMa1clZUCdhT80Mgf12goJi
Q0PJFiyKlXbsPZjD0gOsF7nuREBIjSLN1MMdsMVvKASPhvSzbVwjiijGCnFR46wmI0w2ZkGVFGUn
YLkkuiV6hXtGxtcuKqgTgSNBXFmAoCcQrwZaAIbYztp3SwQBlMJM0eXGzrrwTtb9YdQngUd91u9s
sjb288Azc9mujuKF0oStTZcZSNgpdEyvBSXbLZUYM3BVsNXnPV0D1KJjk97YpuEGzHy0DVRLZrn0
YzC1IPSfnwjhPBDAcEKlK4Oktd/qob6qqinfUkARp8y1nQrlmnA82p5kCK/ZsVfrtjxMcQ/MNWOP
kdIG1AD2r6PUWOkWUwDSjJPtUPPeOZ21D704foyYIc7SHAIt9Mh5ZWPeetNNpsafVvDGeMp/Y6bO
eHQBjQK0DxK4umGZ6lek1Iw7ZmfXpgIrn1tARaYmfqnVTxpSQOo6FcE4Ox5O4pXQZLfvTMbfWuPt
EtvlnbZpp8t2gCU2Ds/UkuO2rXWSKID+ieS2WLx/6AL5X5dW8s7SpuneXALW+kGjMs/nQITZe6vA
QDO+L/ZSo0Eg+xjW+WwMO7vLtx4ajY1p88IjdI37zLsbAS7uvZYnPS6+yAgrACZvPmi5tWLhB8wg
QdxHns7YgHOpM9nZx9pPRyb0uhlPyxFkpm4HYnj+wwibMrllPFDb750mwnNl9l91AYje5PQLkAEq
YAxI5eJYkB6mpzb7KUG0YTsQXeevMMKP6xz5lmXj0Z4zwstc8h+XhiwzHLN7CZMMMb8L9alEeDWR
7x15PJaLkmxddqSa9qOayMhy0NFp2yJqw7uJvMi59j5lDjwj0qOPSRHx5mlaMADSHQzrRD8hPgLC
3pJM960tylfwdfS1x/nVryciTOy9of0RS4qBmVjJgeSXIvBT/Q72nEecZr4OY/U4GR7+NP+6J9Vh
VWl0XjPVQJrMvrLaAKpRUxjTeJRbkkvipYJ2yITEJVX2IK1LeiHEGs+c0sHQDTTFDeMGnGu3KZi+
9vqHUxNd7U8CaGLz0Gb1E2L6PPDpVLq+fDM6dWaGRqKa1S3MvedKD63AblM646Fe0KRR7DeMUYcu
WIXIpxh3pCLeO7ZGbGlt3Lup/aylNEWxreU5e6S2IOyGALUryzMiYCz9Hmygw++ml8hXH+RMNEyN
q+90fp1J5EOmFn/pCaEYrfnk1fGTwn0AVBbw8XD0ja3uKv+jG3tvTbtqnBDjpRUFuRuaP2WOnlp3
39LBIdF2flEgRG2TPyuM4WTp6O/gXaUbhaSlk+11iD6E1tS0y+LYXSWg9ffTp6tgkOZkEPXvRN8x
F+qmWzvV1kOPZ9Clk4hJgrXbZhBWQ98ySkJi0MKsI46JoKl61HHph+JNghmBEAabxUEStrXCplUH
HXtEsoFzIfD7tNURXmVTOOEdapRuM4R+GiwjZHcs1lbZsxBodBzy/HWI+nwNA3lRxtOOaNviRTqG
FTjdtM5HorGjbJjXbqPTkBmZiKGy37Ra/uym5p0al+b0i3KZ+tZJhpUSQURiflda9l0k5ldbW3Q5
QEuSbgf9RBQ4ZnrKtSLMgsRASOPlTLXiKXo1UCmMBbrOYaoe9LQ+1+0EcmW6lj2NzpaGlTnwhGPS
GFusdzoQc+gYLn1NXd4wt1ollWuvLRGxb43GQ0XwJJ9Imblyi16E9mjnRkFqHBqm6qIVmIfyCiI4
jS0CXuraJUhBbqrRvo29vFjber6PDQJjorDr1v0Qov/whquOyXrklva65qq76a0UXfugwKZrzG4Q
903oG8pxHVral1cz4AtBiVuJxWRgQKMk3B1T70dgo+ApC3tX2SZ4h+GUxeVTOepbmwCwrRcjD5nq
/C1xOMy06tXXq/RKBVEMWkzW92iACZrKn6e5y9d20z7GzfxVje6LWaGrWdDgbr11o/E0e2tB2kFg
tEhZDdc9VRIZTdUySa0Yyrh2eyC7xIAvswO6irsEpdobU/t3P8ofXdlfjy5Z7/qAwDXft3b+lo0c
E2nXbs2e2sBS1zEZIfmEz01vaGpl0rxNtGZtNZyfQKCdfM+uG/VhzqwvGVwk9tUUcG6+T934HrXM
BEWOJNQDP90lTHyL7Gsg+9KqxzdVz39ShrQqIn9QJYfeLh6Zry4Uyupe4irtE43peGbwxYofiDfq
dtWcENtskHRTYHgF0/vReu0h6rHl0N3clF6B9KMTf1qCi2BwMjjvF3h/SeoXV1rOJXtY1aVOCNfi
EerKuywCqW4gjNhgitqNrn94K1rCD2rGmtXImB6TGtCnyQbWmnBt1sxjnffsl0ME7XAK94uOupZh
uZKC9EjnSy8wHunDa8+TOujyJZFZTY5i/kzW/JGV7yFpQrnqe8FbH51J1Ua9bu66dNiPVbht9y0t
5Ja3hUUCqUSC5Wo1MCZ8j6cleEjIc+It6oWOdNt2IjnIJyipeiDOHjWDWWJS4ewdvPAPeU1XVTY4
AQzUF1Qh16YPoNTLA9EPd7KLwKsjJiCkoQzSIX8TBA+hD6lU0M40tSyb3vDMsZEBaSRpirKhMQYq
mnHjWfo1p+TOhgNwgLAeVsUZbwBqG8xAeGY4XfoXt6MtN+feuCJI9SZPaZDg8uHdhLWzsorosXLz
P3IxrhRdPiC97p8SGvH7JmaqgqBH4FrAY4DuvIzUEekWmLw+fMcGs2bJNbduUW9Fq05W45+6ShIL
ACFGyxM8X4zWLQ1dARbqIkOd6kWQdKwZAI+yeJMFb6MQOAgKVFbr3hTk0OBhp88C87p4QE8tOeYQ
M6GhXjltk9x3ZHuGLtlcGG8G787/1se+vzamLoDt4+y9sHskcYndnN+/o/ldTZNGmNrQvzetv42U
x1QjAYvqI5nLadI0TEXyqqrXyOY5eSjCajSBNVlhrJ86gtQiA/mrvIM35y+Col5yBe+VRAdObTwN
nJ6Qeco0ubbxY6louBn9lMOlTu4Nlp9123OuhWHGmLC+jpLqB4IF7XGDcXlmPYWtd0Zw8mmMqFLm
pqX0xiQUJt6Wce+pj+qjS7EY0WRTfnSmBCHUxjmZSfZMrf3suZYMnMhAH22OX3SlGLZ4ajx7Ppca
opQzr/+IJPBc4d5pEeygyq2RbtecHQOEZHq3jiqYNrl5trI9ajA3t7dplPyorW93R6cymhVzd408
gIEQimFjmM5IYaVxbRXsg93+Fhsqw14tu7XojTNz/aQlVu4Ys90QT8MUc47VDl2u1TLfNoguR0H0
yU65DpysRvZqMPEXHDTajxmaH0mVHUDRoi6Lu6O0z4XU7cCPERPnBYXo7EQI7jIv8DHlpLNzanr/
sSDJhtGO5dvXhKhukLyTdoDAEqvRBprSbapsGxFJ/TY26VVfzvdkq151Sr7XNvTg0Uc0plfxk7SR
jI4yfPKGBQGuR9SdmPLRymIA99By6CAEEKcwXpn3yp1WSel8pH0Rr9QwBbBJzK1tTY+mjnkp5QyM
eYczQkUWydkfB0HJOu9IPSF6znBRgozvsNuZ+zzlgrO0KIZ6Uxi8T/Zgn6OxOE1YmZdNkkk5RlBQ
5rxoMAZsbGTIVdWr2R41Y+vqI2MAR3uwK9jsNtsxFqkKY6CHD3R6BrQ7ewNkmSxjYdOsoxW3byq2
Pk1Xm7YhQdn6FG6mzkhBd+Z5kDRUhI7P0V9pk7+hMIk4QzIKKouLBZK+KrN+LMYVK3fs/zDUvqyb
q6R2zGAy9bsEdf0qrsU685ndaz5HiXDMD4AofxLmS1gFq4NlDns1mT6TB+O+dnykU4aPqNjCOpdV
BAo4xAckTrdGgLUfvYzBuDkFBqJIYRADFKHnDQwfCQ/ijtfUqA9N2B01BIp1heivzeVTmpenWHev
FLD7uaJ+HjqfGTwA15WbL5a/dL2qCCWiFfAq7e8JSZIs5nTNwAqfWNvfiXJ4E+3wlRTdfmao7ZrG
O/pOZy2tISNMtV6FY4Otbx4YCHDwSPtBZeKuZxgKCq04KRxLGjPKVZX6b6mD/gT9E9EE5HiQ7uKz
dV+VjQcOXZDOEJen3LGvbaCfqywipmceMWroAkR6fFSAJdYxUwHfHp5MpRGz25fbKJ7ucbhBAxvF
XQFFXKk0PLDVevWIqKDXjsikEKuSOXLQdSkFNgWmK/AlpSZJIINzhWxsRbL3Dtok+iFcz/kTOaT+
lZ6Ge47JoJGxtRlTg52YQvCG36AkxtOl87xE5CJyJ1tgFSWA03q8p6XYDLX+quX5ldf05i4cyZ8i
GqgiDRMor+iRVHVfcd0CbbUO1Bd4wikwBkLbqCrZfQ03enagknYO2qI8UQkBq5VyeRh3Q72v4fvw
XwlCRoPnpd+TiF/jLt5ME4ZkTfVWkPomoqvppbKTfBOauxwMyYr4s4IMmGjjpoz27P6VfB66NEw7
12HKp+a7pCy2PoEijYGFU0Bn2qWL+MrNnoi3oHatELTKgZJDucR+eK1cMQQoEQn5V3b1LUMRgYuT
5y6KtxZ5MZhex6PMzE9AEHuosj2bNvTIdfeVDNNThoptq1W+D251uYhogr2hz6lE1tW5nLZ+jluV
YFK0nl3N5CtiFFqFUVCHGztXJF1gsluT3k2qdPJdhfm1LtA0sQWDDx46EqJ9u49HYtE86mwCDszv
wcLUkT8ZzK53CN/eBWoWMY/0T/zikFnyu2IGtCVY6TvNsfoOatjWZnyeI4SqNV+Cdpnf6/NNE/t7
cTtyNeVUPONU/kjMcGs66gckyzn08XklrFGGaDaFEs++MR6nRkPJUbOLr6zmRjU2ujKmf4LpVeab
O40Ag1UsiRpDdLnJk7LfJggYXYbNKymHZ85R1CCEbS7LoUuixrTj/1bF3EeE8MYHI9ef8KBq64Tp
37Ntoh0Z6vCui7/98aX2rBf0M4+i6Kk2oa6QBlkHbUhQIKIOFEloKWFFWRS8nJtodmEx1Y27td50
18T/YT2PUP94Q5v7ijdvVQ7WnZZn4JRt61XB/TCiQa1ntFp8Mn50jYXgMZrdvbHo3uwobimFiaZE
MOKxh8Uli7+rtwr6cLgelXnrx9Gd/MPCG0aI+WrreozVXW6zU3MbE93OUCMh0F/jpjVXk1mdnXx4
HNEpbKc4uU2Fuga7rRGInJ9txrBrNoHXAzbvcbIejA+k1B8C53Krc2BmzrOI3QfS8db480+xDxi7
w4KST1dtw9kSYZ32xn1r6a9953xqAkkIr+uAqWqLG5dmTMr1X8yJtdJNdaj7c1a7p5YFwLeTImg6
4y1cNq+eFl2T1buqjeo6M4ls1lT7Jetx0Qo85z1hlHRIB4Z/FN66g1gk5GihiulLghJmHTeVwwS5
CrvP0lZ3Mu6hLKYOe5r+QeT2EZFFGzCkoKZCau8xseSJadraLlKwXMDGEHd2K9LFvuICAqeTXTV4
i/XM+Y69hj5V08i1TU7Zdkx25iRJo8vGoKnzg1QjfhJdburK+ciM9qoxmcT6TkJeJP7btLM+47C8
axJnw1MgrelGQENo5+G61KDfZC7SjQT8xWDdhx3RsWH4M5fao7l41nDsPGrZu0Lj4Mwkc0S6pOYy
0XYWcm11xpfou4PpJw8QcaJDVWbfHQEJvFH5+2Sol6zEqlJaOI3bitecDOcpG05VmjxgofighPjQ
F5mzqNTWkdN7L6OBnAMu5FpBBnA8V3YwmwJ5M4RtOpXjbmTJXJO6QcmfmFeo1ukmxO8+lqBlpnpd
5NERFfR94Q32Suja2xwN1zrZeLFfnkyWcKAouw5yI4NrE1VNt0mG5DXJGzv4qR355Vj5ZyhlSAFf
3RVavULCxuLi4o4JMX+4NfDsYRNie3Xp6OWZIY9WXpBxixNPoCEpUb9MAxam2CDXI0UV6/SQX+ZB
HJOZ+Cud4F0IvtHOrUvyGoJuHtOVEEm2nSNxzKvyw7Xrd6TjN6oIvU3CccoZ8oLbQWy0fu2X1Snp
vWhnNmkghj7aCK0MrHQ+a+FCQFaEozrWxukh/XDJ0zYOkS0mZxcqSrUnxBupHHrq0Vvy7HlR0vLv
gTpGC6aJXTkVHUdxebLyZwgyazI4b5u4e40V2tflEJwnIg5LyqNt5HKg0Ms/Y/fb0RF/DUV3pnN7
E7ahzi7BHFidjI2TymNuFw9dbL4Vo2uz0Yspawe58/yZsIWOC2OZPKBe4Dqs05SheSz37MYeuql4
lV36xe73cfC67iDwg1hwstcQBF4ded3I8I3yoD/EMSVKSKP+WgNR16CjChDbk7ZWmMTfke6gp5NF
yVBH18WkXZN2pZ3Za76MBb3duRfbRiblGqXFwJ4eIQ6GGjrjdp7ty+ZUVhoDAu4AhpX2xb53NfXq
0U5Cbz/O2lmyKz9EJMtGuMWuVDKwadSarTW1WiBTRPdyAr/eFgSy52iZazIFmUQINmperO+K0NhN
k18fHM1Djj/5XoADrLjXphZNDWSO3eXHv7eFxT7lvGR8sxZ5kqEFlibXqs5hG0+eXh5766gcXz07
OTH46beuwFNV+9OhEkWG40C8u/SRDQzUK2H12p7Xs50NCtXeDun0GUXA1uZ5zpt2p6jQm4FrmGpo
QCbdgyQ8su9AQCWAw+G2DgfbUP5OhD9CEFQ65YyGavrGc1sr5JKoCFq8KVpPUnRlUdq7g/EHNzAn
DRU2AemfVkoEES0ibw1VyfaxyMc6EqzGZVny6iucI0vzXEO06e1FKL5i38T8Yq/SiUU47MODNSfX
uk3HqvPNFz8790gR8Aif6uXhkmUCY7mEfQzx++B7z54NEcMr9zb+m0BN6fWsu/eFvJEpGAaUNQ9l
hMMdI9OhkTYtTXGDh3HVCO+7GR3BxRCSl5PfpcvowNcK2oYEFdp6NOCCsDgj/HIi5ae76hW6xzqq
x1U1IVlD6MZpbR1KZf/xdWKndPgp6MTrLKYT6ob9yhCy5ciyxMqcMN6BkILxr17HoqUcGlNsjVbx
MyRze+qybhfR3ibLQtIH87nATkBYcFVt/Fh/TSZx8qMfVFAwE5vFi8CGUyZeyfKYPhTDc2hhS1Ee
e7Q4Qh5bYf0euwqVcIUyw0/ZOwtkeTBkdmmiGy+Zz2qddUDqMlos0KCcnZEc7Z7ui6vsM3vsR1cv
XtrCyzdag8FAGSAoIg1WmGfukkUKl6LI5EMkSFDoe5vOIU0qdJq0PTH+Eqlm8hmbkviJWXPPo5Nl
O5RB/Jd5tJiFbXXP/ZgxJBYDrUo4zSPeDf6rXRhvHfHoBMVDWAL6HmSua2zCWT0aeUWhatU4iyH9
rCwaVo78ztL6tvHLYZ9Pi7soxzNi2oeu6HqkOwym2pnmkxDZR0+Tj6tNpWE2pWNGbCKJB2opoM03
x8X/Srcy2vHXza1OVlcwmMjbltFT+F7TYcG4pFG7dtcYBzANYqiMlhRnipG7EMwLkDmanb2uESR2
VtqCoCl6ufFLp6HmZ+zhqsE79ITA0u7vB+ZlHDC+FZGHGjdrxHPA75qsv6sLhkCt0/LRDNWRvvwp
cuAq9PRtRrLEjYG2JrWUPKQKCw27qV1MsnLA8FU/dYzdcZSyiAlT4LFJTqWt3/jStna23hM2OFWH
uU4xaGTl36DlOeLiEEV2exzot2celgYyqJ9JyIGF0T0xNePzL2dgc3Rkw6RNr/KKtjr7VrI80Bc2
ltqSLNoEQ10m151gflo3NO2lNWrHhqMYBhiwwA65JxuIV98vN6Wz1J9V5xAgdnAyVtI8qZ5Ld7b2
eM5SlrBqurLbZSbU6EuAT4FvS2TkuNu5syK/RW3smMNCG2zzyLyx6DjR2Ga5znORYxsTRhmSXBWU
JpQIZ5D4ZjlFW+ktp+RNPvIQ2cQpbOWNE9i2baGiq6/x1750Lu9taHQulL0MDQ2n/boYn4kF6Fe1
w0OaGQazMXJZ1hjJuJ56cXyHIFUM3x5NyWNU3em0UDiiGHTzqWzirIXyCBKB4KLwxpDT1qpZQo2l
yhLMekg8QwmeRmpvs3Ff6RrZRWZvlzuGxVZMUKOPDDOOFY9Xf+jkQt4XZrgh3vgFHMO1VEJBTUgr
9JRYK8qJEdEMQGBMZv5I+7ELjXfAiT6l5fZr4fVXETNUGoe+6TcALGibu/Lb7HLeoim9VYtT1wu9
5zxW3h6fkiKsUMpVhwZ1bdb1vi+PTcmR7IS4pjiRILPIE5nxLDdg3w/CxNlJWeFwzNnS+B4j50M3
f9Q4f/dlfQfeeOM49e3cuvpVS2Se3oYfaPf4b9t0MXQ/hpCl1qNkySQH40xSqjoPzJhd/FNprDZt
rL35DWnTvdHoAesdkgJbE5t89r7izGamw9grQBlLrTFTi0xUrOxrd2bFWlmMU7bmsn1IrXAihkNn
tsHWxy57itmoGreaJMZZJg+dluvbxrs1SYraCn16ViOAqlanKzw2T51iIuIO+O6isgUD5IPXGQmH
1vPoFJMAmRMk2lo/pkpuPXb7bIK5Kio1vtgm24Eev9oq9jVq9n1TOfFNVOFKqCzGBtQqQ4uet1Jv
wCPQdIenrM/Uyu6/B4+GvkxpwatIe+xoCpDU5a8is3RpflhPiohqrnJdsUEL8qGxdW9iMUEOS+xD
kaZ3mi2B0BBXyBaJINbKp39tKPZ8UONo/svyj24Nn53SqVjcYW+w9uyysoL1mX/iKCeYzMFcQq4N
CkLR3POKUo4qfEWNdPJdbIHxnOt1pqX7gsRYRrXWLSGk6VWFLjmwavhIeAEn6R85jsrAqPHaxN0w
nCXWLLtByDKCzor7j2mqbrjCplTB1gpTSQITtUQHIrdTWrXXOMvo+vupvNVn+Z22aEG6OH0wCYcJ
4prWa1w5EPpqGicY6Pqb0g2SQvui1z68a9Ge6Ssyds0mwJox2zyWX0LABxU2W6OmPRMuw6di6PMu
gmp3kyxfHLpvhUaA2eUmfCpfyqHzIDOXV9t6j4ALxn2BQHxJTV7wptnW03zIgo2a1rJmHQ6l8Zj2
ScpxoL+0Mh7WhmmKILL2notnzJ79lyiJgcoswbtVW0DsD9nIFMNMLbRqxqo+1GP7qIScdyYGpI0C
pjRmEI1Z5HBYNznxhHiVVq6HRanz8P4aTOIo4VhjXVT27LyyamM1bX9W0rvPS97QcsavKo3m3Pmd
XGUJSEr+HwG81jHeqAcSqsOJJj9tRhyFn0NvwCQVjOXT3ni23Fqg7niXdUkMNAmlaN/JJRA3BROx
NRZ25MQo50OpbRUjViPX2nUFtCzFtBW6Cmt4dZU1/X9xdy7NjdtYFP4rqezpIgjwNZXJQhIlS5Yj
t9tuJ7Nh+SHz/QYpSL9+Pjm9cDqVTmemamZqli6rKAkCQeDec75jllXVAQ+LfwJKdp14nFU4lqGD
beHFWgX1GIEeOmxbNjlmz5ILjM0PboTsP3QjsdaZB4njSP9T8VxKSs1JAG9mPN3kMa7xzJXTQtdV
srRK8G+dCF59d8J7qD8ZjdJM9Ww3/CMK2+HI+ixPL8oEl72Ezpq/+gR4RaeqfO4MJA3b1+z9yOht
62NydZDtfV8gptBMLme4M8VwFfYofPBpRujM70UB18AP1bOaenzykpzwIXRgozv+1knaWUn/JZoS
bx0i+dm0ubkXJyx8SWvRbW8YAF+9wA1Yjak1xylSLg1BuotDXt5BiKBv6uPkR0aOku64myTdA1fF
v6Q3KFBYVebx4RSNjl5YU38NeKxcIctYH6d41w40iH1qEYUwSHV8rokN6qGq3X1/MtcKvAG71EUa
p1cYkusZs9NCEDQsC4VPqzjvzuij7Lw8xdJdDBg2J3nZuXotICaNlflokdV3PaIFclqXx0B2CZfC
ZfMu904hwRnDirAafaLOVfAwYNycbl51iJ76IL3S9NKouT06Sust+k9W++C4tLQOFwMc5VClzJbs
Q9nA5UtY65t+NSix9ohLmhUAkqNStP8ovQxrncGu5Fj7xB0fC1U8aYjKzH5ndej4XVR2mMPEKZbe
aQBXSxEyz6vIIlCRbSt+PqcBCaJwsVFhoGPrMswTmmWET6ywm1zn9/z+t/5Tj19ykVAvoExL0X8I
bXyHHKvcZG8Gczs4/r4t9UNwHD7ShYBCmlsJg67pO+Mu62KOA0qc1Tv0US08154Cb2SnYTAbK4JU
fcum6+zH8qrtxJOID2CWanRi525WrROEL2UALKxu15Pxria4+vK48rmDatR7FQt37Fk/yzF77R2c
2LCszaoB1HyIcc/3+9ofHsI2oRpdN7uObOCYJydrOuEm4WWlpmsDUALv7IHmSTQGGZI6W7VLcm9p
V/tl5J5tLiw+L76zp6EZROkpvDZI0ha1UM9llRCSbqcbGEIb457eDOXXLYAwNu7V1gMUWNRdtdJH
146QzbnsLiA21uTeH0yyHXTbLZOhu8UHFtluw+1fqE3PoTTRnYVRHvRAFXaaFR4jWb5PIa5hWtBr
eU72jcEpKo8qDttbDmFeElnHAxaINLyisjE3AwECgZuJyPj1Xdr2N3KUCwPUgY+RLQ74aBcB1fJ5
T83PA5g762iXz7MjDD1fFtvc6z4ksG5njmnpWBmaGKbKKVaVq05bAEranT7ZAmrztMQ1AV6tYFPW
DpdNDepjpCac1ZB3tKmjID1dZ/Cr53Ha1ZHd6k0S5Os4sRGqozgSABgj+DUPGYfF0uB3mQa2AESl
WoJNPwCIl4SGXpcDVggTK1tYR+fR091O2fqyCstjpAX73VLjDmFfbc3rsoG1fbjRiXxq1VUiWTVN
dvBph72GaBwaggux7oR7/6gfKX6pLvhEB2Vl6oReSXElOZSmCdsIkzg7Pzc7goZ32WFE7SHWZBVX
S0F5wKu8G+NghqM81a/azt7AlQFt1jsPg4F301EwdSswK3rK52Ht/VSf5EcyeG8Va8oy8MdV0Z9W
YSs2MU9yFeTzkUy5jQcyKc+pRmKBy7FIOJ2RC2SU/BUkbHZadDEDPGNbV+usAVU9iaWvNbsSio0h
SS+z1iq3yvQvcT69FAO9ivw0E91t2Y0jN80RK0zzM7r7l8y4+3FqohjSubTLdmVbhn7ZEZBhx6nd
S58oydKwx0BG8czayeZ0l7r+p9w3l7Yj15gyu4WlnW12sM54WTQ6Iw9Ed8Bru31FSx11dssDY+jn
U6iWbscT1j48IVm/KYsnJc+Ag2JNUfcDljCH3695OMXhogd9gNVJ3IdNjxop/CUdkbbT6dxaYBJm
CO1GhLNm61bBR7xWFLir4N7up+0YN7s3lP//TerB5y9yThGNyJ+HFjTu++PtfhiRl/74w7P5W7Jv
zv+9aYhgvGv+tRd9/ULf7d/e+U9yFFz3nBL6mxiFt8/09oG/donyke81vuz//r30LxxXeV6IMUy5
Ek3D999RQk4+/9sSIrzwBEd9ik+OL5Uk4JQ3fDdGfzQKX/+Cvw7n11/zm2/w3Iy1Pv8MyEbq99EQ
jlLfNgZfXOHdGITESUjXdR2gBy65EITJvh+DkPhXQbnXCYWvKIp5vw76f34MHpE01ots0H32rN+P
wed4jH9vJogL5RFiCyc3cFwRuvJ3oyCldBgBYtbsAG3Ef2km/OEoCGbwt02FLy7xbiqoCyeUjhMI
YskF+rIvpoIQ4sLzlBt6rutzX4j/uangyN+HIf/lRUFd4C6Qns83Rerg+V+Ogu1dCDuQoR1A46Aq
7X/7VPiGu4ZF9vyq53L/2P/4TwAAAP//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microsoft.com/office/2014/relationships/chartEx" Target="../charts/chartEx2.xml"/><Relationship Id="rId7" Type="http://schemas.openxmlformats.org/officeDocument/2006/relationships/chart" Target="../charts/chart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117474</xdr:colOff>
      <xdr:row>0</xdr:row>
      <xdr:rowOff>0</xdr:rowOff>
    </xdr:from>
    <xdr:to>
      <xdr:col>9</xdr:col>
      <xdr:colOff>215899</xdr:colOff>
      <xdr:row>23</xdr:row>
      <xdr:rowOff>158750</xdr:rowOff>
    </xdr:to>
    <xdr:graphicFrame macro="">
      <xdr:nvGraphicFramePr>
        <xdr:cNvPr id="2" name="Chart 1">
          <a:extLst>
            <a:ext uri="{FF2B5EF4-FFF2-40B4-BE49-F238E27FC236}">
              <a16:creationId xmlns:a16="http://schemas.microsoft.com/office/drawing/2014/main" id="{767E5698-DE8F-4C9E-9F52-4AEB22EED3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574675</xdr:colOff>
      <xdr:row>1</xdr:row>
      <xdr:rowOff>168275</xdr:rowOff>
    </xdr:from>
    <xdr:to>
      <xdr:col>9</xdr:col>
      <xdr:colOff>523875</xdr:colOff>
      <xdr:row>15</xdr:row>
      <xdr:rowOff>155575</xdr:rowOff>
    </xdr:to>
    <xdr:graphicFrame macro="">
      <xdr:nvGraphicFramePr>
        <xdr:cNvPr id="2" name="Chart 1">
          <a:extLst>
            <a:ext uri="{FF2B5EF4-FFF2-40B4-BE49-F238E27FC236}">
              <a16:creationId xmlns:a16="http://schemas.microsoft.com/office/drawing/2014/main" id="{915A9D5C-A850-49C4-968B-43C0C90C3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828675</xdr:colOff>
      <xdr:row>5</xdr:row>
      <xdr:rowOff>107950</xdr:rowOff>
    </xdr:from>
    <xdr:to>
      <xdr:col>12</xdr:col>
      <xdr:colOff>695325</xdr:colOff>
      <xdr:row>19</xdr:row>
      <xdr:rowOff>95250</xdr:rowOff>
    </xdr:to>
    <xdr:graphicFrame macro="">
      <xdr:nvGraphicFramePr>
        <xdr:cNvPr id="3" name="Chart 2">
          <a:extLst>
            <a:ext uri="{FF2B5EF4-FFF2-40B4-BE49-F238E27FC236}">
              <a16:creationId xmlns:a16="http://schemas.microsoft.com/office/drawing/2014/main" id="{DFE362DC-7485-4067-B5FF-BA75B8AFD5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473075</xdr:colOff>
      <xdr:row>2</xdr:row>
      <xdr:rowOff>31750</xdr:rowOff>
    </xdr:from>
    <xdr:to>
      <xdr:col>10</xdr:col>
      <xdr:colOff>422275</xdr:colOff>
      <xdr:row>16</xdr:row>
      <xdr:rowOff>19050</xdr:rowOff>
    </xdr:to>
    <xdr:graphicFrame macro="">
      <xdr:nvGraphicFramePr>
        <xdr:cNvPr id="3" name="Chart 2">
          <a:extLst>
            <a:ext uri="{FF2B5EF4-FFF2-40B4-BE49-F238E27FC236}">
              <a16:creationId xmlns:a16="http://schemas.microsoft.com/office/drawing/2014/main" id="{7BD6D5A5-B488-42C5-AA2E-B551BEABFA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177800</xdr:colOff>
      <xdr:row>3</xdr:row>
      <xdr:rowOff>28575</xdr:rowOff>
    </xdr:from>
    <xdr:to>
      <xdr:col>9</xdr:col>
      <xdr:colOff>603250</xdr:colOff>
      <xdr:row>17</xdr:row>
      <xdr:rowOff>15875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FFFCFAF8-8D6D-4F45-B387-8F7CAEC7225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25800" y="61912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214313</xdr:colOff>
      <xdr:row>26</xdr:row>
      <xdr:rowOff>144145</xdr:rowOff>
    </xdr:to>
    <xdr:pic>
      <xdr:nvPicPr>
        <xdr:cNvPr id="3" name="Picture 2">
          <a:extLst>
            <a:ext uri="{FF2B5EF4-FFF2-40B4-BE49-F238E27FC236}">
              <a16:creationId xmlns:a16="http://schemas.microsoft.com/office/drawing/2014/main" id="{683DEA8E-28A7-4A1E-ABF4-E6AEEC986E3B}"/>
            </a:ext>
          </a:extLst>
        </xdr:cNvPr>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4708188" cy="5303520"/>
        </a:xfrm>
        <a:prstGeom prst="rect">
          <a:avLst/>
        </a:prstGeom>
      </xdr:spPr>
    </xdr:pic>
    <xdr:clientData/>
  </xdr:twoCellAnchor>
  <xdr:twoCellAnchor editAs="oneCell">
    <xdr:from>
      <xdr:col>2</xdr:col>
      <xdr:colOff>111124</xdr:colOff>
      <xdr:row>3</xdr:row>
      <xdr:rowOff>63499</xdr:rowOff>
    </xdr:from>
    <xdr:to>
      <xdr:col>21</xdr:col>
      <xdr:colOff>142873</xdr:colOff>
      <xdr:row>20</xdr:row>
      <xdr:rowOff>142875</xdr:rowOff>
    </xdr:to>
    <xdr:pic>
      <xdr:nvPicPr>
        <xdr:cNvPr id="5" name="Picture 4">
          <a:extLst>
            <a:ext uri="{FF2B5EF4-FFF2-40B4-BE49-F238E27FC236}">
              <a16:creationId xmlns:a16="http://schemas.microsoft.com/office/drawing/2014/main" id="{EE3E812A-5A97-430F-9EB6-F817D2258BA7}"/>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49" y="658812"/>
          <a:ext cx="12549187" cy="3452813"/>
        </a:xfrm>
        <a:prstGeom prst="rect">
          <a:avLst/>
        </a:prstGeom>
      </xdr:spPr>
    </xdr:pic>
    <xdr:clientData/>
  </xdr:twoCellAnchor>
  <xdr:twoCellAnchor>
    <xdr:from>
      <xdr:col>10</xdr:col>
      <xdr:colOff>119062</xdr:colOff>
      <xdr:row>3</xdr:row>
      <xdr:rowOff>103186</xdr:rowOff>
    </xdr:from>
    <xdr:to>
      <xdr:col>14</xdr:col>
      <xdr:colOff>492125</xdr:colOff>
      <xdr:row>9</xdr:row>
      <xdr:rowOff>127000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F3F0B918-8BCE-442C-BCBD-14226ABECB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723062" y="693736"/>
              <a:ext cx="3014663" cy="12049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349250</xdr:colOff>
      <xdr:row>4</xdr:row>
      <xdr:rowOff>119062</xdr:rowOff>
    </xdr:from>
    <xdr:to>
      <xdr:col>11</xdr:col>
      <xdr:colOff>103187</xdr:colOff>
      <xdr:row>10</xdr:row>
      <xdr:rowOff>15874</xdr:rowOff>
    </xdr:to>
    <xdr:graphicFrame macro="">
      <xdr:nvGraphicFramePr>
        <xdr:cNvPr id="8" name="Chart 7">
          <a:extLst>
            <a:ext uri="{FF2B5EF4-FFF2-40B4-BE49-F238E27FC236}">
              <a16:creationId xmlns:a16="http://schemas.microsoft.com/office/drawing/2014/main" id="{4130040E-F6C4-46F0-851C-3E78F03AD4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611188</xdr:colOff>
      <xdr:row>11</xdr:row>
      <xdr:rowOff>158751</xdr:rowOff>
    </xdr:from>
    <xdr:to>
      <xdr:col>14</xdr:col>
      <xdr:colOff>388938</xdr:colOff>
      <xdr:row>21</xdr:row>
      <xdr:rowOff>47626</xdr:rowOff>
    </xdr:to>
    <xdr:graphicFrame macro="">
      <xdr:nvGraphicFramePr>
        <xdr:cNvPr id="10" name="Chart 9">
          <a:extLst>
            <a:ext uri="{FF2B5EF4-FFF2-40B4-BE49-F238E27FC236}">
              <a16:creationId xmlns:a16="http://schemas.microsoft.com/office/drawing/2014/main" id="{0E84479A-F123-4D50-9F9A-C155FA304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79376</xdr:colOff>
      <xdr:row>21</xdr:row>
      <xdr:rowOff>28576</xdr:rowOff>
    </xdr:from>
    <xdr:to>
      <xdr:col>3</xdr:col>
      <xdr:colOff>563563</xdr:colOff>
      <xdr:row>26</xdr:row>
      <xdr:rowOff>39689</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463789E3-595C-4EDE-8C21-D585030744B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97001" y="4195764"/>
              <a:ext cx="1143000" cy="1003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150812</xdr:colOff>
      <xdr:row>12</xdr:row>
      <xdr:rowOff>103188</xdr:rowOff>
    </xdr:from>
    <xdr:to>
      <xdr:col>8</xdr:col>
      <xdr:colOff>285751</xdr:colOff>
      <xdr:row>20</xdr:row>
      <xdr:rowOff>147636</xdr:rowOff>
    </xdr:to>
    <xdr:graphicFrame macro="">
      <xdr:nvGraphicFramePr>
        <xdr:cNvPr id="13" name="Chart 12">
          <a:extLst>
            <a:ext uri="{FF2B5EF4-FFF2-40B4-BE49-F238E27FC236}">
              <a16:creationId xmlns:a16="http://schemas.microsoft.com/office/drawing/2014/main" id="{246685E8-F332-4528-9357-64523F3DC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214312</xdr:colOff>
      <xdr:row>3</xdr:row>
      <xdr:rowOff>39687</xdr:rowOff>
    </xdr:from>
    <xdr:to>
      <xdr:col>21</xdr:col>
      <xdr:colOff>39687</xdr:colOff>
      <xdr:row>20</xdr:row>
      <xdr:rowOff>95249</xdr:rowOff>
    </xdr:to>
    <xdr:graphicFrame macro="">
      <xdr:nvGraphicFramePr>
        <xdr:cNvPr id="15" name="Chart 14">
          <a:extLst>
            <a:ext uri="{FF2B5EF4-FFF2-40B4-BE49-F238E27FC236}">
              <a16:creationId xmlns:a16="http://schemas.microsoft.com/office/drawing/2014/main" id="{9CD44F46-C91A-4B21-B8EA-D1BFF0F40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134938</xdr:colOff>
      <xdr:row>3</xdr:row>
      <xdr:rowOff>127000</xdr:rowOff>
    </xdr:from>
    <xdr:to>
      <xdr:col>17</xdr:col>
      <xdr:colOff>254000</xdr:colOff>
      <xdr:row>5</xdr:row>
      <xdr:rowOff>119062</xdr:rowOff>
    </xdr:to>
    <xdr:sp macro="" textlink="">
      <xdr:nvSpPr>
        <xdr:cNvPr id="16" name="TextBox 15">
          <a:extLst>
            <a:ext uri="{FF2B5EF4-FFF2-40B4-BE49-F238E27FC236}">
              <a16:creationId xmlns:a16="http://schemas.microsoft.com/office/drawing/2014/main" id="{8FDE6BFB-60F1-42B1-8555-007315F3F04D}"/>
            </a:ext>
          </a:extLst>
        </xdr:cNvPr>
        <xdr:cNvSpPr txBox="1"/>
      </xdr:nvSpPr>
      <xdr:spPr>
        <a:xfrm>
          <a:off x="10017126" y="722313"/>
          <a:ext cx="1436687" cy="388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solidFill>
            </a:rPr>
            <a:t>Company</a:t>
          </a:r>
          <a:r>
            <a:rPr lang="en-US" sz="1400" b="1" u="sng" baseline="0">
              <a:solidFill>
                <a:schemeClr val="bg1"/>
              </a:solidFill>
            </a:rPr>
            <a:t> Sales</a:t>
          </a:r>
          <a:endParaRPr lang="en-US" sz="1400" b="1" u="sng">
            <a:solidFill>
              <a:schemeClr val="bg1"/>
            </a:solidFill>
          </a:endParaRPr>
        </a:p>
      </xdr:txBody>
    </xdr:sp>
    <xdr:clientData/>
  </xdr:twoCellAnchor>
  <xdr:twoCellAnchor>
    <xdr:from>
      <xdr:col>8</xdr:col>
      <xdr:colOff>595313</xdr:colOff>
      <xdr:row>10</xdr:row>
      <xdr:rowOff>166688</xdr:rowOff>
    </xdr:from>
    <xdr:to>
      <xdr:col>10</xdr:col>
      <xdr:colOff>603250</xdr:colOff>
      <xdr:row>12</xdr:row>
      <xdr:rowOff>71438</xdr:rowOff>
    </xdr:to>
    <xdr:sp macro="" textlink="">
      <xdr:nvSpPr>
        <xdr:cNvPr id="17" name="TextBox 16">
          <a:extLst>
            <a:ext uri="{FF2B5EF4-FFF2-40B4-BE49-F238E27FC236}">
              <a16:creationId xmlns:a16="http://schemas.microsoft.com/office/drawing/2014/main" id="{6606AAD3-A344-4E1A-BA7F-899801B1916E}"/>
            </a:ext>
          </a:extLst>
        </xdr:cNvPr>
        <xdr:cNvSpPr txBox="1"/>
      </xdr:nvSpPr>
      <xdr:spPr>
        <a:xfrm>
          <a:off x="5865813" y="2151063"/>
          <a:ext cx="132556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solidFill>
            </a:rPr>
            <a:t>Product Sales</a:t>
          </a:r>
        </a:p>
      </xdr:txBody>
    </xdr:sp>
    <xdr:clientData/>
  </xdr:twoCellAnchor>
  <xdr:twoCellAnchor>
    <xdr:from>
      <xdr:col>2</xdr:col>
      <xdr:colOff>142875</xdr:colOff>
      <xdr:row>10</xdr:row>
      <xdr:rowOff>150813</xdr:rowOff>
    </xdr:from>
    <xdr:to>
      <xdr:col>4</xdr:col>
      <xdr:colOff>309563</xdr:colOff>
      <xdr:row>12</xdr:row>
      <xdr:rowOff>63500</xdr:rowOff>
    </xdr:to>
    <xdr:sp macro="" textlink="">
      <xdr:nvSpPr>
        <xdr:cNvPr id="18" name="TextBox 17">
          <a:extLst>
            <a:ext uri="{FF2B5EF4-FFF2-40B4-BE49-F238E27FC236}">
              <a16:creationId xmlns:a16="http://schemas.microsoft.com/office/drawing/2014/main" id="{25E9723B-1457-4A8A-9242-2BE044F13670}"/>
            </a:ext>
          </a:extLst>
        </xdr:cNvPr>
        <xdr:cNvSpPr txBox="1"/>
      </xdr:nvSpPr>
      <xdr:spPr>
        <a:xfrm>
          <a:off x="1460500" y="2135188"/>
          <a:ext cx="1484313" cy="309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Employee </a:t>
          </a:r>
          <a:r>
            <a:rPr lang="en-US" sz="1400" b="1" u="sng">
              <a:solidFill>
                <a:schemeClr val="bg1"/>
              </a:solidFill>
            </a:rPr>
            <a:t>Sales</a:t>
          </a:r>
        </a:p>
      </xdr:txBody>
    </xdr:sp>
    <xdr:clientData/>
  </xdr:twoCellAnchor>
  <xdr:twoCellAnchor>
    <xdr:from>
      <xdr:col>5</xdr:col>
      <xdr:colOff>468313</xdr:colOff>
      <xdr:row>3</xdr:row>
      <xdr:rowOff>79374</xdr:rowOff>
    </xdr:from>
    <xdr:to>
      <xdr:col>8</xdr:col>
      <xdr:colOff>15876</xdr:colOff>
      <xdr:row>5</xdr:row>
      <xdr:rowOff>47624</xdr:rowOff>
    </xdr:to>
    <xdr:sp macro="" textlink="">
      <xdr:nvSpPr>
        <xdr:cNvPr id="19" name="TextBox 18">
          <a:extLst>
            <a:ext uri="{FF2B5EF4-FFF2-40B4-BE49-F238E27FC236}">
              <a16:creationId xmlns:a16="http://schemas.microsoft.com/office/drawing/2014/main" id="{4759E63B-332F-4A0E-962E-9ACD466C603F}"/>
            </a:ext>
          </a:extLst>
        </xdr:cNvPr>
        <xdr:cNvSpPr txBox="1"/>
      </xdr:nvSpPr>
      <xdr:spPr>
        <a:xfrm>
          <a:off x="3762376" y="674687"/>
          <a:ext cx="1524000"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bg1"/>
              </a:solidFill>
            </a:rPr>
            <a:t>Yearly Revenue</a:t>
          </a:r>
        </a:p>
      </xdr:txBody>
    </xdr:sp>
    <xdr:clientData/>
  </xdr:twoCellAnchor>
  <xdr:twoCellAnchor editAs="oneCell">
    <xdr:from>
      <xdr:col>4</xdr:col>
      <xdr:colOff>23815</xdr:colOff>
      <xdr:row>21</xdr:row>
      <xdr:rowOff>28576</xdr:rowOff>
    </xdr:from>
    <xdr:to>
      <xdr:col>7</xdr:col>
      <xdr:colOff>174627</xdr:colOff>
      <xdr:row>26</xdr:row>
      <xdr:rowOff>7938</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08AFC86A-BB7F-43C9-B6AF-7DCE9F1906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59065" y="4195764"/>
              <a:ext cx="2127250" cy="971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23814</xdr:colOff>
      <xdr:row>0</xdr:row>
      <xdr:rowOff>0</xdr:rowOff>
    </xdr:from>
    <xdr:to>
      <xdr:col>22</xdr:col>
      <xdr:colOff>190501</xdr:colOff>
      <xdr:row>2</xdr:row>
      <xdr:rowOff>134938</xdr:rowOff>
    </xdr:to>
    <xdr:sp macro="" textlink="">
      <xdr:nvSpPr>
        <xdr:cNvPr id="21" name="Rectangle 20">
          <a:extLst>
            <a:ext uri="{FF2B5EF4-FFF2-40B4-BE49-F238E27FC236}">
              <a16:creationId xmlns:a16="http://schemas.microsoft.com/office/drawing/2014/main" id="{3A6BB607-FE03-4A54-89F9-2CE7068FB90D}"/>
            </a:ext>
          </a:extLst>
        </xdr:cNvPr>
        <xdr:cNvSpPr/>
      </xdr:nvSpPr>
      <xdr:spPr>
        <a:xfrm>
          <a:off x="23814" y="0"/>
          <a:ext cx="14660562" cy="531813"/>
        </a:xfrm>
        <a:prstGeom prst="rect">
          <a:avLst/>
        </a:prstGeom>
        <a:gradFill>
          <a:gsLst>
            <a:gs pos="0">
              <a:schemeClr val="accent1">
                <a:lumMod val="5000"/>
                <a:lumOff val="95000"/>
                <a:alpha val="75000"/>
              </a:schemeClr>
            </a:gs>
            <a:gs pos="55000">
              <a:schemeClr val="accent1">
                <a:lumMod val="75000"/>
                <a:alpha val="75000"/>
              </a:schemeClr>
            </a:gs>
            <a:gs pos="25000">
              <a:schemeClr val="accent5">
                <a:lumMod val="75000"/>
                <a:alpha val="75000"/>
              </a:schemeClr>
            </a:gs>
            <a:gs pos="95000">
              <a:srgbClr val="002060">
                <a:alpha val="75000"/>
              </a:srgbClr>
            </a:gs>
          </a:gsLst>
          <a:lin ang="27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23812</xdr:colOff>
      <xdr:row>0</xdr:row>
      <xdr:rowOff>47625</xdr:rowOff>
    </xdr:from>
    <xdr:to>
      <xdr:col>13</xdr:col>
      <xdr:colOff>380999</xdr:colOff>
      <xdr:row>2</xdr:row>
      <xdr:rowOff>182563</xdr:rowOff>
    </xdr:to>
    <xdr:sp macro="" textlink="">
      <xdr:nvSpPr>
        <xdr:cNvPr id="22" name="TextBox 21">
          <a:extLst>
            <a:ext uri="{FF2B5EF4-FFF2-40B4-BE49-F238E27FC236}">
              <a16:creationId xmlns:a16="http://schemas.microsoft.com/office/drawing/2014/main" id="{45926A45-F1C1-4461-B503-98C4E8916C40}"/>
            </a:ext>
          </a:extLst>
        </xdr:cNvPr>
        <xdr:cNvSpPr txBox="1"/>
      </xdr:nvSpPr>
      <xdr:spPr>
        <a:xfrm>
          <a:off x="5953125" y="47625"/>
          <a:ext cx="2992437" cy="531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u="sng">
              <a:solidFill>
                <a:schemeClr val="bg1"/>
              </a:solidFill>
            </a:rPr>
            <a:t>Revenue</a:t>
          </a:r>
          <a:r>
            <a:rPr lang="en-US" sz="2800" b="1" u="sng" baseline="0">
              <a:solidFill>
                <a:schemeClr val="bg1"/>
              </a:solidFill>
            </a:rPr>
            <a:t> Analysis</a:t>
          </a:r>
          <a:endParaRPr lang="en-US" sz="2800" b="1" u="sng">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tian" refreshedDate="44550.35221597222" createdVersion="7" refreshedVersion="7" minRefreshableVersion="3" recordCount="2000" xr:uid="{6173511B-5C99-495F-BDFA-E034508BBD35}">
  <cacheSource type="worksheet">
    <worksheetSource ref="A1:J2001" sheet="Sales Data"/>
  </cacheSource>
  <cacheFields count="12">
    <cacheField name="Order ID" numFmtId="49">
      <sharedItems/>
    </cacheField>
    <cacheField name="Date" numFmtId="14">
      <sharedItems containsSemiMixedTypes="0" containsNonDate="0" containsDate="1" containsString="0" minDate="2018-01-01T00:00:00" maxDate="2019-10-17T00:00:00" count="654">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sharedItems>
      <fieldGroup par="11" base="1">
        <rangePr groupBy="months" startDate="2018-01-01T00:00:00" endDate="2019-10-17T00:00:00"/>
        <groupItems count="14">
          <s v="&lt;1/1/2018"/>
          <s v="Jan"/>
          <s v="Feb"/>
          <s v="Mar"/>
          <s v="Apr"/>
          <s v="May"/>
          <s v="Jun"/>
          <s v="Jul"/>
          <s v="Aug"/>
          <s v="Sep"/>
          <s v="Oct"/>
          <s v="Nov"/>
          <s v="Dec"/>
          <s v="&gt;10/17/2019"/>
        </groupItems>
      </fieldGroup>
    </cacheField>
    <cacheField name="Customer ID" numFmtId="0">
      <sharedItems containsSemiMixedTypes="0" containsString="0" containsNumber="1" containsInteger="1" minValue="1" maxValue="20"/>
    </cacheField>
    <cacheField name="Customer Name" numFmtId="0">
      <sharedItems count="20">
        <s v="Company K"/>
        <s v="Company A"/>
        <s v="Company I"/>
        <s v="Company R"/>
        <s v="Company P"/>
        <s v="Company M"/>
        <s v="Company Q"/>
        <s v="Company N"/>
        <s v="Company T"/>
        <s v="Company C"/>
        <s v="Company H"/>
        <s v="Company F"/>
        <s v="Company D"/>
        <s v="Company S"/>
        <s v="Company J"/>
        <s v="Company E"/>
        <s v="Company L"/>
        <s v="Company G"/>
        <s v="Company B"/>
        <s v="Company O"/>
      </sharedItems>
    </cacheField>
    <cacheField name="Sales Person" numFmtId="0">
      <sharedItems count="8">
        <s v="Michael Fox"/>
        <s v="Anna Weber"/>
        <s v="Kim Fishman"/>
        <s v="Oscar Knox"/>
        <s v="Andrew James"/>
        <s v="Laura Larsen"/>
        <s v="Anne Lee"/>
        <s v="Ben Wallace"/>
      </sharedItems>
    </cacheField>
    <cacheField name="Region" numFmtId="0">
      <sharedItems count="4">
        <s v="New Mexico"/>
        <s v="Texas"/>
        <s v="California"/>
        <s v="Arizona"/>
      </sharedItems>
    </cacheField>
    <cacheField name="Item" numFmtId="0">
      <sharedItems count="5">
        <s v="Item 2"/>
        <s v="Item 5"/>
        <s v="Item 4"/>
        <s v="Item 3"/>
        <s v="Item 1"/>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acheField>
    <cacheField name="Quarters" numFmtId="0" databaseField="0">
      <fieldGroup base="1">
        <rangePr groupBy="quarters" startDate="2018-01-01T00:00:00" endDate="2019-10-17T00:00:00"/>
        <groupItems count="6">
          <s v="&lt;1/1/2018"/>
          <s v="Qtr1"/>
          <s v="Qtr2"/>
          <s v="Qtr3"/>
          <s v="Qtr4"/>
          <s v="&gt;10/17/2019"/>
        </groupItems>
      </fieldGroup>
    </cacheField>
    <cacheField name="Years" numFmtId="0" databaseField="0">
      <fieldGroup base="1">
        <rangePr groupBy="years" startDate="2018-01-01T00:00:00" endDate="2019-10-17T00:00:00"/>
        <groupItems count="4">
          <s v="&lt;1/1/2018"/>
          <s v="2018"/>
          <s v="2019"/>
          <s v="&gt;10/17/2019"/>
        </groupItems>
      </fieldGroup>
    </cacheField>
  </cacheFields>
  <extLst>
    <ext xmlns:x14="http://schemas.microsoft.com/office/spreadsheetml/2009/9/main" uri="{725AE2AE-9491-48be-B2B4-4EB974FC3084}">
      <x14:pivotCacheDefinition pivotCacheId="20222762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1"/>
    <x v="0"/>
    <n v="11"/>
    <x v="0"/>
    <x v="0"/>
    <x v="0"/>
    <x v="0"/>
    <n v="199"/>
    <n v="3"/>
    <n v="597"/>
  </r>
  <r>
    <s v="0002"/>
    <x v="1"/>
    <n v="1"/>
    <x v="1"/>
    <x v="1"/>
    <x v="1"/>
    <x v="1"/>
    <n v="289"/>
    <n v="7"/>
    <n v="2023"/>
  </r>
  <r>
    <s v="0003"/>
    <x v="2"/>
    <n v="9"/>
    <x v="2"/>
    <x v="2"/>
    <x v="2"/>
    <x v="2"/>
    <n v="159"/>
    <n v="3"/>
    <n v="477"/>
  </r>
  <r>
    <s v="0004"/>
    <x v="2"/>
    <n v="18"/>
    <x v="3"/>
    <x v="3"/>
    <x v="3"/>
    <x v="1"/>
    <n v="289"/>
    <n v="3"/>
    <n v="867"/>
  </r>
  <r>
    <s v="0005"/>
    <x v="3"/>
    <n v="16"/>
    <x v="4"/>
    <x v="3"/>
    <x v="3"/>
    <x v="3"/>
    <n v="69"/>
    <n v="4"/>
    <n v="276"/>
  </r>
  <r>
    <s v="0006"/>
    <x v="3"/>
    <n v="13"/>
    <x v="5"/>
    <x v="0"/>
    <x v="0"/>
    <x v="0"/>
    <n v="199"/>
    <n v="2"/>
    <n v="398"/>
  </r>
  <r>
    <s v="0007"/>
    <x v="3"/>
    <n v="17"/>
    <x v="6"/>
    <x v="4"/>
    <x v="3"/>
    <x v="1"/>
    <n v="289"/>
    <n v="9"/>
    <n v="2601"/>
  </r>
  <r>
    <s v="0008"/>
    <x v="4"/>
    <n v="14"/>
    <x v="7"/>
    <x v="0"/>
    <x v="0"/>
    <x v="0"/>
    <n v="199"/>
    <n v="5"/>
    <n v="995"/>
  </r>
  <r>
    <s v="0009"/>
    <x v="4"/>
    <n v="20"/>
    <x v="8"/>
    <x v="4"/>
    <x v="3"/>
    <x v="4"/>
    <n v="399"/>
    <n v="5"/>
    <n v="1995"/>
  </r>
  <r>
    <s v="0010"/>
    <x v="4"/>
    <n v="3"/>
    <x v="9"/>
    <x v="1"/>
    <x v="1"/>
    <x v="0"/>
    <n v="199"/>
    <n v="0"/>
    <n v="0"/>
  </r>
  <r>
    <s v="0011"/>
    <x v="4"/>
    <n v="8"/>
    <x v="10"/>
    <x v="5"/>
    <x v="2"/>
    <x v="1"/>
    <n v="289"/>
    <n v="9"/>
    <n v="2601"/>
  </r>
  <r>
    <s v="0012"/>
    <x v="4"/>
    <n v="6"/>
    <x v="11"/>
    <x v="5"/>
    <x v="2"/>
    <x v="4"/>
    <n v="399"/>
    <n v="6"/>
    <n v="2394"/>
  </r>
  <r>
    <s v="0013"/>
    <x v="4"/>
    <n v="9"/>
    <x v="2"/>
    <x v="2"/>
    <x v="2"/>
    <x v="0"/>
    <n v="199"/>
    <n v="6"/>
    <n v="1194"/>
  </r>
  <r>
    <s v="0014"/>
    <x v="4"/>
    <n v="4"/>
    <x v="12"/>
    <x v="1"/>
    <x v="1"/>
    <x v="4"/>
    <n v="399"/>
    <n v="4"/>
    <n v="1596"/>
  </r>
  <r>
    <s v="0015"/>
    <x v="4"/>
    <n v="6"/>
    <x v="11"/>
    <x v="2"/>
    <x v="2"/>
    <x v="0"/>
    <n v="199"/>
    <n v="2"/>
    <n v="398"/>
  </r>
  <r>
    <s v="0016"/>
    <x v="5"/>
    <n v="13"/>
    <x v="5"/>
    <x v="0"/>
    <x v="0"/>
    <x v="3"/>
    <n v="69"/>
    <n v="0"/>
    <n v="0"/>
  </r>
  <r>
    <s v="0017"/>
    <x v="6"/>
    <n v="14"/>
    <x v="7"/>
    <x v="0"/>
    <x v="0"/>
    <x v="1"/>
    <n v="289"/>
    <n v="0"/>
    <n v="0"/>
  </r>
  <r>
    <s v="0018"/>
    <x v="6"/>
    <n v="19"/>
    <x v="13"/>
    <x v="3"/>
    <x v="3"/>
    <x v="2"/>
    <n v="159"/>
    <n v="5"/>
    <n v="795"/>
  </r>
  <r>
    <s v="0019"/>
    <x v="6"/>
    <n v="10"/>
    <x v="14"/>
    <x v="5"/>
    <x v="2"/>
    <x v="3"/>
    <n v="69"/>
    <n v="2"/>
    <n v="138"/>
  </r>
  <r>
    <s v="0020"/>
    <x v="6"/>
    <n v="5"/>
    <x v="15"/>
    <x v="1"/>
    <x v="1"/>
    <x v="4"/>
    <n v="399"/>
    <n v="3"/>
    <n v="1197"/>
  </r>
  <r>
    <s v="0021"/>
    <x v="6"/>
    <n v="10"/>
    <x v="14"/>
    <x v="5"/>
    <x v="2"/>
    <x v="3"/>
    <n v="69"/>
    <n v="2"/>
    <n v="138"/>
  </r>
  <r>
    <s v="0022"/>
    <x v="6"/>
    <n v="11"/>
    <x v="0"/>
    <x v="6"/>
    <x v="0"/>
    <x v="1"/>
    <n v="289"/>
    <n v="6"/>
    <n v="1734"/>
  </r>
  <r>
    <s v="0023"/>
    <x v="6"/>
    <n v="8"/>
    <x v="10"/>
    <x v="5"/>
    <x v="2"/>
    <x v="2"/>
    <n v="159"/>
    <n v="4"/>
    <n v="636"/>
  </r>
  <r>
    <s v="0024"/>
    <x v="6"/>
    <n v="12"/>
    <x v="16"/>
    <x v="0"/>
    <x v="0"/>
    <x v="4"/>
    <n v="399"/>
    <n v="2"/>
    <n v="798"/>
  </r>
  <r>
    <s v="0025"/>
    <x v="7"/>
    <n v="3"/>
    <x v="9"/>
    <x v="7"/>
    <x v="1"/>
    <x v="4"/>
    <n v="399"/>
    <n v="0"/>
    <n v="0"/>
  </r>
  <r>
    <s v="0026"/>
    <x v="7"/>
    <n v="14"/>
    <x v="7"/>
    <x v="0"/>
    <x v="0"/>
    <x v="1"/>
    <n v="289"/>
    <n v="0"/>
    <n v="0"/>
  </r>
  <r>
    <s v="0027"/>
    <x v="7"/>
    <n v="14"/>
    <x v="7"/>
    <x v="6"/>
    <x v="0"/>
    <x v="0"/>
    <n v="199"/>
    <n v="1"/>
    <n v="199"/>
  </r>
  <r>
    <s v="0028"/>
    <x v="7"/>
    <n v="19"/>
    <x v="13"/>
    <x v="4"/>
    <x v="3"/>
    <x v="4"/>
    <n v="399"/>
    <n v="7"/>
    <n v="2793"/>
  </r>
  <r>
    <s v="0029"/>
    <x v="8"/>
    <n v="10"/>
    <x v="14"/>
    <x v="5"/>
    <x v="2"/>
    <x v="0"/>
    <n v="199"/>
    <n v="3"/>
    <n v="597"/>
  </r>
  <r>
    <s v="0030"/>
    <x v="8"/>
    <n v="12"/>
    <x v="16"/>
    <x v="6"/>
    <x v="0"/>
    <x v="1"/>
    <n v="289"/>
    <n v="0"/>
    <n v="0"/>
  </r>
  <r>
    <s v="0031"/>
    <x v="8"/>
    <n v="6"/>
    <x v="11"/>
    <x v="2"/>
    <x v="2"/>
    <x v="2"/>
    <n v="159"/>
    <n v="2"/>
    <n v="318"/>
  </r>
  <r>
    <s v="0032"/>
    <x v="8"/>
    <n v="6"/>
    <x v="11"/>
    <x v="5"/>
    <x v="2"/>
    <x v="4"/>
    <n v="399"/>
    <n v="3"/>
    <n v="1197"/>
  </r>
  <r>
    <s v="0033"/>
    <x v="9"/>
    <n v="6"/>
    <x v="11"/>
    <x v="5"/>
    <x v="2"/>
    <x v="3"/>
    <n v="69"/>
    <n v="2"/>
    <n v="138"/>
  </r>
  <r>
    <s v="0034"/>
    <x v="10"/>
    <n v="1"/>
    <x v="1"/>
    <x v="7"/>
    <x v="1"/>
    <x v="0"/>
    <n v="199"/>
    <n v="8"/>
    <n v="1592"/>
  </r>
  <r>
    <s v="0035"/>
    <x v="10"/>
    <n v="16"/>
    <x v="4"/>
    <x v="4"/>
    <x v="3"/>
    <x v="0"/>
    <n v="199"/>
    <n v="5"/>
    <n v="995"/>
  </r>
  <r>
    <s v="0036"/>
    <x v="10"/>
    <n v="13"/>
    <x v="5"/>
    <x v="6"/>
    <x v="0"/>
    <x v="1"/>
    <n v="289"/>
    <n v="1"/>
    <n v="289"/>
  </r>
  <r>
    <s v="0037"/>
    <x v="10"/>
    <n v="13"/>
    <x v="5"/>
    <x v="6"/>
    <x v="0"/>
    <x v="4"/>
    <n v="399"/>
    <n v="4"/>
    <n v="1596"/>
  </r>
  <r>
    <s v="0038"/>
    <x v="11"/>
    <n v="20"/>
    <x v="8"/>
    <x v="3"/>
    <x v="3"/>
    <x v="4"/>
    <n v="399"/>
    <n v="3"/>
    <n v="1197"/>
  </r>
  <r>
    <s v="0039"/>
    <x v="11"/>
    <n v="19"/>
    <x v="13"/>
    <x v="4"/>
    <x v="3"/>
    <x v="3"/>
    <n v="69"/>
    <n v="8"/>
    <n v="552"/>
  </r>
  <r>
    <s v="0040"/>
    <x v="11"/>
    <n v="14"/>
    <x v="7"/>
    <x v="0"/>
    <x v="0"/>
    <x v="1"/>
    <n v="289"/>
    <n v="3"/>
    <n v="867"/>
  </r>
  <r>
    <s v="0041"/>
    <x v="12"/>
    <n v="9"/>
    <x v="2"/>
    <x v="2"/>
    <x v="2"/>
    <x v="4"/>
    <n v="399"/>
    <n v="4"/>
    <n v="1596"/>
  </r>
  <r>
    <s v="0042"/>
    <x v="12"/>
    <n v="17"/>
    <x v="6"/>
    <x v="4"/>
    <x v="3"/>
    <x v="3"/>
    <n v="69"/>
    <n v="5"/>
    <n v="345"/>
  </r>
  <r>
    <s v="0043"/>
    <x v="12"/>
    <n v="13"/>
    <x v="5"/>
    <x v="6"/>
    <x v="0"/>
    <x v="2"/>
    <n v="159"/>
    <n v="8"/>
    <n v="1272"/>
  </r>
  <r>
    <s v="0044"/>
    <x v="12"/>
    <n v="7"/>
    <x v="17"/>
    <x v="5"/>
    <x v="2"/>
    <x v="4"/>
    <n v="399"/>
    <n v="5"/>
    <n v="1995"/>
  </r>
  <r>
    <s v="0045"/>
    <x v="12"/>
    <n v="12"/>
    <x v="16"/>
    <x v="6"/>
    <x v="0"/>
    <x v="1"/>
    <n v="289"/>
    <n v="4"/>
    <n v="1156"/>
  </r>
  <r>
    <s v="0046"/>
    <x v="12"/>
    <n v="14"/>
    <x v="7"/>
    <x v="0"/>
    <x v="0"/>
    <x v="2"/>
    <n v="159"/>
    <n v="7"/>
    <n v="1113"/>
  </r>
  <r>
    <s v="0047"/>
    <x v="12"/>
    <n v="17"/>
    <x v="6"/>
    <x v="3"/>
    <x v="3"/>
    <x v="1"/>
    <n v="289"/>
    <n v="0"/>
    <n v="0"/>
  </r>
  <r>
    <s v="0048"/>
    <x v="12"/>
    <n v="16"/>
    <x v="4"/>
    <x v="3"/>
    <x v="3"/>
    <x v="3"/>
    <n v="69"/>
    <n v="1"/>
    <n v="69"/>
  </r>
  <r>
    <s v="0049"/>
    <x v="12"/>
    <n v="4"/>
    <x v="12"/>
    <x v="7"/>
    <x v="1"/>
    <x v="2"/>
    <n v="159"/>
    <n v="5"/>
    <n v="795"/>
  </r>
  <r>
    <s v="0050"/>
    <x v="12"/>
    <n v="5"/>
    <x v="15"/>
    <x v="7"/>
    <x v="1"/>
    <x v="2"/>
    <n v="159"/>
    <n v="7"/>
    <n v="1113"/>
  </r>
  <r>
    <s v="0051"/>
    <x v="12"/>
    <n v="19"/>
    <x v="13"/>
    <x v="4"/>
    <x v="3"/>
    <x v="4"/>
    <n v="399"/>
    <n v="6"/>
    <n v="2394"/>
  </r>
  <r>
    <s v="0052"/>
    <x v="12"/>
    <n v="1"/>
    <x v="1"/>
    <x v="7"/>
    <x v="1"/>
    <x v="3"/>
    <n v="69"/>
    <n v="2"/>
    <n v="138"/>
  </r>
  <r>
    <s v="0053"/>
    <x v="13"/>
    <n v="17"/>
    <x v="6"/>
    <x v="4"/>
    <x v="3"/>
    <x v="3"/>
    <n v="69"/>
    <n v="7"/>
    <n v="483"/>
  </r>
  <r>
    <s v="0054"/>
    <x v="14"/>
    <n v="8"/>
    <x v="10"/>
    <x v="5"/>
    <x v="2"/>
    <x v="1"/>
    <n v="289"/>
    <n v="1"/>
    <n v="289"/>
  </r>
  <r>
    <s v="0055"/>
    <x v="14"/>
    <n v="7"/>
    <x v="17"/>
    <x v="5"/>
    <x v="2"/>
    <x v="4"/>
    <n v="399"/>
    <n v="0"/>
    <n v="0"/>
  </r>
  <r>
    <s v="0056"/>
    <x v="14"/>
    <n v="20"/>
    <x v="8"/>
    <x v="4"/>
    <x v="3"/>
    <x v="3"/>
    <n v="69"/>
    <n v="9"/>
    <n v="621"/>
  </r>
  <r>
    <s v="0057"/>
    <x v="14"/>
    <n v="8"/>
    <x v="10"/>
    <x v="5"/>
    <x v="2"/>
    <x v="0"/>
    <n v="199"/>
    <n v="5"/>
    <n v="995"/>
  </r>
  <r>
    <s v="0058"/>
    <x v="14"/>
    <n v="11"/>
    <x v="0"/>
    <x v="0"/>
    <x v="0"/>
    <x v="3"/>
    <n v="69"/>
    <n v="9"/>
    <n v="621"/>
  </r>
  <r>
    <s v="0059"/>
    <x v="14"/>
    <n v="9"/>
    <x v="2"/>
    <x v="2"/>
    <x v="2"/>
    <x v="4"/>
    <n v="399"/>
    <n v="7"/>
    <n v="2793"/>
  </r>
  <r>
    <s v="0060"/>
    <x v="14"/>
    <n v="10"/>
    <x v="14"/>
    <x v="5"/>
    <x v="2"/>
    <x v="0"/>
    <n v="199"/>
    <n v="3"/>
    <n v="597"/>
  </r>
  <r>
    <s v="0061"/>
    <x v="15"/>
    <n v="2"/>
    <x v="18"/>
    <x v="1"/>
    <x v="1"/>
    <x v="2"/>
    <n v="159"/>
    <n v="8"/>
    <n v="1272"/>
  </r>
  <r>
    <s v="0062"/>
    <x v="16"/>
    <n v="20"/>
    <x v="8"/>
    <x v="4"/>
    <x v="3"/>
    <x v="2"/>
    <n v="159"/>
    <n v="9"/>
    <n v="1431"/>
  </r>
  <r>
    <s v="0063"/>
    <x v="16"/>
    <n v="9"/>
    <x v="2"/>
    <x v="5"/>
    <x v="2"/>
    <x v="1"/>
    <n v="289"/>
    <n v="7"/>
    <n v="2023"/>
  </r>
  <r>
    <s v="0064"/>
    <x v="17"/>
    <n v="9"/>
    <x v="2"/>
    <x v="5"/>
    <x v="2"/>
    <x v="4"/>
    <n v="399"/>
    <n v="1"/>
    <n v="399"/>
  </r>
  <r>
    <s v="0065"/>
    <x v="18"/>
    <n v="9"/>
    <x v="2"/>
    <x v="5"/>
    <x v="2"/>
    <x v="0"/>
    <n v="199"/>
    <n v="6"/>
    <n v="1194"/>
  </r>
  <r>
    <s v="0066"/>
    <x v="18"/>
    <n v="10"/>
    <x v="14"/>
    <x v="5"/>
    <x v="2"/>
    <x v="1"/>
    <n v="289"/>
    <n v="3"/>
    <n v="867"/>
  </r>
  <r>
    <s v="0067"/>
    <x v="19"/>
    <n v="16"/>
    <x v="4"/>
    <x v="3"/>
    <x v="3"/>
    <x v="3"/>
    <n v="69"/>
    <n v="2"/>
    <n v="138"/>
  </r>
  <r>
    <s v="0068"/>
    <x v="19"/>
    <n v="13"/>
    <x v="5"/>
    <x v="6"/>
    <x v="0"/>
    <x v="0"/>
    <n v="199"/>
    <n v="8"/>
    <n v="1592"/>
  </r>
  <r>
    <s v="0069"/>
    <x v="20"/>
    <n v="19"/>
    <x v="13"/>
    <x v="4"/>
    <x v="3"/>
    <x v="0"/>
    <n v="199"/>
    <n v="8"/>
    <n v="1592"/>
  </r>
  <r>
    <s v="0070"/>
    <x v="20"/>
    <n v="6"/>
    <x v="11"/>
    <x v="5"/>
    <x v="2"/>
    <x v="0"/>
    <n v="199"/>
    <n v="0"/>
    <n v="0"/>
  </r>
  <r>
    <s v="0071"/>
    <x v="20"/>
    <n v="17"/>
    <x v="6"/>
    <x v="3"/>
    <x v="3"/>
    <x v="2"/>
    <n v="159"/>
    <n v="4"/>
    <n v="636"/>
  </r>
  <r>
    <s v="0072"/>
    <x v="21"/>
    <n v="15"/>
    <x v="19"/>
    <x v="6"/>
    <x v="0"/>
    <x v="4"/>
    <n v="399"/>
    <n v="4"/>
    <n v="1596"/>
  </r>
  <r>
    <s v="0073"/>
    <x v="22"/>
    <n v="15"/>
    <x v="19"/>
    <x v="6"/>
    <x v="0"/>
    <x v="2"/>
    <n v="159"/>
    <n v="1"/>
    <n v="159"/>
  </r>
  <r>
    <s v="0074"/>
    <x v="22"/>
    <n v="20"/>
    <x v="8"/>
    <x v="3"/>
    <x v="3"/>
    <x v="1"/>
    <n v="289"/>
    <n v="1"/>
    <n v="289"/>
  </r>
  <r>
    <s v="0075"/>
    <x v="22"/>
    <n v="13"/>
    <x v="5"/>
    <x v="0"/>
    <x v="0"/>
    <x v="1"/>
    <n v="289"/>
    <n v="5"/>
    <n v="1445"/>
  </r>
  <r>
    <s v="0076"/>
    <x v="23"/>
    <n v="18"/>
    <x v="3"/>
    <x v="3"/>
    <x v="3"/>
    <x v="3"/>
    <n v="69"/>
    <n v="7"/>
    <n v="483"/>
  </r>
  <r>
    <s v="0077"/>
    <x v="23"/>
    <n v="8"/>
    <x v="10"/>
    <x v="5"/>
    <x v="2"/>
    <x v="3"/>
    <n v="69"/>
    <n v="2"/>
    <n v="138"/>
  </r>
  <r>
    <s v="0078"/>
    <x v="23"/>
    <n v="5"/>
    <x v="15"/>
    <x v="7"/>
    <x v="1"/>
    <x v="1"/>
    <n v="289"/>
    <n v="1"/>
    <n v="289"/>
  </r>
  <r>
    <s v="0079"/>
    <x v="23"/>
    <n v="19"/>
    <x v="13"/>
    <x v="3"/>
    <x v="3"/>
    <x v="1"/>
    <n v="289"/>
    <n v="8"/>
    <n v="2312"/>
  </r>
  <r>
    <s v="0080"/>
    <x v="23"/>
    <n v="10"/>
    <x v="14"/>
    <x v="2"/>
    <x v="2"/>
    <x v="1"/>
    <n v="289"/>
    <n v="3"/>
    <n v="867"/>
  </r>
  <r>
    <s v="0081"/>
    <x v="23"/>
    <n v="7"/>
    <x v="17"/>
    <x v="5"/>
    <x v="2"/>
    <x v="4"/>
    <n v="399"/>
    <n v="6"/>
    <n v="2394"/>
  </r>
  <r>
    <s v="0082"/>
    <x v="23"/>
    <n v="5"/>
    <x v="15"/>
    <x v="1"/>
    <x v="1"/>
    <x v="3"/>
    <n v="69"/>
    <n v="1"/>
    <n v="69"/>
  </r>
  <r>
    <s v="0083"/>
    <x v="23"/>
    <n v="10"/>
    <x v="14"/>
    <x v="5"/>
    <x v="2"/>
    <x v="3"/>
    <n v="69"/>
    <n v="2"/>
    <n v="138"/>
  </r>
  <r>
    <s v="0084"/>
    <x v="24"/>
    <n v="18"/>
    <x v="3"/>
    <x v="4"/>
    <x v="3"/>
    <x v="4"/>
    <n v="399"/>
    <n v="1"/>
    <n v="399"/>
  </r>
  <r>
    <s v="0085"/>
    <x v="25"/>
    <n v="4"/>
    <x v="12"/>
    <x v="7"/>
    <x v="1"/>
    <x v="4"/>
    <n v="399"/>
    <n v="9"/>
    <n v="3591"/>
  </r>
  <r>
    <s v="0086"/>
    <x v="25"/>
    <n v="12"/>
    <x v="16"/>
    <x v="0"/>
    <x v="0"/>
    <x v="4"/>
    <n v="399"/>
    <n v="2"/>
    <n v="798"/>
  </r>
  <r>
    <s v="0087"/>
    <x v="26"/>
    <n v="17"/>
    <x v="6"/>
    <x v="4"/>
    <x v="3"/>
    <x v="2"/>
    <n v="159"/>
    <n v="3"/>
    <n v="477"/>
  </r>
  <r>
    <s v="0088"/>
    <x v="26"/>
    <n v="12"/>
    <x v="16"/>
    <x v="0"/>
    <x v="0"/>
    <x v="3"/>
    <n v="69"/>
    <n v="2"/>
    <n v="138"/>
  </r>
  <r>
    <s v="0089"/>
    <x v="26"/>
    <n v="8"/>
    <x v="10"/>
    <x v="2"/>
    <x v="2"/>
    <x v="0"/>
    <n v="199"/>
    <n v="5"/>
    <n v="995"/>
  </r>
  <r>
    <s v="0090"/>
    <x v="26"/>
    <n v="12"/>
    <x v="16"/>
    <x v="6"/>
    <x v="0"/>
    <x v="3"/>
    <n v="69"/>
    <n v="2"/>
    <n v="138"/>
  </r>
  <r>
    <s v="0091"/>
    <x v="26"/>
    <n v="19"/>
    <x v="13"/>
    <x v="4"/>
    <x v="3"/>
    <x v="1"/>
    <n v="289"/>
    <n v="4"/>
    <n v="1156"/>
  </r>
  <r>
    <s v="0092"/>
    <x v="27"/>
    <n v="20"/>
    <x v="8"/>
    <x v="3"/>
    <x v="3"/>
    <x v="4"/>
    <n v="399"/>
    <n v="6"/>
    <n v="2394"/>
  </r>
  <r>
    <s v="0093"/>
    <x v="28"/>
    <n v="7"/>
    <x v="17"/>
    <x v="2"/>
    <x v="2"/>
    <x v="4"/>
    <n v="399"/>
    <n v="1"/>
    <n v="399"/>
  </r>
  <r>
    <s v="0094"/>
    <x v="28"/>
    <n v="8"/>
    <x v="10"/>
    <x v="2"/>
    <x v="2"/>
    <x v="0"/>
    <n v="199"/>
    <n v="2"/>
    <n v="398"/>
  </r>
  <r>
    <s v="0095"/>
    <x v="28"/>
    <n v="7"/>
    <x v="17"/>
    <x v="5"/>
    <x v="2"/>
    <x v="3"/>
    <n v="69"/>
    <n v="8"/>
    <n v="552"/>
  </r>
  <r>
    <s v="0096"/>
    <x v="29"/>
    <n v="15"/>
    <x v="19"/>
    <x v="0"/>
    <x v="0"/>
    <x v="3"/>
    <n v="69"/>
    <n v="9"/>
    <n v="621"/>
  </r>
  <r>
    <s v="0097"/>
    <x v="29"/>
    <n v="11"/>
    <x v="0"/>
    <x v="6"/>
    <x v="0"/>
    <x v="3"/>
    <n v="69"/>
    <n v="7"/>
    <n v="483"/>
  </r>
  <r>
    <s v="0098"/>
    <x v="29"/>
    <n v="19"/>
    <x v="13"/>
    <x v="3"/>
    <x v="3"/>
    <x v="2"/>
    <n v="159"/>
    <n v="8"/>
    <n v="1272"/>
  </r>
  <r>
    <s v="0099"/>
    <x v="29"/>
    <n v="8"/>
    <x v="10"/>
    <x v="5"/>
    <x v="2"/>
    <x v="0"/>
    <n v="199"/>
    <n v="9"/>
    <n v="1791"/>
  </r>
  <r>
    <s v="0100"/>
    <x v="29"/>
    <n v="12"/>
    <x v="16"/>
    <x v="0"/>
    <x v="0"/>
    <x v="0"/>
    <n v="199"/>
    <n v="5"/>
    <n v="995"/>
  </r>
  <r>
    <s v="0101"/>
    <x v="30"/>
    <n v="18"/>
    <x v="3"/>
    <x v="3"/>
    <x v="3"/>
    <x v="3"/>
    <n v="69"/>
    <n v="4"/>
    <n v="276"/>
  </r>
  <r>
    <s v="0102"/>
    <x v="31"/>
    <n v="10"/>
    <x v="14"/>
    <x v="2"/>
    <x v="2"/>
    <x v="3"/>
    <n v="69"/>
    <n v="4"/>
    <n v="276"/>
  </r>
  <r>
    <s v="0103"/>
    <x v="31"/>
    <n v="20"/>
    <x v="8"/>
    <x v="4"/>
    <x v="3"/>
    <x v="3"/>
    <n v="69"/>
    <n v="6"/>
    <n v="414"/>
  </r>
  <r>
    <s v="0104"/>
    <x v="32"/>
    <n v="4"/>
    <x v="12"/>
    <x v="7"/>
    <x v="1"/>
    <x v="4"/>
    <n v="399"/>
    <n v="1"/>
    <n v="399"/>
  </r>
  <r>
    <s v="0105"/>
    <x v="32"/>
    <n v="11"/>
    <x v="0"/>
    <x v="0"/>
    <x v="0"/>
    <x v="2"/>
    <n v="159"/>
    <n v="0"/>
    <n v="0"/>
  </r>
  <r>
    <s v="0106"/>
    <x v="32"/>
    <n v="2"/>
    <x v="18"/>
    <x v="7"/>
    <x v="1"/>
    <x v="2"/>
    <n v="159"/>
    <n v="5"/>
    <n v="795"/>
  </r>
  <r>
    <s v="0107"/>
    <x v="32"/>
    <n v="7"/>
    <x v="17"/>
    <x v="2"/>
    <x v="2"/>
    <x v="2"/>
    <n v="159"/>
    <n v="5"/>
    <n v="795"/>
  </r>
  <r>
    <s v="0108"/>
    <x v="32"/>
    <n v="15"/>
    <x v="19"/>
    <x v="6"/>
    <x v="0"/>
    <x v="4"/>
    <n v="399"/>
    <n v="2"/>
    <n v="798"/>
  </r>
  <r>
    <s v="0109"/>
    <x v="32"/>
    <n v="20"/>
    <x v="8"/>
    <x v="3"/>
    <x v="3"/>
    <x v="2"/>
    <n v="159"/>
    <n v="7"/>
    <n v="1113"/>
  </r>
  <r>
    <s v="0110"/>
    <x v="33"/>
    <n v="16"/>
    <x v="4"/>
    <x v="3"/>
    <x v="3"/>
    <x v="0"/>
    <n v="199"/>
    <n v="6"/>
    <n v="1194"/>
  </r>
  <r>
    <s v="0111"/>
    <x v="33"/>
    <n v="19"/>
    <x v="13"/>
    <x v="4"/>
    <x v="3"/>
    <x v="4"/>
    <n v="399"/>
    <n v="6"/>
    <n v="2394"/>
  </r>
  <r>
    <s v="0112"/>
    <x v="34"/>
    <n v="1"/>
    <x v="1"/>
    <x v="1"/>
    <x v="1"/>
    <x v="4"/>
    <n v="399"/>
    <n v="2"/>
    <n v="798"/>
  </r>
  <r>
    <s v="0113"/>
    <x v="35"/>
    <n v="17"/>
    <x v="6"/>
    <x v="3"/>
    <x v="3"/>
    <x v="4"/>
    <n v="399"/>
    <n v="5"/>
    <n v="1995"/>
  </r>
  <r>
    <s v="0114"/>
    <x v="35"/>
    <n v="9"/>
    <x v="2"/>
    <x v="2"/>
    <x v="2"/>
    <x v="2"/>
    <n v="159"/>
    <n v="4"/>
    <n v="636"/>
  </r>
  <r>
    <s v="0115"/>
    <x v="35"/>
    <n v="2"/>
    <x v="18"/>
    <x v="7"/>
    <x v="1"/>
    <x v="3"/>
    <n v="69"/>
    <n v="7"/>
    <n v="483"/>
  </r>
  <r>
    <s v="0116"/>
    <x v="35"/>
    <n v="14"/>
    <x v="7"/>
    <x v="0"/>
    <x v="0"/>
    <x v="3"/>
    <n v="69"/>
    <n v="7"/>
    <n v="483"/>
  </r>
  <r>
    <s v="0117"/>
    <x v="35"/>
    <n v="14"/>
    <x v="7"/>
    <x v="0"/>
    <x v="0"/>
    <x v="4"/>
    <n v="399"/>
    <n v="7"/>
    <n v="2793"/>
  </r>
  <r>
    <s v="0118"/>
    <x v="36"/>
    <n v="5"/>
    <x v="15"/>
    <x v="1"/>
    <x v="1"/>
    <x v="1"/>
    <n v="289"/>
    <n v="2"/>
    <n v="578"/>
  </r>
  <r>
    <s v="0119"/>
    <x v="36"/>
    <n v="5"/>
    <x v="15"/>
    <x v="1"/>
    <x v="1"/>
    <x v="0"/>
    <n v="199"/>
    <n v="2"/>
    <n v="398"/>
  </r>
  <r>
    <s v="0120"/>
    <x v="36"/>
    <n v="14"/>
    <x v="7"/>
    <x v="0"/>
    <x v="0"/>
    <x v="2"/>
    <n v="159"/>
    <n v="3"/>
    <n v="477"/>
  </r>
  <r>
    <s v="0121"/>
    <x v="37"/>
    <n v="15"/>
    <x v="19"/>
    <x v="0"/>
    <x v="0"/>
    <x v="0"/>
    <n v="199"/>
    <n v="3"/>
    <n v="597"/>
  </r>
  <r>
    <s v="0122"/>
    <x v="38"/>
    <n v="8"/>
    <x v="10"/>
    <x v="5"/>
    <x v="2"/>
    <x v="3"/>
    <n v="69"/>
    <n v="6"/>
    <n v="414"/>
  </r>
  <r>
    <s v="0123"/>
    <x v="38"/>
    <n v="2"/>
    <x v="18"/>
    <x v="1"/>
    <x v="1"/>
    <x v="1"/>
    <n v="289"/>
    <n v="6"/>
    <n v="1734"/>
  </r>
  <r>
    <s v="0124"/>
    <x v="38"/>
    <n v="4"/>
    <x v="12"/>
    <x v="7"/>
    <x v="1"/>
    <x v="1"/>
    <n v="289"/>
    <n v="7"/>
    <n v="2023"/>
  </r>
  <r>
    <s v="0125"/>
    <x v="38"/>
    <n v="10"/>
    <x v="14"/>
    <x v="2"/>
    <x v="2"/>
    <x v="2"/>
    <n v="159"/>
    <n v="0"/>
    <n v="0"/>
  </r>
  <r>
    <s v="0126"/>
    <x v="38"/>
    <n v="18"/>
    <x v="3"/>
    <x v="3"/>
    <x v="3"/>
    <x v="4"/>
    <n v="399"/>
    <n v="4"/>
    <n v="1596"/>
  </r>
  <r>
    <s v="0127"/>
    <x v="38"/>
    <n v="8"/>
    <x v="10"/>
    <x v="5"/>
    <x v="2"/>
    <x v="2"/>
    <n v="159"/>
    <n v="4"/>
    <n v="636"/>
  </r>
  <r>
    <s v="0128"/>
    <x v="39"/>
    <n v="11"/>
    <x v="0"/>
    <x v="6"/>
    <x v="0"/>
    <x v="0"/>
    <n v="199"/>
    <n v="0"/>
    <n v="0"/>
  </r>
  <r>
    <s v="0129"/>
    <x v="40"/>
    <n v="6"/>
    <x v="11"/>
    <x v="2"/>
    <x v="2"/>
    <x v="0"/>
    <n v="199"/>
    <n v="8"/>
    <n v="1592"/>
  </r>
  <r>
    <s v="0130"/>
    <x v="41"/>
    <n v="16"/>
    <x v="4"/>
    <x v="3"/>
    <x v="3"/>
    <x v="0"/>
    <n v="199"/>
    <n v="0"/>
    <n v="0"/>
  </r>
  <r>
    <s v="0131"/>
    <x v="41"/>
    <n v="10"/>
    <x v="14"/>
    <x v="2"/>
    <x v="2"/>
    <x v="4"/>
    <n v="399"/>
    <n v="3"/>
    <n v="1197"/>
  </r>
  <r>
    <s v="0132"/>
    <x v="41"/>
    <n v="7"/>
    <x v="17"/>
    <x v="2"/>
    <x v="2"/>
    <x v="2"/>
    <n v="159"/>
    <n v="9"/>
    <n v="1431"/>
  </r>
  <r>
    <s v="0133"/>
    <x v="41"/>
    <n v="12"/>
    <x v="16"/>
    <x v="0"/>
    <x v="0"/>
    <x v="4"/>
    <n v="399"/>
    <n v="9"/>
    <n v="3591"/>
  </r>
  <r>
    <s v="0134"/>
    <x v="42"/>
    <n v="13"/>
    <x v="5"/>
    <x v="0"/>
    <x v="0"/>
    <x v="2"/>
    <n v="159"/>
    <n v="7"/>
    <n v="1113"/>
  </r>
  <r>
    <s v="0135"/>
    <x v="42"/>
    <n v="16"/>
    <x v="4"/>
    <x v="3"/>
    <x v="3"/>
    <x v="3"/>
    <n v="69"/>
    <n v="5"/>
    <n v="345"/>
  </r>
  <r>
    <s v="0136"/>
    <x v="43"/>
    <n v="6"/>
    <x v="11"/>
    <x v="5"/>
    <x v="2"/>
    <x v="0"/>
    <n v="199"/>
    <n v="9"/>
    <n v="1791"/>
  </r>
  <r>
    <s v="0137"/>
    <x v="43"/>
    <n v="12"/>
    <x v="16"/>
    <x v="6"/>
    <x v="0"/>
    <x v="4"/>
    <n v="399"/>
    <n v="3"/>
    <n v="1197"/>
  </r>
  <r>
    <s v="0138"/>
    <x v="43"/>
    <n v="14"/>
    <x v="7"/>
    <x v="6"/>
    <x v="0"/>
    <x v="4"/>
    <n v="399"/>
    <n v="3"/>
    <n v="1197"/>
  </r>
  <r>
    <s v="0139"/>
    <x v="43"/>
    <n v="13"/>
    <x v="5"/>
    <x v="0"/>
    <x v="0"/>
    <x v="3"/>
    <n v="69"/>
    <n v="4"/>
    <n v="276"/>
  </r>
  <r>
    <s v="0140"/>
    <x v="43"/>
    <n v="15"/>
    <x v="19"/>
    <x v="6"/>
    <x v="0"/>
    <x v="4"/>
    <n v="399"/>
    <n v="8"/>
    <n v="3192"/>
  </r>
  <r>
    <s v="0141"/>
    <x v="43"/>
    <n v="10"/>
    <x v="14"/>
    <x v="2"/>
    <x v="2"/>
    <x v="2"/>
    <n v="159"/>
    <n v="8"/>
    <n v="1272"/>
  </r>
  <r>
    <s v="0142"/>
    <x v="43"/>
    <n v="10"/>
    <x v="14"/>
    <x v="2"/>
    <x v="2"/>
    <x v="1"/>
    <n v="289"/>
    <n v="4"/>
    <n v="1156"/>
  </r>
  <r>
    <s v="0143"/>
    <x v="43"/>
    <n v="7"/>
    <x v="17"/>
    <x v="5"/>
    <x v="2"/>
    <x v="1"/>
    <n v="289"/>
    <n v="5"/>
    <n v="1445"/>
  </r>
  <r>
    <s v="0144"/>
    <x v="43"/>
    <n v="13"/>
    <x v="5"/>
    <x v="6"/>
    <x v="0"/>
    <x v="2"/>
    <n v="159"/>
    <n v="2"/>
    <n v="318"/>
  </r>
  <r>
    <s v="0145"/>
    <x v="43"/>
    <n v="6"/>
    <x v="11"/>
    <x v="2"/>
    <x v="2"/>
    <x v="0"/>
    <n v="199"/>
    <n v="6"/>
    <n v="1194"/>
  </r>
  <r>
    <s v="0146"/>
    <x v="43"/>
    <n v="8"/>
    <x v="10"/>
    <x v="5"/>
    <x v="2"/>
    <x v="0"/>
    <n v="199"/>
    <n v="2"/>
    <n v="398"/>
  </r>
  <r>
    <s v="0147"/>
    <x v="43"/>
    <n v="13"/>
    <x v="5"/>
    <x v="6"/>
    <x v="0"/>
    <x v="2"/>
    <n v="159"/>
    <n v="5"/>
    <n v="795"/>
  </r>
  <r>
    <s v="0148"/>
    <x v="43"/>
    <n v="2"/>
    <x v="18"/>
    <x v="7"/>
    <x v="1"/>
    <x v="4"/>
    <n v="399"/>
    <n v="2"/>
    <n v="798"/>
  </r>
  <r>
    <s v="0149"/>
    <x v="43"/>
    <n v="12"/>
    <x v="16"/>
    <x v="6"/>
    <x v="0"/>
    <x v="1"/>
    <n v="289"/>
    <n v="8"/>
    <n v="2312"/>
  </r>
  <r>
    <s v="0150"/>
    <x v="43"/>
    <n v="8"/>
    <x v="10"/>
    <x v="5"/>
    <x v="2"/>
    <x v="0"/>
    <n v="199"/>
    <n v="1"/>
    <n v="199"/>
  </r>
  <r>
    <s v="0151"/>
    <x v="43"/>
    <n v="20"/>
    <x v="8"/>
    <x v="3"/>
    <x v="3"/>
    <x v="0"/>
    <n v="199"/>
    <n v="8"/>
    <n v="1592"/>
  </r>
  <r>
    <s v="0152"/>
    <x v="43"/>
    <n v="12"/>
    <x v="16"/>
    <x v="0"/>
    <x v="0"/>
    <x v="2"/>
    <n v="159"/>
    <n v="6"/>
    <n v="954"/>
  </r>
  <r>
    <s v="0153"/>
    <x v="43"/>
    <n v="2"/>
    <x v="18"/>
    <x v="7"/>
    <x v="1"/>
    <x v="1"/>
    <n v="289"/>
    <n v="2"/>
    <n v="578"/>
  </r>
  <r>
    <s v="0154"/>
    <x v="44"/>
    <n v="8"/>
    <x v="10"/>
    <x v="2"/>
    <x v="2"/>
    <x v="3"/>
    <n v="69"/>
    <n v="8"/>
    <n v="552"/>
  </r>
  <r>
    <s v="0155"/>
    <x v="45"/>
    <n v="15"/>
    <x v="19"/>
    <x v="0"/>
    <x v="0"/>
    <x v="0"/>
    <n v="199"/>
    <n v="9"/>
    <n v="1791"/>
  </r>
  <r>
    <s v="0156"/>
    <x v="45"/>
    <n v="18"/>
    <x v="3"/>
    <x v="4"/>
    <x v="3"/>
    <x v="2"/>
    <n v="159"/>
    <n v="4"/>
    <n v="636"/>
  </r>
  <r>
    <s v="0157"/>
    <x v="46"/>
    <n v="13"/>
    <x v="5"/>
    <x v="0"/>
    <x v="0"/>
    <x v="1"/>
    <n v="289"/>
    <n v="3"/>
    <n v="867"/>
  </r>
  <r>
    <s v="0158"/>
    <x v="46"/>
    <n v="11"/>
    <x v="0"/>
    <x v="6"/>
    <x v="0"/>
    <x v="0"/>
    <n v="199"/>
    <n v="4"/>
    <n v="796"/>
  </r>
  <r>
    <s v="0159"/>
    <x v="46"/>
    <n v="20"/>
    <x v="8"/>
    <x v="3"/>
    <x v="3"/>
    <x v="2"/>
    <n v="159"/>
    <n v="6"/>
    <n v="954"/>
  </r>
  <r>
    <s v="0160"/>
    <x v="46"/>
    <n v="1"/>
    <x v="1"/>
    <x v="1"/>
    <x v="1"/>
    <x v="0"/>
    <n v="199"/>
    <n v="9"/>
    <n v="1791"/>
  </r>
  <r>
    <s v="0161"/>
    <x v="46"/>
    <n v="8"/>
    <x v="10"/>
    <x v="5"/>
    <x v="2"/>
    <x v="0"/>
    <n v="199"/>
    <n v="2"/>
    <n v="398"/>
  </r>
  <r>
    <s v="0162"/>
    <x v="46"/>
    <n v="15"/>
    <x v="19"/>
    <x v="6"/>
    <x v="0"/>
    <x v="3"/>
    <n v="69"/>
    <n v="5"/>
    <n v="345"/>
  </r>
  <r>
    <s v="0163"/>
    <x v="46"/>
    <n v="19"/>
    <x v="13"/>
    <x v="3"/>
    <x v="3"/>
    <x v="1"/>
    <n v="289"/>
    <n v="7"/>
    <n v="2023"/>
  </r>
  <r>
    <s v="0164"/>
    <x v="47"/>
    <n v="13"/>
    <x v="5"/>
    <x v="6"/>
    <x v="0"/>
    <x v="3"/>
    <n v="69"/>
    <n v="1"/>
    <n v="69"/>
  </r>
  <r>
    <s v="0165"/>
    <x v="47"/>
    <n v="4"/>
    <x v="12"/>
    <x v="1"/>
    <x v="1"/>
    <x v="2"/>
    <n v="159"/>
    <n v="1"/>
    <n v="159"/>
  </r>
  <r>
    <s v="0166"/>
    <x v="48"/>
    <n v="15"/>
    <x v="19"/>
    <x v="0"/>
    <x v="0"/>
    <x v="3"/>
    <n v="69"/>
    <n v="0"/>
    <n v="0"/>
  </r>
  <r>
    <s v="0167"/>
    <x v="48"/>
    <n v="12"/>
    <x v="16"/>
    <x v="6"/>
    <x v="0"/>
    <x v="3"/>
    <n v="69"/>
    <n v="1"/>
    <n v="69"/>
  </r>
  <r>
    <s v="0168"/>
    <x v="48"/>
    <n v="7"/>
    <x v="17"/>
    <x v="2"/>
    <x v="2"/>
    <x v="2"/>
    <n v="159"/>
    <n v="2"/>
    <n v="318"/>
  </r>
  <r>
    <s v="0169"/>
    <x v="48"/>
    <n v="10"/>
    <x v="14"/>
    <x v="5"/>
    <x v="2"/>
    <x v="3"/>
    <n v="69"/>
    <n v="4"/>
    <n v="276"/>
  </r>
  <r>
    <s v="0170"/>
    <x v="48"/>
    <n v="6"/>
    <x v="11"/>
    <x v="5"/>
    <x v="2"/>
    <x v="3"/>
    <n v="69"/>
    <n v="3"/>
    <n v="207"/>
  </r>
  <r>
    <s v="0171"/>
    <x v="49"/>
    <n v="8"/>
    <x v="10"/>
    <x v="5"/>
    <x v="2"/>
    <x v="4"/>
    <n v="399"/>
    <n v="6"/>
    <n v="2394"/>
  </r>
  <r>
    <s v="0172"/>
    <x v="49"/>
    <n v="11"/>
    <x v="0"/>
    <x v="0"/>
    <x v="0"/>
    <x v="3"/>
    <n v="69"/>
    <n v="5"/>
    <n v="345"/>
  </r>
  <r>
    <s v="0173"/>
    <x v="49"/>
    <n v="2"/>
    <x v="18"/>
    <x v="7"/>
    <x v="1"/>
    <x v="4"/>
    <n v="399"/>
    <n v="1"/>
    <n v="399"/>
  </r>
  <r>
    <s v="0174"/>
    <x v="49"/>
    <n v="6"/>
    <x v="11"/>
    <x v="5"/>
    <x v="2"/>
    <x v="4"/>
    <n v="399"/>
    <n v="6"/>
    <n v="2394"/>
  </r>
  <r>
    <s v="0175"/>
    <x v="50"/>
    <n v="11"/>
    <x v="0"/>
    <x v="0"/>
    <x v="0"/>
    <x v="1"/>
    <n v="289"/>
    <n v="5"/>
    <n v="1445"/>
  </r>
  <r>
    <s v="0176"/>
    <x v="51"/>
    <n v="13"/>
    <x v="5"/>
    <x v="6"/>
    <x v="0"/>
    <x v="0"/>
    <n v="199"/>
    <n v="6"/>
    <n v="1194"/>
  </r>
  <r>
    <s v="0177"/>
    <x v="51"/>
    <n v="8"/>
    <x v="10"/>
    <x v="5"/>
    <x v="2"/>
    <x v="1"/>
    <n v="289"/>
    <n v="1"/>
    <n v="289"/>
  </r>
  <r>
    <s v="0178"/>
    <x v="51"/>
    <n v="13"/>
    <x v="5"/>
    <x v="0"/>
    <x v="0"/>
    <x v="2"/>
    <n v="159"/>
    <n v="1"/>
    <n v="159"/>
  </r>
  <r>
    <s v="0179"/>
    <x v="51"/>
    <n v="1"/>
    <x v="1"/>
    <x v="1"/>
    <x v="1"/>
    <x v="1"/>
    <n v="289"/>
    <n v="2"/>
    <n v="578"/>
  </r>
  <r>
    <s v="0180"/>
    <x v="51"/>
    <n v="20"/>
    <x v="8"/>
    <x v="3"/>
    <x v="3"/>
    <x v="3"/>
    <n v="69"/>
    <n v="3"/>
    <n v="207"/>
  </r>
  <r>
    <s v="0181"/>
    <x v="51"/>
    <n v="20"/>
    <x v="8"/>
    <x v="4"/>
    <x v="3"/>
    <x v="3"/>
    <n v="69"/>
    <n v="1"/>
    <n v="69"/>
  </r>
  <r>
    <s v="0182"/>
    <x v="51"/>
    <n v="1"/>
    <x v="1"/>
    <x v="1"/>
    <x v="1"/>
    <x v="2"/>
    <n v="159"/>
    <n v="2"/>
    <n v="318"/>
  </r>
  <r>
    <s v="0183"/>
    <x v="52"/>
    <n v="10"/>
    <x v="14"/>
    <x v="2"/>
    <x v="2"/>
    <x v="0"/>
    <n v="199"/>
    <n v="2"/>
    <n v="398"/>
  </r>
  <r>
    <s v="0184"/>
    <x v="53"/>
    <n v="12"/>
    <x v="16"/>
    <x v="6"/>
    <x v="0"/>
    <x v="2"/>
    <n v="159"/>
    <n v="7"/>
    <n v="1113"/>
  </r>
  <r>
    <s v="0185"/>
    <x v="53"/>
    <n v="4"/>
    <x v="12"/>
    <x v="7"/>
    <x v="1"/>
    <x v="4"/>
    <n v="399"/>
    <n v="5"/>
    <n v="1995"/>
  </r>
  <r>
    <s v="0186"/>
    <x v="53"/>
    <n v="5"/>
    <x v="15"/>
    <x v="7"/>
    <x v="1"/>
    <x v="1"/>
    <n v="289"/>
    <n v="4"/>
    <n v="1156"/>
  </r>
  <r>
    <s v="0187"/>
    <x v="54"/>
    <n v="17"/>
    <x v="6"/>
    <x v="3"/>
    <x v="3"/>
    <x v="4"/>
    <n v="399"/>
    <n v="9"/>
    <n v="3591"/>
  </r>
  <r>
    <s v="0188"/>
    <x v="54"/>
    <n v="17"/>
    <x v="6"/>
    <x v="4"/>
    <x v="3"/>
    <x v="0"/>
    <n v="199"/>
    <n v="6"/>
    <n v="1194"/>
  </r>
  <r>
    <s v="0189"/>
    <x v="55"/>
    <n v="20"/>
    <x v="8"/>
    <x v="3"/>
    <x v="3"/>
    <x v="4"/>
    <n v="399"/>
    <n v="8"/>
    <n v="3192"/>
  </r>
  <r>
    <s v="0190"/>
    <x v="55"/>
    <n v="5"/>
    <x v="15"/>
    <x v="1"/>
    <x v="1"/>
    <x v="0"/>
    <n v="199"/>
    <n v="5"/>
    <n v="995"/>
  </r>
  <r>
    <s v="0191"/>
    <x v="55"/>
    <n v="11"/>
    <x v="0"/>
    <x v="0"/>
    <x v="0"/>
    <x v="2"/>
    <n v="159"/>
    <n v="4"/>
    <n v="636"/>
  </r>
  <r>
    <s v="0192"/>
    <x v="56"/>
    <n v="12"/>
    <x v="16"/>
    <x v="6"/>
    <x v="0"/>
    <x v="4"/>
    <n v="399"/>
    <n v="0"/>
    <n v="0"/>
  </r>
  <r>
    <s v="0193"/>
    <x v="57"/>
    <n v="9"/>
    <x v="2"/>
    <x v="5"/>
    <x v="2"/>
    <x v="2"/>
    <n v="159"/>
    <n v="1"/>
    <n v="159"/>
  </r>
  <r>
    <s v="0194"/>
    <x v="57"/>
    <n v="4"/>
    <x v="12"/>
    <x v="1"/>
    <x v="1"/>
    <x v="0"/>
    <n v="199"/>
    <n v="0"/>
    <n v="0"/>
  </r>
  <r>
    <s v="0195"/>
    <x v="57"/>
    <n v="15"/>
    <x v="19"/>
    <x v="6"/>
    <x v="0"/>
    <x v="2"/>
    <n v="159"/>
    <n v="8"/>
    <n v="1272"/>
  </r>
  <r>
    <s v="0196"/>
    <x v="58"/>
    <n v="6"/>
    <x v="11"/>
    <x v="5"/>
    <x v="2"/>
    <x v="1"/>
    <n v="289"/>
    <n v="9"/>
    <n v="2601"/>
  </r>
  <r>
    <s v="0197"/>
    <x v="59"/>
    <n v="18"/>
    <x v="3"/>
    <x v="4"/>
    <x v="3"/>
    <x v="3"/>
    <n v="69"/>
    <n v="8"/>
    <n v="552"/>
  </r>
  <r>
    <s v="0198"/>
    <x v="59"/>
    <n v="18"/>
    <x v="3"/>
    <x v="3"/>
    <x v="3"/>
    <x v="2"/>
    <n v="159"/>
    <n v="6"/>
    <n v="954"/>
  </r>
  <r>
    <s v="0199"/>
    <x v="60"/>
    <n v="17"/>
    <x v="6"/>
    <x v="4"/>
    <x v="3"/>
    <x v="2"/>
    <n v="159"/>
    <n v="4"/>
    <n v="636"/>
  </r>
  <r>
    <s v="0200"/>
    <x v="61"/>
    <n v="12"/>
    <x v="16"/>
    <x v="6"/>
    <x v="0"/>
    <x v="0"/>
    <n v="199"/>
    <n v="4"/>
    <n v="796"/>
  </r>
  <r>
    <s v="0201"/>
    <x v="62"/>
    <n v="18"/>
    <x v="3"/>
    <x v="3"/>
    <x v="3"/>
    <x v="1"/>
    <n v="289"/>
    <n v="5"/>
    <n v="1445"/>
  </r>
  <r>
    <s v="0202"/>
    <x v="63"/>
    <n v="9"/>
    <x v="2"/>
    <x v="2"/>
    <x v="2"/>
    <x v="0"/>
    <n v="199"/>
    <n v="0"/>
    <n v="0"/>
  </r>
  <r>
    <s v="0203"/>
    <x v="64"/>
    <n v="12"/>
    <x v="16"/>
    <x v="0"/>
    <x v="0"/>
    <x v="1"/>
    <n v="289"/>
    <n v="7"/>
    <n v="2023"/>
  </r>
  <r>
    <s v="0204"/>
    <x v="65"/>
    <n v="2"/>
    <x v="18"/>
    <x v="1"/>
    <x v="1"/>
    <x v="0"/>
    <n v="199"/>
    <n v="2"/>
    <n v="398"/>
  </r>
  <r>
    <s v="0205"/>
    <x v="66"/>
    <n v="19"/>
    <x v="13"/>
    <x v="4"/>
    <x v="3"/>
    <x v="0"/>
    <n v="199"/>
    <n v="5"/>
    <n v="995"/>
  </r>
  <r>
    <s v="0206"/>
    <x v="66"/>
    <n v="5"/>
    <x v="15"/>
    <x v="7"/>
    <x v="1"/>
    <x v="4"/>
    <n v="399"/>
    <n v="6"/>
    <n v="2394"/>
  </r>
  <r>
    <s v="0207"/>
    <x v="66"/>
    <n v="18"/>
    <x v="3"/>
    <x v="3"/>
    <x v="3"/>
    <x v="0"/>
    <n v="199"/>
    <n v="6"/>
    <n v="1194"/>
  </r>
  <r>
    <s v="0208"/>
    <x v="66"/>
    <n v="6"/>
    <x v="11"/>
    <x v="2"/>
    <x v="2"/>
    <x v="0"/>
    <n v="199"/>
    <n v="9"/>
    <n v="1791"/>
  </r>
  <r>
    <s v="0209"/>
    <x v="66"/>
    <n v="16"/>
    <x v="4"/>
    <x v="4"/>
    <x v="3"/>
    <x v="2"/>
    <n v="159"/>
    <n v="3"/>
    <n v="477"/>
  </r>
  <r>
    <s v="0210"/>
    <x v="66"/>
    <n v="14"/>
    <x v="7"/>
    <x v="0"/>
    <x v="0"/>
    <x v="4"/>
    <n v="399"/>
    <n v="8"/>
    <n v="3192"/>
  </r>
  <r>
    <s v="0211"/>
    <x v="66"/>
    <n v="4"/>
    <x v="12"/>
    <x v="7"/>
    <x v="1"/>
    <x v="3"/>
    <n v="69"/>
    <n v="4"/>
    <n v="276"/>
  </r>
  <r>
    <s v="0212"/>
    <x v="66"/>
    <n v="2"/>
    <x v="18"/>
    <x v="1"/>
    <x v="1"/>
    <x v="0"/>
    <n v="199"/>
    <n v="0"/>
    <n v="0"/>
  </r>
  <r>
    <s v="0213"/>
    <x v="67"/>
    <n v="1"/>
    <x v="1"/>
    <x v="7"/>
    <x v="1"/>
    <x v="2"/>
    <n v="159"/>
    <n v="2"/>
    <n v="318"/>
  </r>
  <r>
    <s v="0214"/>
    <x v="68"/>
    <n v="5"/>
    <x v="15"/>
    <x v="7"/>
    <x v="1"/>
    <x v="3"/>
    <n v="69"/>
    <n v="6"/>
    <n v="414"/>
  </r>
  <r>
    <s v="0215"/>
    <x v="69"/>
    <n v="3"/>
    <x v="9"/>
    <x v="1"/>
    <x v="1"/>
    <x v="0"/>
    <n v="199"/>
    <n v="3"/>
    <n v="597"/>
  </r>
  <r>
    <s v="0216"/>
    <x v="69"/>
    <n v="18"/>
    <x v="3"/>
    <x v="3"/>
    <x v="3"/>
    <x v="3"/>
    <n v="69"/>
    <n v="9"/>
    <n v="621"/>
  </r>
  <r>
    <s v="0217"/>
    <x v="69"/>
    <n v="12"/>
    <x v="16"/>
    <x v="6"/>
    <x v="0"/>
    <x v="1"/>
    <n v="289"/>
    <n v="4"/>
    <n v="1156"/>
  </r>
  <r>
    <s v="0218"/>
    <x v="69"/>
    <n v="8"/>
    <x v="10"/>
    <x v="5"/>
    <x v="2"/>
    <x v="2"/>
    <n v="159"/>
    <n v="2"/>
    <n v="318"/>
  </r>
  <r>
    <s v="0219"/>
    <x v="69"/>
    <n v="7"/>
    <x v="17"/>
    <x v="5"/>
    <x v="2"/>
    <x v="2"/>
    <n v="159"/>
    <n v="1"/>
    <n v="159"/>
  </r>
  <r>
    <s v="0220"/>
    <x v="69"/>
    <n v="17"/>
    <x v="6"/>
    <x v="4"/>
    <x v="3"/>
    <x v="2"/>
    <n v="159"/>
    <n v="2"/>
    <n v="318"/>
  </r>
  <r>
    <s v="0221"/>
    <x v="69"/>
    <n v="13"/>
    <x v="5"/>
    <x v="0"/>
    <x v="0"/>
    <x v="2"/>
    <n v="159"/>
    <n v="3"/>
    <n v="477"/>
  </r>
  <r>
    <s v="0222"/>
    <x v="69"/>
    <n v="4"/>
    <x v="12"/>
    <x v="1"/>
    <x v="1"/>
    <x v="0"/>
    <n v="199"/>
    <n v="8"/>
    <n v="1592"/>
  </r>
  <r>
    <s v="0223"/>
    <x v="69"/>
    <n v="10"/>
    <x v="14"/>
    <x v="5"/>
    <x v="2"/>
    <x v="2"/>
    <n v="159"/>
    <n v="8"/>
    <n v="1272"/>
  </r>
  <r>
    <s v="0224"/>
    <x v="69"/>
    <n v="9"/>
    <x v="2"/>
    <x v="2"/>
    <x v="2"/>
    <x v="4"/>
    <n v="399"/>
    <n v="6"/>
    <n v="2394"/>
  </r>
  <r>
    <s v="0225"/>
    <x v="69"/>
    <n v="2"/>
    <x v="18"/>
    <x v="1"/>
    <x v="1"/>
    <x v="4"/>
    <n v="399"/>
    <n v="9"/>
    <n v="3591"/>
  </r>
  <r>
    <s v="0226"/>
    <x v="70"/>
    <n v="14"/>
    <x v="7"/>
    <x v="0"/>
    <x v="0"/>
    <x v="4"/>
    <n v="399"/>
    <n v="1"/>
    <n v="399"/>
  </r>
  <r>
    <s v="0227"/>
    <x v="71"/>
    <n v="14"/>
    <x v="7"/>
    <x v="0"/>
    <x v="0"/>
    <x v="4"/>
    <n v="399"/>
    <n v="1"/>
    <n v="399"/>
  </r>
  <r>
    <s v="0228"/>
    <x v="72"/>
    <n v="1"/>
    <x v="1"/>
    <x v="7"/>
    <x v="1"/>
    <x v="1"/>
    <n v="289"/>
    <n v="2"/>
    <n v="578"/>
  </r>
  <r>
    <s v="0229"/>
    <x v="72"/>
    <n v="17"/>
    <x v="6"/>
    <x v="3"/>
    <x v="3"/>
    <x v="1"/>
    <n v="289"/>
    <n v="8"/>
    <n v="2312"/>
  </r>
  <r>
    <s v="0230"/>
    <x v="73"/>
    <n v="3"/>
    <x v="9"/>
    <x v="1"/>
    <x v="1"/>
    <x v="4"/>
    <n v="399"/>
    <n v="6"/>
    <n v="2394"/>
  </r>
  <r>
    <s v="0231"/>
    <x v="73"/>
    <n v="19"/>
    <x v="13"/>
    <x v="3"/>
    <x v="3"/>
    <x v="0"/>
    <n v="199"/>
    <n v="6"/>
    <n v="1194"/>
  </r>
  <r>
    <s v="0232"/>
    <x v="73"/>
    <n v="7"/>
    <x v="17"/>
    <x v="5"/>
    <x v="2"/>
    <x v="4"/>
    <n v="399"/>
    <n v="9"/>
    <n v="3591"/>
  </r>
  <r>
    <s v="0233"/>
    <x v="73"/>
    <n v="9"/>
    <x v="2"/>
    <x v="5"/>
    <x v="2"/>
    <x v="3"/>
    <n v="69"/>
    <n v="8"/>
    <n v="552"/>
  </r>
  <r>
    <s v="0234"/>
    <x v="74"/>
    <n v="15"/>
    <x v="19"/>
    <x v="6"/>
    <x v="0"/>
    <x v="0"/>
    <n v="199"/>
    <n v="2"/>
    <n v="398"/>
  </r>
  <r>
    <s v="0235"/>
    <x v="74"/>
    <n v="2"/>
    <x v="18"/>
    <x v="1"/>
    <x v="1"/>
    <x v="1"/>
    <n v="289"/>
    <n v="3"/>
    <n v="867"/>
  </r>
  <r>
    <s v="0236"/>
    <x v="74"/>
    <n v="20"/>
    <x v="8"/>
    <x v="4"/>
    <x v="3"/>
    <x v="3"/>
    <n v="69"/>
    <n v="8"/>
    <n v="552"/>
  </r>
  <r>
    <s v="0237"/>
    <x v="74"/>
    <n v="4"/>
    <x v="12"/>
    <x v="1"/>
    <x v="1"/>
    <x v="3"/>
    <n v="69"/>
    <n v="7"/>
    <n v="483"/>
  </r>
  <r>
    <s v="0238"/>
    <x v="74"/>
    <n v="7"/>
    <x v="17"/>
    <x v="2"/>
    <x v="2"/>
    <x v="0"/>
    <n v="199"/>
    <n v="3"/>
    <n v="597"/>
  </r>
  <r>
    <s v="0239"/>
    <x v="74"/>
    <n v="16"/>
    <x v="4"/>
    <x v="4"/>
    <x v="3"/>
    <x v="4"/>
    <n v="399"/>
    <n v="9"/>
    <n v="3591"/>
  </r>
  <r>
    <s v="0240"/>
    <x v="74"/>
    <n v="18"/>
    <x v="3"/>
    <x v="4"/>
    <x v="3"/>
    <x v="0"/>
    <n v="199"/>
    <n v="5"/>
    <n v="995"/>
  </r>
  <r>
    <s v="0241"/>
    <x v="74"/>
    <n v="4"/>
    <x v="12"/>
    <x v="1"/>
    <x v="1"/>
    <x v="3"/>
    <n v="69"/>
    <n v="5"/>
    <n v="345"/>
  </r>
  <r>
    <s v="0242"/>
    <x v="75"/>
    <n v="2"/>
    <x v="18"/>
    <x v="1"/>
    <x v="1"/>
    <x v="1"/>
    <n v="289"/>
    <n v="0"/>
    <n v="0"/>
  </r>
  <r>
    <s v="0243"/>
    <x v="75"/>
    <n v="20"/>
    <x v="8"/>
    <x v="3"/>
    <x v="3"/>
    <x v="0"/>
    <n v="199"/>
    <n v="4"/>
    <n v="796"/>
  </r>
  <r>
    <s v="0244"/>
    <x v="75"/>
    <n v="4"/>
    <x v="12"/>
    <x v="1"/>
    <x v="1"/>
    <x v="2"/>
    <n v="159"/>
    <n v="2"/>
    <n v="318"/>
  </r>
  <r>
    <s v="0245"/>
    <x v="76"/>
    <n v="19"/>
    <x v="13"/>
    <x v="3"/>
    <x v="3"/>
    <x v="2"/>
    <n v="159"/>
    <n v="0"/>
    <n v="0"/>
  </r>
  <r>
    <s v="0246"/>
    <x v="76"/>
    <n v="20"/>
    <x v="8"/>
    <x v="3"/>
    <x v="3"/>
    <x v="1"/>
    <n v="289"/>
    <n v="4"/>
    <n v="1156"/>
  </r>
  <r>
    <s v="0247"/>
    <x v="76"/>
    <n v="6"/>
    <x v="11"/>
    <x v="2"/>
    <x v="2"/>
    <x v="1"/>
    <n v="289"/>
    <n v="2"/>
    <n v="578"/>
  </r>
  <r>
    <s v="0248"/>
    <x v="76"/>
    <n v="18"/>
    <x v="3"/>
    <x v="4"/>
    <x v="3"/>
    <x v="3"/>
    <n v="69"/>
    <n v="5"/>
    <n v="345"/>
  </r>
  <r>
    <s v="0249"/>
    <x v="76"/>
    <n v="19"/>
    <x v="13"/>
    <x v="3"/>
    <x v="3"/>
    <x v="4"/>
    <n v="399"/>
    <n v="3"/>
    <n v="1197"/>
  </r>
  <r>
    <s v="0250"/>
    <x v="76"/>
    <n v="8"/>
    <x v="10"/>
    <x v="2"/>
    <x v="2"/>
    <x v="2"/>
    <n v="159"/>
    <n v="7"/>
    <n v="1113"/>
  </r>
  <r>
    <s v="0251"/>
    <x v="76"/>
    <n v="2"/>
    <x v="18"/>
    <x v="7"/>
    <x v="1"/>
    <x v="4"/>
    <n v="399"/>
    <n v="9"/>
    <n v="3591"/>
  </r>
  <r>
    <s v="0252"/>
    <x v="76"/>
    <n v="14"/>
    <x v="7"/>
    <x v="0"/>
    <x v="0"/>
    <x v="0"/>
    <n v="199"/>
    <n v="2"/>
    <n v="398"/>
  </r>
  <r>
    <s v="0253"/>
    <x v="76"/>
    <n v="16"/>
    <x v="4"/>
    <x v="3"/>
    <x v="3"/>
    <x v="4"/>
    <n v="399"/>
    <n v="5"/>
    <n v="1995"/>
  </r>
  <r>
    <s v="0254"/>
    <x v="77"/>
    <n v="6"/>
    <x v="11"/>
    <x v="2"/>
    <x v="2"/>
    <x v="2"/>
    <n v="159"/>
    <n v="4"/>
    <n v="636"/>
  </r>
  <r>
    <s v="0255"/>
    <x v="77"/>
    <n v="5"/>
    <x v="15"/>
    <x v="7"/>
    <x v="1"/>
    <x v="0"/>
    <n v="199"/>
    <n v="9"/>
    <n v="1791"/>
  </r>
  <r>
    <s v="0256"/>
    <x v="77"/>
    <n v="18"/>
    <x v="3"/>
    <x v="3"/>
    <x v="3"/>
    <x v="2"/>
    <n v="159"/>
    <n v="2"/>
    <n v="318"/>
  </r>
  <r>
    <s v="0257"/>
    <x v="77"/>
    <n v="2"/>
    <x v="18"/>
    <x v="1"/>
    <x v="1"/>
    <x v="3"/>
    <n v="69"/>
    <n v="8"/>
    <n v="552"/>
  </r>
  <r>
    <s v="0258"/>
    <x v="78"/>
    <n v="17"/>
    <x v="6"/>
    <x v="4"/>
    <x v="3"/>
    <x v="4"/>
    <n v="399"/>
    <n v="5"/>
    <n v="1995"/>
  </r>
  <r>
    <s v="0259"/>
    <x v="78"/>
    <n v="16"/>
    <x v="4"/>
    <x v="3"/>
    <x v="3"/>
    <x v="1"/>
    <n v="289"/>
    <n v="1"/>
    <n v="289"/>
  </r>
  <r>
    <s v="0260"/>
    <x v="78"/>
    <n v="14"/>
    <x v="7"/>
    <x v="0"/>
    <x v="0"/>
    <x v="3"/>
    <n v="69"/>
    <n v="9"/>
    <n v="621"/>
  </r>
  <r>
    <s v="0261"/>
    <x v="79"/>
    <n v="4"/>
    <x v="12"/>
    <x v="1"/>
    <x v="1"/>
    <x v="0"/>
    <n v="199"/>
    <n v="8"/>
    <n v="1592"/>
  </r>
  <r>
    <s v="0262"/>
    <x v="80"/>
    <n v="8"/>
    <x v="10"/>
    <x v="5"/>
    <x v="2"/>
    <x v="2"/>
    <n v="159"/>
    <n v="1"/>
    <n v="159"/>
  </r>
  <r>
    <s v="0263"/>
    <x v="81"/>
    <n v="7"/>
    <x v="17"/>
    <x v="5"/>
    <x v="2"/>
    <x v="2"/>
    <n v="159"/>
    <n v="5"/>
    <n v="795"/>
  </r>
  <r>
    <s v="0264"/>
    <x v="82"/>
    <n v="17"/>
    <x v="6"/>
    <x v="4"/>
    <x v="3"/>
    <x v="0"/>
    <n v="199"/>
    <n v="1"/>
    <n v="199"/>
  </r>
  <r>
    <s v="0265"/>
    <x v="82"/>
    <n v="17"/>
    <x v="6"/>
    <x v="3"/>
    <x v="3"/>
    <x v="1"/>
    <n v="289"/>
    <n v="7"/>
    <n v="2023"/>
  </r>
  <r>
    <s v="0266"/>
    <x v="83"/>
    <n v="12"/>
    <x v="16"/>
    <x v="6"/>
    <x v="0"/>
    <x v="3"/>
    <n v="69"/>
    <n v="4"/>
    <n v="276"/>
  </r>
  <r>
    <s v="0267"/>
    <x v="83"/>
    <n v="16"/>
    <x v="4"/>
    <x v="3"/>
    <x v="3"/>
    <x v="0"/>
    <n v="199"/>
    <n v="8"/>
    <n v="1592"/>
  </r>
  <r>
    <s v="0268"/>
    <x v="83"/>
    <n v="4"/>
    <x v="12"/>
    <x v="7"/>
    <x v="1"/>
    <x v="0"/>
    <n v="199"/>
    <n v="1"/>
    <n v="199"/>
  </r>
  <r>
    <s v="0269"/>
    <x v="83"/>
    <n v="20"/>
    <x v="8"/>
    <x v="3"/>
    <x v="3"/>
    <x v="0"/>
    <n v="199"/>
    <n v="6"/>
    <n v="1194"/>
  </r>
  <r>
    <s v="0270"/>
    <x v="83"/>
    <n v="14"/>
    <x v="7"/>
    <x v="6"/>
    <x v="0"/>
    <x v="4"/>
    <n v="399"/>
    <n v="9"/>
    <n v="3591"/>
  </r>
  <r>
    <s v="0271"/>
    <x v="83"/>
    <n v="14"/>
    <x v="7"/>
    <x v="0"/>
    <x v="0"/>
    <x v="0"/>
    <n v="199"/>
    <n v="3"/>
    <n v="597"/>
  </r>
  <r>
    <s v="0272"/>
    <x v="83"/>
    <n v="15"/>
    <x v="19"/>
    <x v="6"/>
    <x v="0"/>
    <x v="1"/>
    <n v="289"/>
    <n v="7"/>
    <n v="2023"/>
  </r>
  <r>
    <s v="0273"/>
    <x v="83"/>
    <n v="3"/>
    <x v="9"/>
    <x v="7"/>
    <x v="1"/>
    <x v="0"/>
    <n v="199"/>
    <n v="9"/>
    <n v="1791"/>
  </r>
  <r>
    <s v="0274"/>
    <x v="83"/>
    <n v="7"/>
    <x v="17"/>
    <x v="2"/>
    <x v="2"/>
    <x v="0"/>
    <n v="199"/>
    <n v="3"/>
    <n v="597"/>
  </r>
  <r>
    <s v="0275"/>
    <x v="83"/>
    <n v="7"/>
    <x v="17"/>
    <x v="5"/>
    <x v="2"/>
    <x v="1"/>
    <n v="289"/>
    <n v="0"/>
    <n v="0"/>
  </r>
  <r>
    <s v="0276"/>
    <x v="83"/>
    <n v="2"/>
    <x v="18"/>
    <x v="1"/>
    <x v="1"/>
    <x v="2"/>
    <n v="159"/>
    <n v="7"/>
    <n v="1113"/>
  </r>
  <r>
    <s v="0277"/>
    <x v="84"/>
    <n v="16"/>
    <x v="4"/>
    <x v="3"/>
    <x v="3"/>
    <x v="1"/>
    <n v="289"/>
    <n v="3"/>
    <n v="867"/>
  </r>
  <r>
    <s v="0278"/>
    <x v="84"/>
    <n v="6"/>
    <x v="11"/>
    <x v="2"/>
    <x v="2"/>
    <x v="4"/>
    <n v="399"/>
    <n v="8"/>
    <n v="3192"/>
  </r>
  <r>
    <s v="0279"/>
    <x v="84"/>
    <n v="9"/>
    <x v="2"/>
    <x v="2"/>
    <x v="2"/>
    <x v="3"/>
    <n v="69"/>
    <n v="9"/>
    <n v="621"/>
  </r>
  <r>
    <s v="0280"/>
    <x v="84"/>
    <n v="16"/>
    <x v="4"/>
    <x v="4"/>
    <x v="3"/>
    <x v="0"/>
    <n v="199"/>
    <n v="1"/>
    <n v="199"/>
  </r>
  <r>
    <s v="0281"/>
    <x v="84"/>
    <n v="20"/>
    <x v="8"/>
    <x v="4"/>
    <x v="3"/>
    <x v="3"/>
    <n v="69"/>
    <n v="3"/>
    <n v="207"/>
  </r>
  <r>
    <s v="0282"/>
    <x v="85"/>
    <n v="16"/>
    <x v="4"/>
    <x v="3"/>
    <x v="3"/>
    <x v="2"/>
    <n v="159"/>
    <n v="6"/>
    <n v="954"/>
  </r>
  <r>
    <s v="0283"/>
    <x v="85"/>
    <n v="20"/>
    <x v="8"/>
    <x v="4"/>
    <x v="3"/>
    <x v="2"/>
    <n v="159"/>
    <n v="0"/>
    <n v="0"/>
  </r>
  <r>
    <s v="0284"/>
    <x v="85"/>
    <n v="2"/>
    <x v="18"/>
    <x v="1"/>
    <x v="1"/>
    <x v="2"/>
    <n v="159"/>
    <n v="4"/>
    <n v="636"/>
  </r>
  <r>
    <s v="0285"/>
    <x v="85"/>
    <n v="11"/>
    <x v="0"/>
    <x v="0"/>
    <x v="0"/>
    <x v="1"/>
    <n v="289"/>
    <n v="3"/>
    <n v="867"/>
  </r>
  <r>
    <s v="0286"/>
    <x v="85"/>
    <n v="13"/>
    <x v="5"/>
    <x v="6"/>
    <x v="0"/>
    <x v="3"/>
    <n v="69"/>
    <n v="6"/>
    <n v="414"/>
  </r>
  <r>
    <s v="0287"/>
    <x v="85"/>
    <n v="4"/>
    <x v="12"/>
    <x v="1"/>
    <x v="1"/>
    <x v="1"/>
    <n v="289"/>
    <n v="7"/>
    <n v="2023"/>
  </r>
  <r>
    <s v="0288"/>
    <x v="85"/>
    <n v="3"/>
    <x v="9"/>
    <x v="7"/>
    <x v="1"/>
    <x v="2"/>
    <n v="159"/>
    <n v="2"/>
    <n v="318"/>
  </r>
  <r>
    <s v="0289"/>
    <x v="86"/>
    <n v="20"/>
    <x v="8"/>
    <x v="4"/>
    <x v="3"/>
    <x v="1"/>
    <n v="289"/>
    <n v="1"/>
    <n v="289"/>
  </r>
  <r>
    <s v="0290"/>
    <x v="87"/>
    <n v="3"/>
    <x v="9"/>
    <x v="1"/>
    <x v="1"/>
    <x v="2"/>
    <n v="159"/>
    <n v="9"/>
    <n v="1431"/>
  </r>
  <r>
    <s v="0291"/>
    <x v="88"/>
    <n v="19"/>
    <x v="13"/>
    <x v="3"/>
    <x v="3"/>
    <x v="3"/>
    <n v="69"/>
    <n v="3"/>
    <n v="207"/>
  </r>
  <r>
    <s v="0292"/>
    <x v="88"/>
    <n v="1"/>
    <x v="1"/>
    <x v="7"/>
    <x v="1"/>
    <x v="2"/>
    <n v="159"/>
    <n v="0"/>
    <n v="0"/>
  </r>
  <r>
    <s v="0293"/>
    <x v="88"/>
    <n v="2"/>
    <x v="18"/>
    <x v="1"/>
    <x v="1"/>
    <x v="0"/>
    <n v="199"/>
    <n v="7"/>
    <n v="1393"/>
  </r>
  <r>
    <s v="0294"/>
    <x v="88"/>
    <n v="16"/>
    <x v="4"/>
    <x v="3"/>
    <x v="3"/>
    <x v="2"/>
    <n v="159"/>
    <n v="2"/>
    <n v="318"/>
  </r>
  <r>
    <s v="0295"/>
    <x v="89"/>
    <n v="7"/>
    <x v="17"/>
    <x v="5"/>
    <x v="2"/>
    <x v="3"/>
    <n v="69"/>
    <n v="3"/>
    <n v="207"/>
  </r>
  <r>
    <s v="0296"/>
    <x v="89"/>
    <n v="9"/>
    <x v="2"/>
    <x v="2"/>
    <x v="2"/>
    <x v="3"/>
    <n v="69"/>
    <n v="4"/>
    <n v="276"/>
  </r>
  <r>
    <s v="0297"/>
    <x v="89"/>
    <n v="14"/>
    <x v="7"/>
    <x v="0"/>
    <x v="0"/>
    <x v="4"/>
    <n v="399"/>
    <n v="5"/>
    <n v="1995"/>
  </r>
  <r>
    <s v="0298"/>
    <x v="89"/>
    <n v="13"/>
    <x v="5"/>
    <x v="6"/>
    <x v="0"/>
    <x v="3"/>
    <n v="69"/>
    <n v="4"/>
    <n v="276"/>
  </r>
  <r>
    <s v="0299"/>
    <x v="89"/>
    <n v="12"/>
    <x v="16"/>
    <x v="0"/>
    <x v="0"/>
    <x v="0"/>
    <n v="199"/>
    <n v="8"/>
    <n v="1592"/>
  </r>
  <r>
    <s v="0300"/>
    <x v="90"/>
    <n v="7"/>
    <x v="17"/>
    <x v="2"/>
    <x v="2"/>
    <x v="3"/>
    <n v="69"/>
    <n v="2"/>
    <n v="138"/>
  </r>
  <r>
    <s v="0301"/>
    <x v="91"/>
    <n v="10"/>
    <x v="14"/>
    <x v="2"/>
    <x v="2"/>
    <x v="4"/>
    <n v="399"/>
    <n v="9"/>
    <n v="3591"/>
  </r>
  <r>
    <s v="0302"/>
    <x v="92"/>
    <n v="6"/>
    <x v="11"/>
    <x v="5"/>
    <x v="2"/>
    <x v="3"/>
    <n v="69"/>
    <n v="6"/>
    <n v="414"/>
  </r>
  <r>
    <s v="0303"/>
    <x v="93"/>
    <n v="20"/>
    <x v="8"/>
    <x v="3"/>
    <x v="3"/>
    <x v="2"/>
    <n v="159"/>
    <n v="0"/>
    <n v="0"/>
  </r>
  <r>
    <s v="0304"/>
    <x v="93"/>
    <n v="2"/>
    <x v="18"/>
    <x v="7"/>
    <x v="1"/>
    <x v="3"/>
    <n v="69"/>
    <n v="1"/>
    <n v="69"/>
  </r>
  <r>
    <s v="0305"/>
    <x v="94"/>
    <n v="8"/>
    <x v="10"/>
    <x v="5"/>
    <x v="2"/>
    <x v="1"/>
    <n v="289"/>
    <n v="9"/>
    <n v="2601"/>
  </r>
  <r>
    <s v="0306"/>
    <x v="94"/>
    <n v="1"/>
    <x v="1"/>
    <x v="1"/>
    <x v="1"/>
    <x v="2"/>
    <n v="159"/>
    <n v="3"/>
    <n v="477"/>
  </r>
  <r>
    <s v="0307"/>
    <x v="94"/>
    <n v="4"/>
    <x v="12"/>
    <x v="1"/>
    <x v="1"/>
    <x v="0"/>
    <n v="199"/>
    <n v="5"/>
    <n v="995"/>
  </r>
  <r>
    <s v="0308"/>
    <x v="94"/>
    <n v="12"/>
    <x v="16"/>
    <x v="0"/>
    <x v="0"/>
    <x v="0"/>
    <n v="199"/>
    <n v="6"/>
    <n v="1194"/>
  </r>
  <r>
    <s v="0309"/>
    <x v="95"/>
    <n v="15"/>
    <x v="19"/>
    <x v="0"/>
    <x v="0"/>
    <x v="1"/>
    <n v="289"/>
    <n v="8"/>
    <n v="2312"/>
  </r>
  <r>
    <s v="0310"/>
    <x v="95"/>
    <n v="6"/>
    <x v="11"/>
    <x v="5"/>
    <x v="2"/>
    <x v="3"/>
    <n v="69"/>
    <n v="0"/>
    <n v="0"/>
  </r>
  <r>
    <s v="0311"/>
    <x v="96"/>
    <n v="19"/>
    <x v="13"/>
    <x v="3"/>
    <x v="3"/>
    <x v="1"/>
    <n v="289"/>
    <n v="5"/>
    <n v="1445"/>
  </r>
  <r>
    <s v="0312"/>
    <x v="96"/>
    <n v="18"/>
    <x v="3"/>
    <x v="3"/>
    <x v="3"/>
    <x v="0"/>
    <n v="199"/>
    <n v="0"/>
    <n v="0"/>
  </r>
  <r>
    <s v="0313"/>
    <x v="96"/>
    <n v="7"/>
    <x v="17"/>
    <x v="2"/>
    <x v="2"/>
    <x v="0"/>
    <n v="199"/>
    <n v="9"/>
    <n v="1791"/>
  </r>
  <r>
    <s v="0314"/>
    <x v="96"/>
    <n v="2"/>
    <x v="18"/>
    <x v="7"/>
    <x v="1"/>
    <x v="0"/>
    <n v="199"/>
    <n v="5"/>
    <n v="995"/>
  </r>
  <r>
    <s v="0315"/>
    <x v="97"/>
    <n v="19"/>
    <x v="13"/>
    <x v="3"/>
    <x v="3"/>
    <x v="0"/>
    <n v="199"/>
    <n v="9"/>
    <n v="1791"/>
  </r>
  <r>
    <s v="0316"/>
    <x v="97"/>
    <n v="19"/>
    <x v="13"/>
    <x v="3"/>
    <x v="3"/>
    <x v="0"/>
    <n v="199"/>
    <n v="8"/>
    <n v="1592"/>
  </r>
  <r>
    <s v="0317"/>
    <x v="98"/>
    <n v="2"/>
    <x v="18"/>
    <x v="1"/>
    <x v="1"/>
    <x v="0"/>
    <n v="199"/>
    <n v="3"/>
    <n v="597"/>
  </r>
  <r>
    <s v="0318"/>
    <x v="98"/>
    <n v="5"/>
    <x v="15"/>
    <x v="7"/>
    <x v="1"/>
    <x v="0"/>
    <n v="199"/>
    <n v="4"/>
    <n v="796"/>
  </r>
  <r>
    <s v="0319"/>
    <x v="99"/>
    <n v="14"/>
    <x v="7"/>
    <x v="0"/>
    <x v="0"/>
    <x v="3"/>
    <n v="69"/>
    <n v="3"/>
    <n v="207"/>
  </r>
  <r>
    <s v="0320"/>
    <x v="100"/>
    <n v="12"/>
    <x v="16"/>
    <x v="6"/>
    <x v="0"/>
    <x v="3"/>
    <n v="69"/>
    <n v="0"/>
    <n v="0"/>
  </r>
  <r>
    <s v="0321"/>
    <x v="101"/>
    <n v="9"/>
    <x v="2"/>
    <x v="2"/>
    <x v="2"/>
    <x v="4"/>
    <n v="399"/>
    <n v="1"/>
    <n v="399"/>
  </r>
  <r>
    <s v="0322"/>
    <x v="102"/>
    <n v="2"/>
    <x v="18"/>
    <x v="1"/>
    <x v="1"/>
    <x v="1"/>
    <n v="289"/>
    <n v="8"/>
    <n v="2312"/>
  </r>
  <r>
    <s v="0323"/>
    <x v="102"/>
    <n v="19"/>
    <x v="13"/>
    <x v="3"/>
    <x v="3"/>
    <x v="1"/>
    <n v="289"/>
    <n v="3"/>
    <n v="867"/>
  </r>
  <r>
    <s v="0324"/>
    <x v="103"/>
    <n v="17"/>
    <x v="6"/>
    <x v="4"/>
    <x v="3"/>
    <x v="2"/>
    <n v="159"/>
    <n v="4"/>
    <n v="636"/>
  </r>
  <r>
    <s v="0325"/>
    <x v="103"/>
    <n v="14"/>
    <x v="7"/>
    <x v="6"/>
    <x v="0"/>
    <x v="4"/>
    <n v="399"/>
    <n v="3"/>
    <n v="1197"/>
  </r>
  <r>
    <s v="0326"/>
    <x v="103"/>
    <n v="7"/>
    <x v="17"/>
    <x v="2"/>
    <x v="2"/>
    <x v="3"/>
    <n v="69"/>
    <n v="2"/>
    <n v="138"/>
  </r>
  <r>
    <s v="0327"/>
    <x v="103"/>
    <n v="9"/>
    <x v="2"/>
    <x v="5"/>
    <x v="2"/>
    <x v="0"/>
    <n v="199"/>
    <n v="9"/>
    <n v="1791"/>
  </r>
  <r>
    <s v="0328"/>
    <x v="103"/>
    <n v="8"/>
    <x v="10"/>
    <x v="2"/>
    <x v="2"/>
    <x v="0"/>
    <n v="199"/>
    <n v="2"/>
    <n v="398"/>
  </r>
  <r>
    <s v="0329"/>
    <x v="103"/>
    <n v="14"/>
    <x v="7"/>
    <x v="0"/>
    <x v="0"/>
    <x v="1"/>
    <n v="289"/>
    <n v="4"/>
    <n v="1156"/>
  </r>
  <r>
    <s v="0330"/>
    <x v="103"/>
    <n v="7"/>
    <x v="17"/>
    <x v="5"/>
    <x v="2"/>
    <x v="4"/>
    <n v="399"/>
    <n v="8"/>
    <n v="3192"/>
  </r>
  <r>
    <s v="0331"/>
    <x v="103"/>
    <n v="10"/>
    <x v="14"/>
    <x v="5"/>
    <x v="2"/>
    <x v="4"/>
    <n v="399"/>
    <n v="9"/>
    <n v="3591"/>
  </r>
  <r>
    <s v="0332"/>
    <x v="103"/>
    <n v="6"/>
    <x v="11"/>
    <x v="5"/>
    <x v="2"/>
    <x v="0"/>
    <n v="199"/>
    <n v="8"/>
    <n v="1592"/>
  </r>
  <r>
    <s v="0333"/>
    <x v="103"/>
    <n v="18"/>
    <x v="3"/>
    <x v="3"/>
    <x v="3"/>
    <x v="4"/>
    <n v="399"/>
    <n v="4"/>
    <n v="1596"/>
  </r>
  <r>
    <s v="0334"/>
    <x v="104"/>
    <n v="4"/>
    <x v="12"/>
    <x v="7"/>
    <x v="1"/>
    <x v="1"/>
    <n v="289"/>
    <n v="6"/>
    <n v="1734"/>
  </r>
  <r>
    <s v="0335"/>
    <x v="104"/>
    <n v="2"/>
    <x v="18"/>
    <x v="7"/>
    <x v="1"/>
    <x v="3"/>
    <n v="69"/>
    <n v="9"/>
    <n v="621"/>
  </r>
  <r>
    <s v="0336"/>
    <x v="105"/>
    <n v="4"/>
    <x v="12"/>
    <x v="1"/>
    <x v="1"/>
    <x v="2"/>
    <n v="159"/>
    <n v="9"/>
    <n v="1431"/>
  </r>
  <r>
    <s v="0337"/>
    <x v="106"/>
    <n v="11"/>
    <x v="0"/>
    <x v="6"/>
    <x v="0"/>
    <x v="3"/>
    <n v="69"/>
    <n v="8"/>
    <n v="552"/>
  </r>
  <r>
    <s v="0338"/>
    <x v="106"/>
    <n v="13"/>
    <x v="5"/>
    <x v="0"/>
    <x v="0"/>
    <x v="4"/>
    <n v="399"/>
    <n v="8"/>
    <n v="3192"/>
  </r>
  <r>
    <s v="0339"/>
    <x v="107"/>
    <n v="8"/>
    <x v="10"/>
    <x v="2"/>
    <x v="2"/>
    <x v="3"/>
    <n v="69"/>
    <n v="6"/>
    <n v="414"/>
  </r>
  <r>
    <s v="0340"/>
    <x v="108"/>
    <n v="8"/>
    <x v="10"/>
    <x v="5"/>
    <x v="2"/>
    <x v="2"/>
    <n v="159"/>
    <n v="6"/>
    <n v="954"/>
  </r>
  <r>
    <s v="0341"/>
    <x v="108"/>
    <n v="1"/>
    <x v="1"/>
    <x v="1"/>
    <x v="1"/>
    <x v="1"/>
    <n v="289"/>
    <n v="3"/>
    <n v="867"/>
  </r>
  <r>
    <s v="0342"/>
    <x v="108"/>
    <n v="19"/>
    <x v="13"/>
    <x v="4"/>
    <x v="3"/>
    <x v="3"/>
    <n v="69"/>
    <n v="1"/>
    <n v="69"/>
  </r>
  <r>
    <s v="0343"/>
    <x v="108"/>
    <n v="5"/>
    <x v="15"/>
    <x v="1"/>
    <x v="1"/>
    <x v="2"/>
    <n v="159"/>
    <n v="0"/>
    <n v="0"/>
  </r>
  <r>
    <s v="0344"/>
    <x v="108"/>
    <n v="9"/>
    <x v="2"/>
    <x v="2"/>
    <x v="2"/>
    <x v="0"/>
    <n v="199"/>
    <n v="6"/>
    <n v="1194"/>
  </r>
  <r>
    <s v="0345"/>
    <x v="108"/>
    <n v="13"/>
    <x v="5"/>
    <x v="0"/>
    <x v="0"/>
    <x v="0"/>
    <n v="199"/>
    <n v="2"/>
    <n v="398"/>
  </r>
  <r>
    <s v="0346"/>
    <x v="108"/>
    <n v="17"/>
    <x v="6"/>
    <x v="3"/>
    <x v="3"/>
    <x v="3"/>
    <n v="69"/>
    <n v="2"/>
    <n v="138"/>
  </r>
  <r>
    <s v="0347"/>
    <x v="108"/>
    <n v="18"/>
    <x v="3"/>
    <x v="3"/>
    <x v="3"/>
    <x v="0"/>
    <n v="199"/>
    <n v="0"/>
    <n v="0"/>
  </r>
  <r>
    <s v="0348"/>
    <x v="108"/>
    <n v="19"/>
    <x v="13"/>
    <x v="3"/>
    <x v="3"/>
    <x v="1"/>
    <n v="289"/>
    <n v="1"/>
    <n v="289"/>
  </r>
  <r>
    <s v="0349"/>
    <x v="108"/>
    <n v="13"/>
    <x v="5"/>
    <x v="6"/>
    <x v="0"/>
    <x v="2"/>
    <n v="159"/>
    <n v="5"/>
    <n v="795"/>
  </r>
  <r>
    <s v="0350"/>
    <x v="108"/>
    <n v="3"/>
    <x v="9"/>
    <x v="1"/>
    <x v="1"/>
    <x v="4"/>
    <n v="399"/>
    <n v="1"/>
    <n v="399"/>
  </r>
  <r>
    <s v="0351"/>
    <x v="108"/>
    <n v="4"/>
    <x v="12"/>
    <x v="7"/>
    <x v="1"/>
    <x v="3"/>
    <n v="69"/>
    <n v="6"/>
    <n v="414"/>
  </r>
  <r>
    <s v="0352"/>
    <x v="108"/>
    <n v="10"/>
    <x v="14"/>
    <x v="5"/>
    <x v="2"/>
    <x v="2"/>
    <n v="159"/>
    <n v="9"/>
    <n v="1431"/>
  </r>
  <r>
    <s v="0353"/>
    <x v="109"/>
    <n v="4"/>
    <x v="12"/>
    <x v="1"/>
    <x v="1"/>
    <x v="4"/>
    <n v="399"/>
    <n v="1"/>
    <n v="399"/>
  </r>
  <r>
    <s v="0354"/>
    <x v="109"/>
    <n v="5"/>
    <x v="15"/>
    <x v="1"/>
    <x v="1"/>
    <x v="3"/>
    <n v="69"/>
    <n v="1"/>
    <n v="69"/>
  </r>
  <r>
    <s v="0355"/>
    <x v="109"/>
    <n v="17"/>
    <x v="6"/>
    <x v="3"/>
    <x v="3"/>
    <x v="4"/>
    <n v="399"/>
    <n v="6"/>
    <n v="2394"/>
  </r>
  <r>
    <s v="0356"/>
    <x v="110"/>
    <n v="18"/>
    <x v="3"/>
    <x v="4"/>
    <x v="3"/>
    <x v="0"/>
    <n v="199"/>
    <n v="8"/>
    <n v="1592"/>
  </r>
  <r>
    <s v="0357"/>
    <x v="110"/>
    <n v="3"/>
    <x v="9"/>
    <x v="7"/>
    <x v="1"/>
    <x v="4"/>
    <n v="399"/>
    <n v="2"/>
    <n v="798"/>
  </r>
  <r>
    <s v="0358"/>
    <x v="111"/>
    <n v="2"/>
    <x v="18"/>
    <x v="1"/>
    <x v="1"/>
    <x v="3"/>
    <n v="69"/>
    <n v="2"/>
    <n v="138"/>
  </r>
  <r>
    <s v="0359"/>
    <x v="111"/>
    <n v="1"/>
    <x v="1"/>
    <x v="7"/>
    <x v="1"/>
    <x v="4"/>
    <n v="399"/>
    <n v="5"/>
    <n v="1995"/>
  </r>
  <r>
    <s v="0360"/>
    <x v="111"/>
    <n v="19"/>
    <x v="13"/>
    <x v="3"/>
    <x v="3"/>
    <x v="0"/>
    <n v="199"/>
    <n v="9"/>
    <n v="1791"/>
  </r>
  <r>
    <s v="0361"/>
    <x v="111"/>
    <n v="10"/>
    <x v="14"/>
    <x v="2"/>
    <x v="2"/>
    <x v="3"/>
    <n v="69"/>
    <n v="7"/>
    <n v="483"/>
  </r>
  <r>
    <s v="0362"/>
    <x v="111"/>
    <n v="5"/>
    <x v="15"/>
    <x v="1"/>
    <x v="1"/>
    <x v="4"/>
    <n v="399"/>
    <n v="2"/>
    <n v="798"/>
  </r>
  <r>
    <s v="0363"/>
    <x v="111"/>
    <n v="5"/>
    <x v="15"/>
    <x v="7"/>
    <x v="1"/>
    <x v="2"/>
    <n v="159"/>
    <n v="5"/>
    <n v="795"/>
  </r>
  <r>
    <s v="0364"/>
    <x v="111"/>
    <n v="16"/>
    <x v="4"/>
    <x v="4"/>
    <x v="3"/>
    <x v="2"/>
    <n v="159"/>
    <n v="9"/>
    <n v="1431"/>
  </r>
  <r>
    <s v="0365"/>
    <x v="112"/>
    <n v="7"/>
    <x v="17"/>
    <x v="2"/>
    <x v="2"/>
    <x v="1"/>
    <n v="289"/>
    <n v="9"/>
    <n v="2601"/>
  </r>
  <r>
    <s v="0366"/>
    <x v="112"/>
    <n v="7"/>
    <x v="17"/>
    <x v="5"/>
    <x v="2"/>
    <x v="3"/>
    <n v="69"/>
    <n v="0"/>
    <n v="0"/>
  </r>
  <r>
    <s v="0367"/>
    <x v="113"/>
    <n v="7"/>
    <x v="17"/>
    <x v="2"/>
    <x v="2"/>
    <x v="1"/>
    <n v="289"/>
    <n v="2"/>
    <n v="578"/>
  </r>
  <r>
    <s v="0368"/>
    <x v="113"/>
    <n v="8"/>
    <x v="10"/>
    <x v="2"/>
    <x v="2"/>
    <x v="1"/>
    <n v="289"/>
    <n v="6"/>
    <n v="1734"/>
  </r>
  <r>
    <s v="0369"/>
    <x v="113"/>
    <n v="6"/>
    <x v="11"/>
    <x v="5"/>
    <x v="2"/>
    <x v="2"/>
    <n v="159"/>
    <n v="7"/>
    <n v="1113"/>
  </r>
  <r>
    <s v="0370"/>
    <x v="113"/>
    <n v="15"/>
    <x v="19"/>
    <x v="6"/>
    <x v="0"/>
    <x v="0"/>
    <n v="199"/>
    <n v="4"/>
    <n v="796"/>
  </r>
  <r>
    <s v="0371"/>
    <x v="113"/>
    <n v="18"/>
    <x v="3"/>
    <x v="4"/>
    <x v="3"/>
    <x v="2"/>
    <n v="159"/>
    <n v="8"/>
    <n v="1272"/>
  </r>
  <r>
    <s v="0372"/>
    <x v="113"/>
    <n v="7"/>
    <x v="17"/>
    <x v="2"/>
    <x v="2"/>
    <x v="1"/>
    <n v="289"/>
    <n v="8"/>
    <n v="2312"/>
  </r>
  <r>
    <s v="0373"/>
    <x v="113"/>
    <n v="15"/>
    <x v="19"/>
    <x v="0"/>
    <x v="0"/>
    <x v="0"/>
    <n v="199"/>
    <n v="6"/>
    <n v="1194"/>
  </r>
  <r>
    <s v="0374"/>
    <x v="114"/>
    <n v="5"/>
    <x v="15"/>
    <x v="1"/>
    <x v="1"/>
    <x v="4"/>
    <n v="399"/>
    <n v="3"/>
    <n v="1197"/>
  </r>
  <r>
    <s v="0375"/>
    <x v="114"/>
    <n v="15"/>
    <x v="19"/>
    <x v="6"/>
    <x v="0"/>
    <x v="2"/>
    <n v="159"/>
    <n v="4"/>
    <n v="636"/>
  </r>
  <r>
    <s v="0376"/>
    <x v="114"/>
    <n v="16"/>
    <x v="4"/>
    <x v="4"/>
    <x v="3"/>
    <x v="3"/>
    <n v="69"/>
    <n v="3"/>
    <n v="207"/>
  </r>
  <r>
    <s v="0377"/>
    <x v="114"/>
    <n v="12"/>
    <x v="16"/>
    <x v="6"/>
    <x v="0"/>
    <x v="0"/>
    <n v="199"/>
    <n v="6"/>
    <n v="1194"/>
  </r>
  <r>
    <s v="0378"/>
    <x v="114"/>
    <n v="11"/>
    <x v="0"/>
    <x v="0"/>
    <x v="0"/>
    <x v="4"/>
    <n v="399"/>
    <n v="3"/>
    <n v="1197"/>
  </r>
  <r>
    <s v="0379"/>
    <x v="114"/>
    <n v="15"/>
    <x v="19"/>
    <x v="0"/>
    <x v="0"/>
    <x v="2"/>
    <n v="159"/>
    <n v="0"/>
    <n v="0"/>
  </r>
  <r>
    <s v="0380"/>
    <x v="115"/>
    <n v="19"/>
    <x v="13"/>
    <x v="4"/>
    <x v="3"/>
    <x v="2"/>
    <n v="159"/>
    <n v="5"/>
    <n v="795"/>
  </r>
  <r>
    <s v="0381"/>
    <x v="116"/>
    <n v="5"/>
    <x v="15"/>
    <x v="1"/>
    <x v="1"/>
    <x v="3"/>
    <n v="69"/>
    <n v="5"/>
    <n v="345"/>
  </r>
  <r>
    <s v="0382"/>
    <x v="117"/>
    <n v="7"/>
    <x v="17"/>
    <x v="5"/>
    <x v="2"/>
    <x v="3"/>
    <n v="69"/>
    <n v="8"/>
    <n v="552"/>
  </r>
  <r>
    <s v="0383"/>
    <x v="117"/>
    <n v="2"/>
    <x v="18"/>
    <x v="1"/>
    <x v="1"/>
    <x v="2"/>
    <n v="159"/>
    <n v="7"/>
    <n v="1113"/>
  </r>
  <r>
    <s v="0384"/>
    <x v="117"/>
    <n v="1"/>
    <x v="1"/>
    <x v="7"/>
    <x v="1"/>
    <x v="2"/>
    <n v="159"/>
    <n v="5"/>
    <n v="795"/>
  </r>
  <r>
    <s v="0385"/>
    <x v="117"/>
    <n v="17"/>
    <x v="6"/>
    <x v="4"/>
    <x v="3"/>
    <x v="1"/>
    <n v="289"/>
    <n v="3"/>
    <n v="867"/>
  </r>
  <r>
    <s v="0386"/>
    <x v="117"/>
    <n v="3"/>
    <x v="9"/>
    <x v="1"/>
    <x v="1"/>
    <x v="4"/>
    <n v="399"/>
    <n v="2"/>
    <n v="798"/>
  </r>
  <r>
    <s v="0387"/>
    <x v="117"/>
    <n v="9"/>
    <x v="2"/>
    <x v="5"/>
    <x v="2"/>
    <x v="2"/>
    <n v="159"/>
    <n v="8"/>
    <n v="1272"/>
  </r>
  <r>
    <s v="0388"/>
    <x v="117"/>
    <n v="20"/>
    <x v="8"/>
    <x v="4"/>
    <x v="3"/>
    <x v="3"/>
    <n v="69"/>
    <n v="4"/>
    <n v="276"/>
  </r>
  <r>
    <s v="0389"/>
    <x v="117"/>
    <n v="13"/>
    <x v="5"/>
    <x v="6"/>
    <x v="0"/>
    <x v="1"/>
    <n v="289"/>
    <n v="3"/>
    <n v="867"/>
  </r>
  <r>
    <s v="0390"/>
    <x v="117"/>
    <n v="1"/>
    <x v="1"/>
    <x v="7"/>
    <x v="1"/>
    <x v="1"/>
    <n v="289"/>
    <n v="4"/>
    <n v="1156"/>
  </r>
  <r>
    <s v="0391"/>
    <x v="117"/>
    <n v="10"/>
    <x v="14"/>
    <x v="5"/>
    <x v="2"/>
    <x v="0"/>
    <n v="199"/>
    <n v="0"/>
    <n v="0"/>
  </r>
  <r>
    <s v="0392"/>
    <x v="118"/>
    <n v="8"/>
    <x v="10"/>
    <x v="2"/>
    <x v="2"/>
    <x v="1"/>
    <n v="289"/>
    <n v="0"/>
    <n v="0"/>
  </r>
  <r>
    <s v="0393"/>
    <x v="118"/>
    <n v="14"/>
    <x v="7"/>
    <x v="6"/>
    <x v="0"/>
    <x v="3"/>
    <n v="69"/>
    <n v="7"/>
    <n v="483"/>
  </r>
  <r>
    <s v="0394"/>
    <x v="119"/>
    <n v="18"/>
    <x v="3"/>
    <x v="3"/>
    <x v="3"/>
    <x v="0"/>
    <n v="199"/>
    <n v="3"/>
    <n v="597"/>
  </r>
  <r>
    <s v="0395"/>
    <x v="120"/>
    <n v="18"/>
    <x v="3"/>
    <x v="3"/>
    <x v="3"/>
    <x v="3"/>
    <n v="69"/>
    <n v="3"/>
    <n v="207"/>
  </r>
  <r>
    <s v="0396"/>
    <x v="121"/>
    <n v="14"/>
    <x v="7"/>
    <x v="6"/>
    <x v="0"/>
    <x v="2"/>
    <n v="159"/>
    <n v="5"/>
    <n v="795"/>
  </r>
  <r>
    <s v="0397"/>
    <x v="121"/>
    <n v="19"/>
    <x v="13"/>
    <x v="4"/>
    <x v="3"/>
    <x v="1"/>
    <n v="289"/>
    <n v="1"/>
    <n v="289"/>
  </r>
  <r>
    <s v="0398"/>
    <x v="122"/>
    <n v="18"/>
    <x v="3"/>
    <x v="4"/>
    <x v="3"/>
    <x v="2"/>
    <n v="159"/>
    <n v="0"/>
    <n v="0"/>
  </r>
  <r>
    <s v="0399"/>
    <x v="122"/>
    <n v="5"/>
    <x v="15"/>
    <x v="7"/>
    <x v="1"/>
    <x v="4"/>
    <n v="399"/>
    <n v="7"/>
    <n v="2793"/>
  </r>
  <r>
    <s v="0400"/>
    <x v="122"/>
    <n v="19"/>
    <x v="13"/>
    <x v="3"/>
    <x v="3"/>
    <x v="1"/>
    <n v="289"/>
    <n v="6"/>
    <n v="1734"/>
  </r>
  <r>
    <s v="0401"/>
    <x v="123"/>
    <n v="5"/>
    <x v="15"/>
    <x v="1"/>
    <x v="1"/>
    <x v="3"/>
    <n v="69"/>
    <n v="0"/>
    <n v="0"/>
  </r>
  <r>
    <s v="0402"/>
    <x v="124"/>
    <n v="16"/>
    <x v="4"/>
    <x v="4"/>
    <x v="3"/>
    <x v="1"/>
    <n v="289"/>
    <n v="8"/>
    <n v="2312"/>
  </r>
  <r>
    <s v="0403"/>
    <x v="124"/>
    <n v="12"/>
    <x v="16"/>
    <x v="6"/>
    <x v="0"/>
    <x v="4"/>
    <n v="399"/>
    <n v="6"/>
    <n v="2394"/>
  </r>
  <r>
    <s v="0404"/>
    <x v="125"/>
    <n v="5"/>
    <x v="15"/>
    <x v="1"/>
    <x v="1"/>
    <x v="2"/>
    <n v="159"/>
    <n v="9"/>
    <n v="1431"/>
  </r>
  <r>
    <s v="0405"/>
    <x v="125"/>
    <n v="1"/>
    <x v="1"/>
    <x v="1"/>
    <x v="1"/>
    <x v="2"/>
    <n v="159"/>
    <n v="5"/>
    <n v="795"/>
  </r>
  <r>
    <s v="0406"/>
    <x v="125"/>
    <n v="6"/>
    <x v="11"/>
    <x v="5"/>
    <x v="2"/>
    <x v="2"/>
    <n v="159"/>
    <n v="8"/>
    <n v="1272"/>
  </r>
  <r>
    <s v="0407"/>
    <x v="125"/>
    <n v="16"/>
    <x v="4"/>
    <x v="4"/>
    <x v="3"/>
    <x v="3"/>
    <n v="69"/>
    <n v="7"/>
    <n v="483"/>
  </r>
  <r>
    <s v="0408"/>
    <x v="125"/>
    <n v="4"/>
    <x v="12"/>
    <x v="7"/>
    <x v="1"/>
    <x v="1"/>
    <n v="289"/>
    <n v="6"/>
    <n v="1734"/>
  </r>
  <r>
    <s v="0409"/>
    <x v="125"/>
    <n v="16"/>
    <x v="4"/>
    <x v="3"/>
    <x v="3"/>
    <x v="0"/>
    <n v="199"/>
    <n v="3"/>
    <n v="597"/>
  </r>
  <r>
    <s v="0410"/>
    <x v="125"/>
    <n v="16"/>
    <x v="4"/>
    <x v="4"/>
    <x v="3"/>
    <x v="2"/>
    <n v="159"/>
    <n v="4"/>
    <n v="636"/>
  </r>
  <r>
    <s v="0411"/>
    <x v="125"/>
    <n v="8"/>
    <x v="10"/>
    <x v="5"/>
    <x v="2"/>
    <x v="2"/>
    <n v="159"/>
    <n v="4"/>
    <n v="636"/>
  </r>
  <r>
    <s v="0412"/>
    <x v="125"/>
    <n v="13"/>
    <x v="5"/>
    <x v="0"/>
    <x v="0"/>
    <x v="3"/>
    <n v="69"/>
    <n v="7"/>
    <n v="483"/>
  </r>
  <r>
    <s v="0413"/>
    <x v="125"/>
    <n v="3"/>
    <x v="9"/>
    <x v="7"/>
    <x v="1"/>
    <x v="0"/>
    <n v="199"/>
    <n v="1"/>
    <n v="199"/>
  </r>
  <r>
    <s v="0414"/>
    <x v="126"/>
    <n v="19"/>
    <x v="13"/>
    <x v="3"/>
    <x v="3"/>
    <x v="3"/>
    <n v="69"/>
    <n v="6"/>
    <n v="414"/>
  </r>
  <r>
    <s v="0415"/>
    <x v="127"/>
    <n v="17"/>
    <x v="6"/>
    <x v="4"/>
    <x v="3"/>
    <x v="2"/>
    <n v="159"/>
    <n v="7"/>
    <n v="1113"/>
  </r>
  <r>
    <s v="0416"/>
    <x v="127"/>
    <n v="13"/>
    <x v="5"/>
    <x v="0"/>
    <x v="0"/>
    <x v="0"/>
    <n v="199"/>
    <n v="1"/>
    <n v="199"/>
  </r>
  <r>
    <s v="0417"/>
    <x v="128"/>
    <n v="2"/>
    <x v="18"/>
    <x v="1"/>
    <x v="1"/>
    <x v="4"/>
    <n v="399"/>
    <n v="1"/>
    <n v="399"/>
  </r>
  <r>
    <s v="0418"/>
    <x v="129"/>
    <n v="6"/>
    <x v="11"/>
    <x v="5"/>
    <x v="2"/>
    <x v="2"/>
    <n v="159"/>
    <n v="9"/>
    <n v="1431"/>
  </r>
  <r>
    <s v="0419"/>
    <x v="129"/>
    <n v="14"/>
    <x v="7"/>
    <x v="0"/>
    <x v="0"/>
    <x v="0"/>
    <n v="199"/>
    <n v="3"/>
    <n v="597"/>
  </r>
  <r>
    <s v="0420"/>
    <x v="130"/>
    <n v="18"/>
    <x v="3"/>
    <x v="4"/>
    <x v="3"/>
    <x v="2"/>
    <n v="159"/>
    <n v="9"/>
    <n v="1431"/>
  </r>
  <r>
    <s v="0421"/>
    <x v="130"/>
    <n v="6"/>
    <x v="11"/>
    <x v="5"/>
    <x v="2"/>
    <x v="2"/>
    <n v="159"/>
    <n v="4"/>
    <n v="636"/>
  </r>
  <r>
    <s v="0422"/>
    <x v="131"/>
    <n v="4"/>
    <x v="12"/>
    <x v="7"/>
    <x v="1"/>
    <x v="2"/>
    <n v="159"/>
    <n v="9"/>
    <n v="1431"/>
  </r>
  <r>
    <s v="0423"/>
    <x v="131"/>
    <n v="5"/>
    <x v="15"/>
    <x v="7"/>
    <x v="1"/>
    <x v="3"/>
    <n v="69"/>
    <n v="4"/>
    <n v="276"/>
  </r>
  <r>
    <s v="0424"/>
    <x v="131"/>
    <n v="1"/>
    <x v="1"/>
    <x v="7"/>
    <x v="1"/>
    <x v="3"/>
    <n v="69"/>
    <n v="8"/>
    <n v="552"/>
  </r>
  <r>
    <s v="0425"/>
    <x v="131"/>
    <n v="1"/>
    <x v="1"/>
    <x v="7"/>
    <x v="1"/>
    <x v="1"/>
    <n v="289"/>
    <n v="7"/>
    <n v="2023"/>
  </r>
  <r>
    <s v="0426"/>
    <x v="131"/>
    <n v="17"/>
    <x v="6"/>
    <x v="4"/>
    <x v="3"/>
    <x v="0"/>
    <n v="199"/>
    <n v="8"/>
    <n v="1592"/>
  </r>
  <r>
    <s v="0427"/>
    <x v="132"/>
    <n v="5"/>
    <x v="15"/>
    <x v="1"/>
    <x v="1"/>
    <x v="0"/>
    <n v="199"/>
    <n v="6"/>
    <n v="1194"/>
  </r>
  <r>
    <s v="0428"/>
    <x v="132"/>
    <n v="13"/>
    <x v="5"/>
    <x v="6"/>
    <x v="0"/>
    <x v="3"/>
    <n v="69"/>
    <n v="3"/>
    <n v="207"/>
  </r>
  <r>
    <s v="0429"/>
    <x v="133"/>
    <n v="18"/>
    <x v="3"/>
    <x v="4"/>
    <x v="3"/>
    <x v="3"/>
    <n v="69"/>
    <n v="9"/>
    <n v="621"/>
  </r>
  <r>
    <s v="0430"/>
    <x v="134"/>
    <n v="16"/>
    <x v="4"/>
    <x v="4"/>
    <x v="3"/>
    <x v="1"/>
    <n v="289"/>
    <n v="7"/>
    <n v="2023"/>
  </r>
  <r>
    <s v="0431"/>
    <x v="134"/>
    <n v="4"/>
    <x v="12"/>
    <x v="7"/>
    <x v="1"/>
    <x v="1"/>
    <n v="289"/>
    <n v="6"/>
    <n v="1734"/>
  </r>
  <r>
    <s v="0432"/>
    <x v="134"/>
    <n v="2"/>
    <x v="18"/>
    <x v="1"/>
    <x v="1"/>
    <x v="4"/>
    <n v="399"/>
    <n v="3"/>
    <n v="1197"/>
  </r>
  <r>
    <s v="0433"/>
    <x v="134"/>
    <n v="3"/>
    <x v="9"/>
    <x v="1"/>
    <x v="1"/>
    <x v="1"/>
    <n v="289"/>
    <n v="0"/>
    <n v="0"/>
  </r>
  <r>
    <s v="0434"/>
    <x v="134"/>
    <n v="9"/>
    <x v="2"/>
    <x v="2"/>
    <x v="2"/>
    <x v="1"/>
    <n v="289"/>
    <n v="5"/>
    <n v="1445"/>
  </r>
  <r>
    <s v="0435"/>
    <x v="134"/>
    <n v="8"/>
    <x v="10"/>
    <x v="5"/>
    <x v="2"/>
    <x v="1"/>
    <n v="289"/>
    <n v="5"/>
    <n v="1445"/>
  </r>
  <r>
    <s v="0436"/>
    <x v="134"/>
    <n v="17"/>
    <x v="6"/>
    <x v="4"/>
    <x v="3"/>
    <x v="0"/>
    <n v="199"/>
    <n v="0"/>
    <n v="0"/>
  </r>
  <r>
    <s v="0437"/>
    <x v="134"/>
    <n v="2"/>
    <x v="18"/>
    <x v="7"/>
    <x v="1"/>
    <x v="3"/>
    <n v="69"/>
    <n v="7"/>
    <n v="483"/>
  </r>
  <r>
    <s v="0438"/>
    <x v="134"/>
    <n v="2"/>
    <x v="18"/>
    <x v="7"/>
    <x v="1"/>
    <x v="3"/>
    <n v="69"/>
    <n v="6"/>
    <n v="414"/>
  </r>
  <r>
    <s v="0439"/>
    <x v="134"/>
    <n v="16"/>
    <x v="4"/>
    <x v="4"/>
    <x v="3"/>
    <x v="2"/>
    <n v="159"/>
    <n v="1"/>
    <n v="159"/>
  </r>
  <r>
    <s v="0440"/>
    <x v="134"/>
    <n v="19"/>
    <x v="13"/>
    <x v="4"/>
    <x v="3"/>
    <x v="3"/>
    <n v="69"/>
    <n v="8"/>
    <n v="552"/>
  </r>
  <r>
    <s v="0441"/>
    <x v="134"/>
    <n v="18"/>
    <x v="3"/>
    <x v="4"/>
    <x v="3"/>
    <x v="0"/>
    <n v="199"/>
    <n v="6"/>
    <n v="1194"/>
  </r>
  <r>
    <s v="0442"/>
    <x v="134"/>
    <n v="1"/>
    <x v="1"/>
    <x v="1"/>
    <x v="1"/>
    <x v="4"/>
    <n v="399"/>
    <n v="1"/>
    <n v="399"/>
  </r>
  <r>
    <s v="0443"/>
    <x v="134"/>
    <n v="14"/>
    <x v="7"/>
    <x v="0"/>
    <x v="0"/>
    <x v="3"/>
    <n v="69"/>
    <n v="6"/>
    <n v="414"/>
  </r>
  <r>
    <s v="0444"/>
    <x v="135"/>
    <n v="17"/>
    <x v="6"/>
    <x v="4"/>
    <x v="3"/>
    <x v="3"/>
    <n v="69"/>
    <n v="7"/>
    <n v="483"/>
  </r>
  <r>
    <s v="0445"/>
    <x v="135"/>
    <n v="9"/>
    <x v="2"/>
    <x v="5"/>
    <x v="2"/>
    <x v="0"/>
    <n v="199"/>
    <n v="2"/>
    <n v="398"/>
  </r>
  <r>
    <s v="0446"/>
    <x v="135"/>
    <n v="18"/>
    <x v="3"/>
    <x v="4"/>
    <x v="3"/>
    <x v="3"/>
    <n v="69"/>
    <n v="7"/>
    <n v="483"/>
  </r>
  <r>
    <s v="0447"/>
    <x v="135"/>
    <n v="16"/>
    <x v="4"/>
    <x v="4"/>
    <x v="3"/>
    <x v="4"/>
    <n v="399"/>
    <n v="5"/>
    <n v="1995"/>
  </r>
  <r>
    <s v="0448"/>
    <x v="135"/>
    <n v="10"/>
    <x v="14"/>
    <x v="2"/>
    <x v="2"/>
    <x v="2"/>
    <n v="159"/>
    <n v="1"/>
    <n v="159"/>
  </r>
  <r>
    <s v="0449"/>
    <x v="135"/>
    <n v="10"/>
    <x v="14"/>
    <x v="2"/>
    <x v="2"/>
    <x v="1"/>
    <n v="289"/>
    <n v="6"/>
    <n v="1734"/>
  </r>
  <r>
    <s v="0450"/>
    <x v="135"/>
    <n v="5"/>
    <x v="15"/>
    <x v="7"/>
    <x v="1"/>
    <x v="1"/>
    <n v="289"/>
    <n v="8"/>
    <n v="2312"/>
  </r>
  <r>
    <s v="0451"/>
    <x v="135"/>
    <n v="10"/>
    <x v="14"/>
    <x v="2"/>
    <x v="2"/>
    <x v="3"/>
    <n v="69"/>
    <n v="7"/>
    <n v="483"/>
  </r>
  <r>
    <s v="0452"/>
    <x v="135"/>
    <n v="7"/>
    <x v="17"/>
    <x v="5"/>
    <x v="2"/>
    <x v="3"/>
    <n v="69"/>
    <n v="3"/>
    <n v="207"/>
  </r>
  <r>
    <s v="0453"/>
    <x v="135"/>
    <n v="6"/>
    <x v="11"/>
    <x v="5"/>
    <x v="2"/>
    <x v="4"/>
    <n v="399"/>
    <n v="3"/>
    <n v="1197"/>
  </r>
  <r>
    <s v="0454"/>
    <x v="135"/>
    <n v="13"/>
    <x v="5"/>
    <x v="0"/>
    <x v="0"/>
    <x v="2"/>
    <n v="159"/>
    <n v="8"/>
    <n v="1272"/>
  </r>
  <r>
    <s v="0455"/>
    <x v="136"/>
    <n v="14"/>
    <x v="7"/>
    <x v="6"/>
    <x v="0"/>
    <x v="3"/>
    <n v="69"/>
    <n v="9"/>
    <n v="621"/>
  </r>
  <r>
    <s v="0456"/>
    <x v="136"/>
    <n v="3"/>
    <x v="9"/>
    <x v="1"/>
    <x v="1"/>
    <x v="4"/>
    <n v="399"/>
    <n v="7"/>
    <n v="2793"/>
  </r>
  <r>
    <s v="0457"/>
    <x v="136"/>
    <n v="3"/>
    <x v="9"/>
    <x v="1"/>
    <x v="1"/>
    <x v="2"/>
    <n v="159"/>
    <n v="9"/>
    <n v="1431"/>
  </r>
  <r>
    <s v="0458"/>
    <x v="136"/>
    <n v="12"/>
    <x v="16"/>
    <x v="6"/>
    <x v="0"/>
    <x v="0"/>
    <n v="199"/>
    <n v="3"/>
    <n v="597"/>
  </r>
  <r>
    <s v="0459"/>
    <x v="136"/>
    <n v="5"/>
    <x v="15"/>
    <x v="7"/>
    <x v="1"/>
    <x v="2"/>
    <n v="159"/>
    <n v="1"/>
    <n v="159"/>
  </r>
  <r>
    <s v="0460"/>
    <x v="137"/>
    <n v="11"/>
    <x v="0"/>
    <x v="6"/>
    <x v="0"/>
    <x v="2"/>
    <n v="159"/>
    <n v="4"/>
    <n v="636"/>
  </r>
  <r>
    <s v="0461"/>
    <x v="137"/>
    <n v="7"/>
    <x v="17"/>
    <x v="5"/>
    <x v="2"/>
    <x v="4"/>
    <n v="399"/>
    <n v="0"/>
    <n v="0"/>
  </r>
  <r>
    <s v="0462"/>
    <x v="137"/>
    <n v="1"/>
    <x v="1"/>
    <x v="1"/>
    <x v="1"/>
    <x v="4"/>
    <n v="399"/>
    <n v="3"/>
    <n v="1197"/>
  </r>
  <r>
    <s v="0463"/>
    <x v="138"/>
    <n v="10"/>
    <x v="14"/>
    <x v="2"/>
    <x v="2"/>
    <x v="4"/>
    <n v="399"/>
    <n v="9"/>
    <n v="3591"/>
  </r>
  <r>
    <s v="0464"/>
    <x v="138"/>
    <n v="4"/>
    <x v="12"/>
    <x v="7"/>
    <x v="1"/>
    <x v="1"/>
    <n v="289"/>
    <n v="2"/>
    <n v="578"/>
  </r>
  <r>
    <s v="0465"/>
    <x v="138"/>
    <n v="11"/>
    <x v="0"/>
    <x v="6"/>
    <x v="0"/>
    <x v="2"/>
    <n v="159"/>
    <n v="9"/>
    <n v="1431"/>
  </r>
  <r>
    <s v="0466"/>
    <x v="138"/>
    <n v="2"/>
    <x v="18"/>
    <x v="1"/>
    <x v="1"/>
    <x v="2"/>
    <n v="159"/>
    <n v="3"/>
    <n v="477"/>
  </r>
  <r>
    <s v="0467"/>
    <x v="138"/>
    <n v="4"/>
    <x v="12"/>
    <x v="1"/>
    <x v="1"/>
    <x v="0"/>
    <n v="199"/>
    <n v="0"/>
    <n v="0"/>
  </r>
  <r>
    <s v="0468"/>
    <x v="138"/>
    <n v="18"/>
    <x v="3"/>
    <x v="4"/>
    <x v="3"/>
    <x v="2"/>
    <n v="159"/>
    <n v="9"/>
    <n v="1431"/>
  </r>
  <r>
    <s v="0469"/>
    <x v="139"/>
    <n v="2"/>
    <x v="18"/>
    <x v="1"/>
    <x v="1"/>
    <x v="1"/>
    <n v="289"/>
    <n v="1"/>
    <n v="289"/>
  </r>
  <r>
    <s v="0470"/>
    <x v="139"/>
    <n v="14"/>
    <x v="7"/>
    <x v="0"/>
    <x v="0"/>
    <x v="4"/>
    <n v="399"/>
    <n v="9"/>
    <n v="3591"/>
  </r>
  <r>
    <s v="0471"/>
    <x v="140"/>
    <n v="5"/>
    <x v="15"/>
    <x v="7"/>
    <x v="1"/>
    <x v="1"/>
    <n v="289"/>
    <n v="4"/>
    <n v="1156"/>
  </r>
  <r>
    <s v="0472"/>
    <x v="141"/>
    <n v="5"/>
    <x v="15"/>
    <x v="1"/>
    <x v="1"/>
    <x v="4"/>
    <n v="399"/>
    <n v="3"/>
    <n v="1197"/>
  </r>
  <r>
    <s v="0473"/>
    <x v="142"/>
    <n v="13"/>
    <x v="5"/>
    <x v="0"/>
    <x v="0"/>
    <x v="1"/>
    <n v="289"/>
    <n v="8"/>
    <n v="2312"/>
  </r>
  <r>
    <s v="0474"/>
    <x v="142"/>
    <n v="18"/>
    <x v="3"/>
    <x v="4"/>
    <x v="3"/>
    <x v="4"/>
    <n v="399"/>
    <n v="3"/>
    <n v="1197"/>
  </r>
  <r>
    <s v="0475"/>
    <x v="142"/>
    <n v="13"/>
    <x v="5"/>
    <x v="0"/>
    <x v="0"/>
    <x v="0"/>
    <n v="199"/>
    <n v="2"/>
    <n v="398"/>
  </r>
  <r>
    <s v="0476"/>
    <x v="142"/>
    <n v="8"/>
    <x v="10"/>
    <x v="2"/>
    <x v="2"/>
    <x v="2"/>
    <n v="159"/>
    <n v="3"/>
    <n v="477"/>
  </r>
  <r>
    <s v="0477"/>
    <x v="142"/>
    <n v="7"/>
    <x v="17"/>
    <x v="2"/>
    <x v="2"/>
    <x v="1"/>
    <n v="289"/>
    <n v="5"/>
    <n v="1445"/>
  </r>
  <r>
    <s v="0478"/>
    <x v="142"/>
    <n v="6"/>
    <x v="11"/>
    <x v="2"/>
    <x v="2"/>
    <x v="2"/>
    <n v="159"/>
    <n v="3"/>
    <n v="477"/>
  </r>
  <r>
    <s v="0479"/>
    <x v="142"/>
    <n v="7"/>
    <x v="17"/>
    <x v="2"/>
    <x v="2"/>
    <x v="2"/>
    <n v="159"/>
    <n v="2"/>
    <n v="318"/>
  </r>
  <r>
    <s v="0480"/>
    <x v="142"/>
    <n v="18"/>
    <x v="3"/>
    <x v="3"/>
    <x v="3"/>
    <x v="3"/>
    <n v="69"/>
    <n v="9"/>
    <n v="621"/>
  </r>
  <r>
    <s v="0481"/>
    <x v="143"/>
    <n v="17"/>
    <x v="6"/>
    <x v="3"/>
    <x v="3"/>
    <x v="1"/>
    <n v="289"/>
    <n v="3"/>
    <n v="867"/>
  </r>
  <r>
    <s v="0482"/>
    <x v="143"/>
    <n v="11"/>
    <x v="0"/>
    <x v="0"/>
    <x v="0"/>
    <x v="3"/>
    <n v="69"/>
    <n v="6"/>
    <n v="414"/>
  </r>
  <r>
    <s v="0483"/>
    <x v="143"/>
    <n v="16"/>
    <x v="4"/>
    <x v="3"/>
    <x v="3"/>
    <x v="3"/>
    <n v="69"/>
    <n v="6"/>
    <n v="414"/>
  </r>
  <r>
    <s v="0484"/>
    <x v="143"/>
    <n v="4"/>
    <x v="12"/>
    <x v="7"/>
    <x v="1"/>
    <x v="0"/>
    <n v="199"/>
    <n v="4"/>
    <n v="796"/>
  </r>
  <r>
    <s v="0485"/>
    <x v="144"/>
    <n v="16"/>
    <x v="4"/>
    <x v="3"/>
    <x v="3"/>
    <x v="0"/>
    <n v="199"/>
    <n v="7"/>
    <n v="1393"/>
  </r>
  <r>
    <s v="0486"/>
    <x v="144"/>
    <n v="8"/>
    <x v="10"/>
    <x v="2"/>
    <x v="2"/>
    <x v="2"/>
    <n v="159"/>
    <n v="4"/>
    <n v="636"/>
  </r>
  <r>
    <s v="0487"/>
    <x v="144"/>
    <n v="4"/>
    <x v="12"/>
    <x v="7"/>
    <x v="1"/>
    <x v="1"/>
    <n v="289"/>
    <n v="4"/>
    <n v="1156"/>
  </r>
  <r>
    <s v="0488"/>
    <x v="144"/>
    <n v="20"/>
    <x v="8"/>
    <x v="3"/>
    <x v="3"/>
    <x v="2"/>
    <n v="159"/>
    <n v="2"/>
    <n v="318"/>
  </r>
  <r>
    <s v="0489"/>
    <x v="144"/>
    <n v="13"/>
    <x v="5"/>
    <x v="0"/>
    <x v="0"/>
    <x v="2"/>
    <n v="159"/>
    <n v="7"/>
    <n v="1113"/>
  </r>
  <r>
    <s v="0490"/>
    <x v="144"/>
    <n v="13"/>
    <x v="5"/>
    <x v="0"/>
    <x v="0"/>
    <x v="2"/>
    <n v="159"/>
    <n v="4"/>
    <n v="636"/>
  </r>
  <r>
    <s v="0491"/>
    <x v="144"/>
    <n v="17"/>
    <x v="6"/>
    <x v="4"/>
    <x v="3"/>
    <x v="3"/>
    <n v="69"/>
    <n v="3"/>
    <n v="207"/>
  </r>
  <r>
    <s v="0492"/>
    <x v="144"/>
    <n v="3"/>
    <x v="9"/>
    <x v="1"/>
    <x v="1"/>
    <x v="1"/>
    <n v="289"/>
    <n v="6"/>
    <n v="1734"/>
  </r>
  <r>
    <s v="0493"/>
    <x v="145"/>
    <n v="9"/>
    <x v="2"/>
    <x v="5"/>
    <x v="2"/>
    <x v="4"/>
    <n v="399"/>
    <n v="2"/>
    <n v="798"/>
  </r>
  <r>
    <s v="0494"/>
    <x v="145"/>
    <n v="16"/>
    <x v="4"/>
    <x v="4"/>
    <x v="3"/>
    <x v="2"/>
    <n v="159"/>
    <n v="9"/>
    <n v="1431"/>
  </r>
  <r>
    <s v="0495"/>
    <x v="145"/>
    <n v="13"/>
    <x v="5"/>
    <x v="0"/>
    <x v="0"/>
    <x v="0"/>
    <n v="199"/>
    <n v="5"/>
    <n v="995"/>
  </r>
  <r>
    <s v="0496"/>
    <x v="145"/>
    <n v="9"/>
    <x v="2"/>
    <x v="2"/>
    <x v="2"/>
    <x v="1"/>
    <n v="289"/>
    <n v="6"/>
    <n v="1734"/>
  </r>
  <r>
    <s v="0497"/>
    <x v="145"/>
    <n v="4"/>
    <x v="12"/>
    <x v="7"/>
    <x v="1"/>
    <x v="1"/>
    <n v="289"/>
    <n v="1"/>
    <n v="289"/>
  </r>
  <r>
    <s v="0498"/>
    <x v="145"/>
    <n v="8"/>
    <x v="10"/>
    <x v="5"/>
    <x v="2"/>
    <x v="3"/>
    <n v="69"/>
    <n v="8"/>
    <n v="552"/>
  </r>
  <r>
    <s v="0499"/>
    <x v="145"/>
    <n v="18"/>
    <x v="3"/>
    <x v="3"/>
    <x v="3"/>
    <x v="0"/>
    <n v="199"/>
    <n v="8"/>
    <n v="1592"/>
  </r>
  <r>
    <s v="0500"/>
    <x v="145"/>
    <n v="4"/>
    <x v="12"/>
    <x v="1"/>
    <x v="1"/>
    <x v="1"/>
    <n v="289"/>
    <n v="6"/>
    <n v="1734"/>
  </r>
  <r>
    <s v="0501"/>
    <x v="146"/>
    <n v="2"/>
    <x v="18"/>
    <x v="1"/>
    <x v="1"/>
    <x v="0"/>
    <n v="199"/>
    <n v="5"/>
    <n v="995"/>
  </r>
  <r>
    <s v="0502"/>
    <x v="146"/>
    <n v="2"/>
    <x v="18"/>
    <x v="1"/>
    <x v="1"/>
    <x v="0"/>
    <n v="199"/>
    <n v="0"/>
    <n v="0"/>
  </r>
  <r>
    <s v="0503"/>
    <x v="146"/>
    <n v="10"/>
    <x v="14"/>
    <x v="5"/>
    <x v="2"/>
    <x v="1"/>
    <n v="289"/>
    <n v="8"/>
    <n v="2312"/>
  </r>
  <r>
    <s v="0504"/>
    <x v="147"/>
    <n v="9"/>
    <x v="2"/>
    <x v="2"/>
    <x v="2"/>
    <x v="0"/>
    <n v="199"/>
    <n v="6"/>
    <n v="1194"/>
  </r>
  <r>
    <s v="0505"/>
    <x v="148"/>
    <n v="12"/>
    <x v="16"/>
    <x v="6"/>
    <x v="0"/>
    <x v="0"/>
    <n v="199"/>
    <n v="2"/>
    <n v="398"/>
  </r>
  <r>
    <s v="0506"/>
    <x v="148"/>
    <n v="17"/>
    <x v="6"/>
    <x v="3"/>
    <x v="3"/>
    <x v="3"/>
    <n v="69"/>
    <n v="4"/>
    <n v="276"/>
  </r>
  <r>
    <s v="0507"/>
    <x v="148"/>
    <n v="2"/>
    <x v="18"/>
    <x v="7"/>
    <x v="1"/>
    <x v="4"/>
    <n v="399"/>
    <n v="9"/>
    <n v="3591"/>
  </r>
  <r>
    <s v="0508"/>
    <x v="148"/>
    <n v="19"/>
    <x v="13"/>
    <x v="4"/>
    <x v="3"/>
    <x v="4"/>
    <n v="399"/>
    <n v="6"/>
    <n v="2394"/>
  </r>
  <r>
    <s v="0509"/>
    <x v="149"/>
    <n v="19"/>
    <x v="13"/>
    <x v="3"/>
    <x v="3"/>
    <x v="2"/>
    <n v="159"/>
    <n v="8"/>
    <n v="1272"/>
  </r>
  <r>
    <s v="0510"/>
    <x v="149"/>
    <n v="2"/>
    <x v="18"/>
    <x v="1"/>
    <x v="1"/>
    <x v="3"/>
    <n v="69"/>
    <n v="5"/>
    <n v="345"/>
  </r>
  <r>
    <s v="0511"/>
    <x v="149"/>
    <n v="19"/>
    <x v="13"/>
    <x v="3"/>
    <x v="3"/>
    <x v="1"/>
    <n v="289"/>
    <n v="9"/>
    <n v="2601"/>
  </r>
  <r>
    <s v="0512"/>
    <x v="149"/>
    <n v="2"/>
    <x v="18"/>
    <x v="7"/>
    <x v="1"/>
    <x v="3"/>
    <n v="69"/>
    <n v="9"/>
    <n v="621"/>
  </r>
  <r>
    <s v="0513"/>
    <x v="150"/>
    <n v="14"/>
    <x v="7"/>
    <x v="6"/>
    <x v="0"/>
    <x v="3"/>
    <n v="69"/>
    <n v="3"/>
    <n v="207"/>
  </r>
  <r>
    <s v="0514"/>
    <x v="151"/>
    <n v="14"/>
    <x v="7"/>
    <x v="0"/>
    <x v="0"/>
    <x v="3"/>
    <n v="69"/>
    <n v="0"/>
    <n v="0"/>
  </r>
  <r>
    <s v="0515"/>
    <x v="151"/>
    <n v="8"/>
    <x v="10"/>
    <x v="5"/>
    <x v="2"/>
    <x v="1"/>
    <n v="289"/>
    <n v="4"/>
    <n v="1156"/>
  </r>
  <r>
    <s v="0516"/>
    <x v="151"/>
    <n v="4"/>
    <x v="12"/>
    <x v="7"/>
    <x v="1"/>
    <x v="1"/>
    <n v="289"/>
    <n v="3"/>
    <n v="867"/>
  </r>
  <r>
    <s v="0517"/>
    <x v="152"/>
    <n v="19"/>
    <x v="13"/>
    <x v="3"/>
    <x v="3"/>
    <x v="1"/>
    <n v="289"/>
    <n v="4"/>
    <n v="1156"/>
  </r>
  <r>
    <s v="0518"/>
    <x v="152"/>
    <n v="9"/>
    <x v="2"/>
    <x v="2"/>
    <x v="2"/>
    <x v="0"/>
    <n v="199"/>
    <n v="7"/>
    <n v="1393"/>
  </r>
  <r>
    <s v="0519"/>
    <x v="153"/>
    <n v="5"/>
    <x v="15"/>
    <x v="7"/>
    <x v="1"/>
    <x v="0"/>
    <n v="199"/>
    <n v="9"/>
    <n v="1791"/>
  </r>
  <r>
    <s v="0520"/>
    <x v="153"/>
    <n v="18"/>
    <x v="3"/>
    <x v="3"/>
    <x v="3"/>
    <x v="4"/>
    <n v="399"/>
    <n v="7"/>
    <n v="2793"/>
  </r>
  <r>
    <s v="0521"/>
    <x v="153"/>
    <n v="5"/>
    <x v="15"/>
    <x v="7"/>
    <x v="1"/>
    <x v="1"/>
    <n v="289"/>
    <n v="3"/>
    <n v="867"/>
  </r>
  <r>
    <s v="0522"/>
    <x v="153"/>
    <n v="12"/>
    <x v="16"/>
    <x v="6"/>
    <x v="0"/>
    <x v="0"/>
    <n v="199"/>
    <n v="9"/>
    <n v="1791"/>
  </r>
  <r>
    <s v="0523"/>
    <x v="153"/>
    <n v="18"/>
    <x v="3"/>
    <x v="3"/>
    <x v="3"/>
    <x v="1"/>
    <n v="289"/>
    <n v="7"/>
    <n v="2023"/>
  </r>
  <r>
    <s v="0524"/>
    <x v="153"/>
    <n v="4"/>
    <x v="12"/>
    <x v="1"/>
    <x v="1"/>
    <x v="3"/>
    <n v="69"/>
    <n v="9"/>
    <n v="621"/>
  </r>
  <r>
    <s v="0525"/>
    <x v="153"/>
    <n v="7"/>
    <x v="17"/>
    <x v="2"/>
    <x v="2"/>
    <x v="2"/>
    <n v="159"/>
    <n v="3"/>
    <n v="477"/>
  </r>
  <r>
    <s v="0526"/>
    <x v="153"/>
    <n v="20"/>
    <x v="8"/>
    <x v="4"/>
    <x v="3"/>
    <x v="1"/>
    <n v="289"/>
    <n v="7"/>
    <n v="2023"/>
  </r>
  <r>
    <s v="0527"/>
    <x v="153"/>
    <n v="1"/>
    <x v="1"/>
    <x v="7"/>
    <x v="1"/>
    <x v="1"/>
    <n v="289"/>
    <n v="7"/>
    <n v="2023"/>
  </r>
  <r>
    <s v="0528"/>
    <x v="153"/>
    <n v="4"/>
    <x v="12"/>
    <x v="1"/>
    <x v="1"/>
    <x v="1"/>
    <n v="289"/>
    <n v="9"/>
    <n v="2601"/>
  </r>
  <r>
    <s v="0529"/>
    <x v="153"/>
    <n v="13"/>
    <x v="5"/>
    <x v="6"/>
    <x v="0"/>
    <x v="0"/>
    <n v="199"/>
    <n v="8"/>
    <n v="1592"/>
  </r>
  <r>
    <s v="0530"/>
    <x v="153"/>
    <n v="16"/>
    <x v="4"/>
    <x v="4"/>
    <x v="3"/>
    <x v="4"/>
    <n v="399"/>
    <n v="7"/>
    <n v="2793"/>
  </r>
  <r>
    <s v="0531"/>
    <x v="154"/>
    <n v="8"/>
    <x v="10"/>
    <x v="2"/>
    <x v="2"/>
    <x v="0"/>
    <n v="199"/>
    <n v="3"/>
    <n v="597"/>
  </r>
  <r>
    <s v="0532"/>
    <x v="154"/>
    <n v="11"/>
    <x v="0"/>
    <x v="6"/>
    <x v="0"/>
    <x v="4"/>
    <n v="399"/>
    <n v="8"/>
    <n v="3192"/>
  </r>
  <r>
    <s v="0533"/>
    <x v="155"/>
    <n v="8"/>
    <x v="10"/>
    <x v="5"/>
    <x v="2"/>
    <x v="0"/>
    <n v="199"/>
    <n v="5"/>
    <n v="995"/>
  </r>
  <r>
    <s v="0534"/>
    <x v="155"/>
    <n v="7"/>
    <x v="17"/>
    <x v="5"/>
    <x v="2"/>
    <x v="2"/>
    <n v="159"/>
    <n v="9"/>
    <n v="1431"/>
  </r>
  <r>
    <s v="0535"/>
    <x v="155"/>
    <n v="19"/>
    <x v="13"/>
    <x v="3"/>
    <x v="3"/>
    <x v="0"/>
    <n v="199"/>
    <n v="2"/>
    <n v="398"/>
  </r>
  <r>
    <s v="0536"/>
    <x v="155"/>
    <n v="17"/>
    <x v="6"/>
    <x v="4"/>
    <x v="3"/>
    <x v="3"/>
    <n v="69"/>
    <n v="0"/>
    <n v="0"/>
  </r>
  <r>
    <s v="0537"/>
    <x v="156"/>
    <n v="9"/>
    <x v="2"/>
    <x v="5"/>
    <x v="2"/>
    <x v="0"/>
    <n v="199"/>
    <n v="1"/>
    <n v="199"/>
  </r>
  <r>
    <s v="0538"/>
    <x v="156"/>
    <n v="8"/>
    <x v="10"/>
    <x v="5"/>
    <x v="2"/>
    <x v="0"/>
    <n v="199"/>
    <n v="2"/>
    <n v="398"/>
  </r>
  <r>
    <s v="0539"/>
    <x v="157"/>
    <n v="19"/>
    <x v="13"/>
    <x v="3"/>
    <x v="3"/>
    <x v="0"/>
    <n v="199"/>
    <n v="0"/>
    <n v="0"/>
  </r>
  <r>
    <s v="0540"/>
    <x v="158"/>
    <n v="9"/>
    <x v="2"/>
    <x v="5"/>
    <x v="2"/>
    <x v="2"/>
    <n v="159"/>
    <n v="3"/>
    <n v="477"/>
  </r>
  <r>
    <s v="0541"/>
    <x v="158"/>
    <n v="9"/>
    <x v="2"/>
    <x v="5"/>
    <x v="2"/>
    <x v="1"/>
    <n v="289"/>
    <n v="9"/>
    <n v="2601"/>
  </r>
  <r>
    <s v="0542"/>
    <x v="158"/>
    <n v="9"/>
    <x v="2"/>
    <x v="5"/>
    <x v="2"/>
    <x v="4"/>
    <n v="399"/>
    <n v="5"/>
    <n v="1995"/>
  </r>
  <r>
    <s v="0543"/>
    <x v="158"/>
    <n v="20"/>
    <x v="8"/>
    <x v="4"/>
    <x v="3"/>
    <x v="2"/>
    <n v="159"/>
    <n v="5"/>
    <n v="795"/>
  </r>
  <r>
    <s v="0544"/>
    <x v="159"/>
    <n v="9"/>
    <x v="2"/>
    <x v="5"/>
    <x v="2"/>
    <x v="1"/>
    <n v="289"/>
    <n v="6"/>
    <n v="1734"/>
  </r>
  <r>
    <s v="0545"/>
    <x v="159"/>
    <n v="14"/>
    <x v="7"/>
    <x v="6"/>
    <x v="0"/>
    <x v="4"/>
    <n v="399"/>
    <n v="0"/>
    <n v="0"/>
  </r>
  <r>
    <s v="0546"/>
    <x v="160"/>
    <n v="4"/>
    <x v="12"/>
    <x v="7"/>
    <x v="1"/>
    <x v="0"/>
    <n v="199"/>
    <n v="5"/>
    <n v="995"/>
  </r>
  <r>
    <s v="0547"/>
    <x v="161"/>
    <n v="6"/>
    <x v="11"/>
    <x v="2"/>
    <x v="2"/>
    <x v="3"/>
    <n v="69"/>
    <n v="7"/>
    <n v="483"/>
  </r>
  <r>
    <s v="0548"/>
    <x v="161"/>
    <n v="2"/>
    <x v="18"/>
    <x v="7"/>
    <x v="1"/>
    <x v="0"/>
    <n v="199"/>
    <n v="7"/>
    <n v="1393"/>
  </r>
  <r>
    <s v="0549"/>
    <x v="161"/>
    <n v="17"/>
    <x v="6"/>
    <x v="3"/>
    <x v="3"/>
    <x v="0"/>
    <n v="199"/>
    <n v="2"/>
    <n v="398"/>
  </r>
  <r>
    <s v="0550"/>
    <x v="161"/>
    <n v="18"/>
    <x v="3"/>
    <x v="3"/>
    <x v="3"/>
    <x v="2"/>
    <n v="159"/>
    <n v="0"/>
    <n v="0"/>
  </r>
  <r>
    <s v="0551"/>
    <x v="161"/>
    <n v="5"/>
    <x v="15"/>
    <x v="1"/>
    <x v="1"/>
    <x v="3"/>
    <n v="69"/>
    <n v="5"/>
    <n v="345"/>
  </r>
  <r>
    <s v="0552"/>
    <x v="161"/>
    <n v="2"/>
    <x v="18"/>
    <x v="7"/>
    <x v="1"/>
    <x v="1"/>
    <n v="289"/>
    <n v="5"/>
    <n v="1445"/>
  </r>
  <r>
    <s v="0553"/>
    <x v="161"/>
    <n v="11"/>
    <x v="0"/>
    <x v="0"/>
    <x v="0"/>
    <x v="4"/>
    <n v="399"/>
    <n v="0"/>
    <n v="0"/>
  </r>
  <r>
    <s v="0554"/>
    <x v="162"/>
    <n v="19"/>
    <x v="13"/>
    <x v="3"/>
    <x v="3"/>
    <x v="0"/>
    <n v="199"/>
    <n v="4"/>
    <n v="796"/>
  </r>
  <r>
    <s v="0555"/>
    <x v="162"/>
    <n v="6"/>
    <x v="11"/>
    <x v="2"/>
    <x v="2"/>
    <x v="0"/>
    <n v="199"/>
    <n v="9"/>
    <n v="1791"/>
  </r>
  <r>
    <s v="0556"/>
    <x v="162"/>
    <n v="10"/>
    <x v="14"/>
    <x v="5"/>
    <x v="2"/>
    <x v="4"/>
    <n v="399"/>
    <n v="0"/>
    <n v="0"/>
  </r>
  <r>
    <s v="0557"/>
    <x v="162"/>
    <n v="5"/>
    <x v="15"/>
    <x v="7"/>
    <x v="1"/>
    <x v="2"/>
    <n v="159"/>
    <n v="1"/>
    <n v="159"/>
  </r>
  <r>
    <s v="0558"/>
    <x v="163"/>
    <n v="14"/>
    <x v="7"/>
    <x v="6"/>
    <x v="0"/>
    <x v="4"/>
    <n v="399"/>
    <n v="9"/>
    <n v="3591"/>
  </r>
  <r>
    <s v="0559"/>
    <x v="163"/>
    <n v="2"/>
    <x v="18"/>
    <x v="7"/>
    <x v="1"/>
    <x v="1"/>
    <n v="289"/>
    <n v="2"/>
    <n v="578"/>
  </r>
  <r>
    <s v="0560"/>
    <x v="163"/>
    <n v="15"/>
    <x v="19"/>
    <x v="6"/>
    <x v="0"/>
    <x v="1"/>
    <n v="289"/>
    <n v="5"/>
    <n v="1445"/>
  </r>
  <r>
    <s v="0561"/>
    <x v="164"/>
    <n v="13"/>
    <x v="5"/>
    <x v="0"/>
    <x v="0"/>
    <x v="1"/>
    <n v="289"/>
    <n v="3"/>
    <n v="867"/>
  </r>
  <r>
    <s v="0562"/>
    <x v="165"/>
    <n v="17"/>
    <x v="6"/>
    <x v="4"/>
    <x v="3"/>
    <x v="1"/>
    <n v="289"/>
    <n v="6"/>
    <n v="1734"/>
  </r>
  <r>
    <s v="0563"/>
    <x v="166"/>
    <n v="13"/>
    <x v="5"/>
    <x v="0"/>
    <x v="0"/>
    <x v="4"/>
    <n v="399"/>
    <n v="0"/>
    <n v="0"/>
  </r>
  <r>
    <s v="0564"/>
    <x v="166"/>
    <n v="15"/>
    <x v="19"/>
    <x v="0"/>
    <x v="0"/>
    <x v="4"/>
    <n v="399"/>
    <n v="6"/>
    <n v="2394"/>
  </r>
  <r>
    <s v="0565"/>
    <x v="166"/>
    <n v="1"/>
    <x v="1"/>
    <x v="1"/>
    <x v="1"/>
    <x v="0"/>
    <n v="199"/>
    <n v="0"/>
    <n v="0"/>
  </r>
  <r>
    <s v="0566"/>
    <x v="166"/>
    <n v="10"/>
    <x v="14"/>
    <x v="2"/>
    <x v="2"/>
    <x v="2"/>
    <n v="159"/>
    <n v="8"/>
    <n v="1272"/>
  </r>
  <r>
    <s v="0567"/>
    <x v="166"/>
    <n v="1"/>
    <x v="1"/>
    <x v="7"/>
    <x v="1"/>
    <x v="2"/>
    <n v="159"/>
    <n v="8"/>
    <n v="1272"/>
  </r>
  <r>
    <s v="0568"/>
    <x v="166"/>
    <n v="14"/>
    <x v="7"/>
    <x v="6"/>
    <x v="0"/>
    <x v="4"/>
    <n v="399"/>
    <n v="0"/>
    <n v="0"/>
  </r>
  <r>
    <s v="0569"/>
    <x v="167"/>
    <n v="18"/>
    <x v="3"/>
    <x v="3"/>
    <x v="3"/>
    <x v="2"/>
    <n v="159"/>
    <n v="7"/>
    <n v="1113"/>
  </r>
  <r>
    <s v="0570"/>
    <x v="168"/>
    <n v="3"/>
    <x v="9"/>
    <x v="7"/>
    <x v="1"/>
    <x v="1"/>
    <n v="289"/>
    <n v="3"/>
    <n v="867"/>
  </r>
  <r>
    <s v="0571"/>
    <x v="168"/>
    <n v="3"/>
    <x v="9"/>
    <x v="7"/>
    <x v="1"/>
    <x v="1"/>
    <n v="289"/>
    <n v="1"/>
    <n v="289"/>
  </r>
  <r>
    <s v="0572"/>
    <x v="168"/>
    <n v="11"/>
    <x v="0"/>
    <x v="6"/>
    <x v="0"/>
    <x v="2"/>
    <n v="159"/>
    <n v="4"/>
    <n v="636"/>
  </r>
  <r>
    <s v="0573"/>
    <x v="169"/>
    <n v="20"/>
    <x v="8"/>
    <x v="3"/>
    <x v="3"/>
    <x v="4"/>
    <n v="399"/>
    <n v="5"/>
    <n v="1995"/>
  </r>
  <r>
    <s v="0574"/>
    <x v="170"/>
    <n v="5"/>
    <x v="15"/>
    <x v="1"/>
    <x v="1"/>
    <x v="2"/>
    <n v="159"/>
    <n v="3"/>
    <n v="477"/>
  </r>
  <r>
    <s v="0575"/>
    <x v="170"/>
    <n v="18"/>
    <x v="3"/>
    <x v="4"/>
    <x v="3"/>
    <x v="3"/>
    <n v="69"/>
    <n v="1"/>
    <n v="69"/>
  </r>
  <r>
    <s v="0576"/>
    <x v="170"/>
    <n v="4"/>
    <x v="12"/>
    <x v="7"/>
    <x v="1"/>
    <x v="3"/>
    <n v="69"/>
    <n v="3"/>
    <n v="207"/>
  </r>
  <r>
    <s v="0577"/>
    <x v="170"/>
    <n v="12"/>
    <x v="16"/>
    <x v="0"/>
    <x v="0"/>
    <x v="2"/>
    <n v="159"/>
    <n v="6"/>
    <n v="954"/>
  </r>
  <r>
    <s v="0578"/>
    <x v="171"/>
    <n v="14"/>
    <x v="7"/>
    <x v="0"/>
    <x v="0"/>
    <x v="4"/>
    <n v="399"/>
    <n v="9"/>
    <n v="3591"/>
  </r>
  <r>
    <s v="0579"/>
    <x v="172"/>
    <n v="7"/>
    <x v="17"/>
    <x v="2"/>
    <x v="2"/>
    <x v="4"/>
    <n v="399"/>
    <n v="0"/>
    <n v="0"/>
  </r>
  <r>
    <s v="0580"/>
    <x v="172"/>
    <n v="15"/>
    <x v="19"/>
    <x v="6"/>
    <x v="0"/>
    <x v="2"/>
    <n v="159"/>
    <n v="6"/>
    <n v="954"/>
  </r>
  <r>
    <s v="0581"/>
    <x v="172"/>
    <n v="15"/>
    <x v="19"/>
    <x v="0"/>
    <x v="0"/>
    <x v="2"/>
    <n v="159"/>
    <n v="8"/>
    <n v="1272"/>
  </r>
  <r>
    <s v="0582"/>
    <x v="172"/>
    <n v="15"/>
    <x v="19"/>
    <x v="6"/>
    <x v="0"/>
    <x v="4"/>
    <n v="399"/>
    <n v="4"/>
    <n v="1596"/>
  </r>
  <r>
    <s v="0583"/>
    <x v="172"/>
    <n v="10"/>
    <x v="14"/>
    <x v="5"/>
    <x v="2"/>
    <x v="4"/>
    <n v="399"/>
    <n v="3"/>
    <n v="1197"/>
  </r>
  <r>
    <s v="0584"/>
    <x v="172"/>
    <n v="18"/>
    <x v="3"/>
    <x v="4"/>
    <x v="3"/>
    <x v="3"/>
    <n v="69"/>
    <n v="0"/>
    <n v="0"/>
  </r>
  <r>
    <s v="0585"/>
    <x v="172"/>
    <n v="5"/>
    <x v="15"/>
    <x v="1"/>
    <x v="1"/>
    <x v="0"/>
    <n v="199"/>
    <n v="1"/>
    <n v="199"/>
  </r>
  <r>
    <s v="0586"/>
    <x v="172"/>
    <n v="4"/>
    <x v="12"/>
    <x v="1"/>
    <x v="1"/>
    <x v="1"/>
    <n v="289"/>
    <n v="5"/>
    <n v="1445"/>
  </r>
  <r>
    <s v="0587"/>
    <x v="172"/>
    <n v="20"/>
    <x v="8"/>
    <x v="4"/>
    <x v="3"/>
    <x v="3"/>
    <n v="69"/>
    <n v="3"/>
    <n v="207"/>
  </r>
  <r>
    <s v="0588"/>
    <x v="173"/>
    <n v="17"/>
    <x v="6"/>
    <x v="3"/>
    <x v="3"/>
    <x v="3"/>
    <n v="69"/>
    <n v="1"/>
    <n v="69"/>
  </r>
  <r>
    <s v="0589"/>
    <x v="174"/>
    <n v="5"/>
    <x v="15"/>
    <x v="1"/>
    <x v="1"/>
    <x v="4"/>
    <n v="399"/>
    <n v="3"/>
    <n v="1197"/>
  </r>
  <r>
    <s v="0590"/>
    <x v="174"/>
    <n v="18"/>
    <x v="3"/>
    <x v="4"/>
    <x v="3"/>
    <x v="2"/>
    <n v="159"/>
    <n v="5"/>
    <n v="795"/>
  </r>
  <r>
    <s v="0591"/>
    <x v="175"/>
    <n v="4"/>
    <x v="12"/>
    <x v="7"/>
    <x v="1"/>
    <x v="1"/>
    <n v="289"/>
    <n v="3"/>
    <n v="867"/>
  </r>
  <r>
    <s v="0592"/>
    <x v="176"/>
    <n v="6"/>
    <x v="11"/>
    <x v="5"/>
    <x v="2"/>
    <x v="1"/>
    <n v="289"/>
    <n v="9"/>
    <n v="2601"/>
  </r>
  <r>
    <s v="0593"/>
    <x v="176"/>
    <n v="17"/>
    <x v="6"/>
    <x v="3"/>
    <x v="3"/>
    <x v="3"/>
    <n v="69"/>
    <n v="9"/>
    <n v="621"/>
  </r>
  <r>
    <s v="0594"/>
    <x v="176"/>
    <n v="2"/>
    <x v="18"/>
    <x v="7"/>
    <x v="1"/>
    <x v="1"/>
    <n v="289"/>
    <n v="1"/>
    <n v="289"/>
  </r>
  <r>
    <s v="0595"/>
    <x v="176"/>
    <n v="10"/>
    <x v="14"/>
    <x v="5"/>
    <x v="2"/>
    <x v="0"/>
    <n v="199"/>
    <n v="6"/>
    <n v="1194"/>
  </r>
  <r>
    <s v="0596"/>
    <x v="176"/>
    <n v="11"/>
    <x v="0"/>
    <x v="6"/>
    <x v="0"/>
    <x v="4"/>
    <n v="399"/>
    <n v="9"/>
    <n v="3591"/>
  </r>
  <r>
    <s v="0597"/>
    <x v="177"/>
    <n v="4"/>
    <x v="12"/>
    <x v="1"/>
    <x v="1"/>
    <x v="3"/>
    <n v="69"/>
    <n v="8"/>
    <n v="552"/>
  </r>
  <r>
    <s v="0598"/>
    <x v="178"/>
    <n v="10"/>
    <x v="14"/>
    <x v="2"/>
    <x v="2"/>
    <x v="4"/>
    <n v="399"/>
    <n v="9"/>
    <n v="3591"/>
  </r>
  <r>
    <s v="0599"/>
    <x v="178"/>
    <n v="2"/>
    <x v="18"/>
    <x v="1"/>
    <x v="1"/>
    <x v="2"/>
    <n v="159"/>
    <n v="5"/>
    <n v="795"/>
  </r>
  <r>
    <s v="0600"/>
    <x v="178"/>
    <n v="5"/>
    <x v="15"/>
    <x v="1"/>
    <x v="1"/>
    <x v="1"/>
    <n v="289"/>
    <n v="0"/>
    <n v="0"/>
  </r>
  <r>
    <s v="0601"/>
    <x v="178"/>
    <n v="10"/>
    <x v="14"/>
    <x v="5"/>
    <x v="2"/>
    <x v="3"/>
    <n v="69"/>
    <n v="3"/>
    <n v="207"/>
  </r>
  <r>
    <s v="0602"/>
    <x v="178"/>
    <n v="12"/>
    <x v="16"/>
    <x v="6"/>
    <x v="0"/>
    <x v="0"/>
    <n v="199"/>
    <n v="3"/>
    <n v="597"/>
  </r>
  <r>
    <s v="0603"/>
    <x v="178"/>
    <n v="11"/>
    <x v="0"/>
    <x v="0"/>
    <x v="0"/>
    <x v="1"/>
    <n v="289"/>
    <n v="7"/>
    <n v="2023"/>
  </r>
  <r>
    <s v="0604"/>
    <x v="178"/>
    <n v="1"/>
    <x v="1"/>
    <x v="7"/>
    <x v="1"/>
    <x v="1"/>
    <n v="289"/>
    <n v="8"/>
    <n v="2312"/>
  </r>
  <r>
    <s v="0605"/>
    <x v="179"/>
    <n v="15"/>
    <x v="19"/>
    <x v="6"/>
    <x v="0"/>
    <x v="2"/>
    <n v="159"/>
    <n v="5"/>
    <n v="795"/>
  </r>
  <r>
    <s v="0606"/>
    <x v="180"/>
    <n v="12"/>
    <x v="16"/>
    <x v="0"/>
    <x v="0"/>
    <x v="1"/>
    <n v="289"/>
    <n v="3"/>
    <n v="867"/>
  </r>
  <r>
    <s v="0607"/>
    <x v="180"/>
    <n v="20"/>
    <x v="8"/>
    <x v="3"/>
    <x v="3"/>
    <x v="4"/>
    <n v="399"/>
    <n v="7"/>
    <n v="2793"/>
  </r>
  <r>
    <s v="0608"/>
    <x v="180"/>
    <n v="12"/>
    <x v="16"/>
    <x v="0"/>
    <x v="0"/>
    <x v="3"/>
    <n v="69"/>
    <n v="4"/>
    <n v="276"/>
  </r>
  <r>
    <s v="0609"/>
    <x v="180"/>
    <n v="19"/>
    <x v="13"/>
    <x v="3"/>
    <x v="3"/>
    <x v="3"/>
    <n v="69"/>
    <n v="4"/>
    <n v="276"/>
  </r>
  <r>
    <s v="0610"/>
    <x v="181"/>
    <n v="12"/>
    <x v="16"/>
    <x v="6"/>
    <x v="0"/>
    <x v="3"/>
    <n v="69"/>
    <n v="8"/>
    <n v="552"/>
  </r>
  <r>
    <s v="0611"/>
    <x v="181"/>
    <n v="10"/>
    <x v="14"/>
    <x v="5"/>
    <x v="2"/>
    <x v="1"/>
    <n v="289"/>
    <n v="9"/>
    <n v="2601"/>
  </r>
  <r>
    <s v="0612"/>
    <x v="181"/>
    <n v="17"/>
    <x v="6"/>
    <x v="3"/>
    <x v="3"/>
    <x v="1"/>
    <n v="289"/>
    <n v="9"/>
    <n v="2601"/>
  </r>
  <r>
    <s v="0613"/>
    <x v="182"/>
    <n v="15"/>
    <x v="19"/>
    <x v="6"/>
    <x v="0"/>
    <x v="3"/>
    <n v="69"/>
    <n v="2"/>
    <n v="138"/>
  </r>
  <r>
    <s v="0614"/>
    <x v="183"/>
    <n v="20"/>
    <x v="8"/>
    <x v="4"/>
    <x v="3"/>
    <x v="1"/>
    <n v="289"/>
    <n v="0"/>
    <n v="0"/>
  </r>
  <r>
    <s v="0615"/>
    <x v="184"/>
    <n v="10"/>
    <x v="14"/>
    <x v="2"/>
    <x v="2"/>
    <x v="2"/>
    <n v="159"/>
    <n v="2"/>
    <n v="318"/>
  </r>
  <r>
    <s v="0616"/>
    <x v="185"/>
    <n v="11"/>
    <x v="0"/>
    <x v="6"/>
    <x v="0"/>
    <x v="3"/>
    <n v="69"/>
    <n v="7"/>
    <n v="483"/>
  </r>
  <r>
    <s v="0617"/>
    <x v="186"/>
    <n v="19"/>
    <x v="13"/>
    <x v="4"/>
    <x v="3"/>
    <x v="0"/>
    <n v="199"/>
    <n v="8"/>
    <n v="1592"/>
  </r>
  <r>
    <s v="0618"/>
    <x v="186"/>
    <n v="19"/>
    <x v="13"/>
    <x v="4"/>
    <x v="3"/>
    <x v="4"/>
    <n v="399"/>
    <n v="0"/>
    <n v="0"/>
  </r>
  <r>
    <s v="0619"/>
    <x v="187"/>
    <n v="17"/>
    <x v="6"/>
    <x v="4"/>
    <x v="3"/>
    <x v="1"/>
    <n v="289"/>
    <n v="6"/>
    <n v="1734"/>
  </r>
  <r>
    <s v="0620"/>
    <x v="187"/>
    <n v="20"/>
    <x v="8"/>
    <x v="4"/>
    <x v="3"/>
    <x v="2"/>
    <n v="159"/>
    <n v="9"/>
    <n v="1431"/>
  </r>
  <r>
    <s v="0621"/>
    <x v="187"/>
    <n v="10"/>
    <x v="14"/>
    <x v="5"/>
    <x v="2"/>
    <x v="2"/>
    <n v="159"/>
    <n v="7"/>
    <n v="1113"/>
  </r>
  <r>
    <s v="0622"/>
    <x v="187"/>
    <n v="13"/>
    <x v="5"/>
    <x v="6"/>
    <x v="0"/>
    <x v="2"/>
    <n v="159"/>
    <n v="9"/>
    <n v="1431"/>
  </r>
  <r>
    <s v="0623"/>
    <x v="187"/>
    <n v="14"/>
    <x v="7"/>
    <x v="6"/>
    <x v="0"/>
    <x v="0"/>
    <n v="199"/>
    <n v="0"/>
    <n v="0"/>
  </r>
  <r>
    <s v="0624"/>
    <x v="188"/>
    <n v="3"/>
    <x v="9"/>
    <x v="7"/>
    <x v="1"/>
    <x v="0"/>
    <n v="199"/>
    <n v="4"/>
    <n v="796"/>
  </r>
  <r>
    <s v="0625"/>
    <x v="188"/>
    <n v="17"/>
    <x v="6"/>
    <x v="3"/>
    <x v="3"/>
    <x v="4"/>
    <n v="399"/>
    <n v="8"/>
    <n v="3192"/>
  </r>
  <r>
    <s v="0626"/>
    <x v="188"/>
    <n v="1"/>
    <x v="1"/>
    <x v="1"/>
    <x v="1"/>
    <x v="1"/>
    <n v="289"/>
    <n v="0"/>
    <n v="0"/>
  </r>
  <r>
    <s v="0627"/>
    <x v="188"/>
    <n v="18"/>
    <x v="3"/>
    <x v="3"/>
    <x v="3"/>
    <x v="3"/>
    <n v="69"/>
    <n v="4"/>
    <n v="276"/>
  </r>
  <r>
    <s v="0628"/>
    <x v="188"/>
    <n v="14"/>
    <x v="7"/>
    <x v="0"/>
    <x v="0"/>
    <x v="4"/>
    <n v="399"/>
    <n v="5"/>
    <n v="1995"/>
  </r>
  <r>
    <s v="0629"/>
    <x v="188"/>
    <n v="2"/>
    <x v="18"/>
    <x v="7"/>
    <x v="1"/>
    <x v="3"/>
    <n v="69"/>
    <n v="6"/>
    <n v="414"/>
  </r>
  <r>
    <s v="0630"/>
    <x v="189"/>
    <n v="10"/>
    <x v="14"/>
    <x v="2"/>
    <x v="2"/>
    <x v="2"/>
    <n v="159"/>
    <n v="3"/>
    <n v="477"/>
  </r>
  <r>
    <s v="0631"/>
    <x v="190"/>
    <n v="13"/>
    <x v="5"/>
    <x v="0"/>
    <x v="0"/>
    <x v="0"/>
    <n v="199"/>
    <n v="4"/>
    <n v="796"/>
  </r>
  <r>
    <s v="0632"/>
    <x v="190"/>
    <n v="17"/>
    <x v="6"/>
    <x v="3"/>
    <x v="3"/>
    <x v="3"/>
    <n v="69"/>
    <n v="3"/>
    <n v="207"/>
  </r>
  <r>
    <s v="0633"/>
    <x v="191"/>
    <n v="20"/>
    <x v="8"/>
    <x v="3"/>
    <x v="3"/>
    <x v="2"/>
    <n v="159"/>
    <n v="3"/>
    <n v="477"/>
  </r>
  <r>
    <s v="0634"/>
    <x v="191"/>
    <n v="5"/>
    <x v="15"/>
    <x v="1"/>
    <x v="1"/>
    <x v="4"/>
    <n v="399"/>
    <n v="0"/>
    <n v="0"/>
  </r>
  <r>
    <s v="0635"/>
    <x v="191"/>
    <n v="3"/>
    <x v="9"/>
    <x v="1"/>
    <x v="1"/>
    <x v="2"/>
    <n v="159"/>
    <n v="5"/>
    <n v="795"/>
  </r>
  <r>
    <s v="0636"/>
    <x v="192"/>
    <n v="16"/>
    <x v="4"/>
    <x v="3"/>
    <x v="3"/>
    <x v="3"/>
    <n v="69"/>
    <n v="5"/>
    <n v="345"/>
  </r>
  <r>
    <s v="0637"/>
    <x v="193"/>
    <n v="17"/>
    <x v="6"/>
    <x v="3"/>
    <x v="3"/>
    <x v="2"/>
    <n v="159"/>
    <n v="6"/>
    <n v="954"/>
  </r>
  <r>
    <s v="0638"/>
    <x v="193"/>
    <n v="11"/>
    <x v="0"/>
    <x v="0"/>
    <x v="0"/>
    <x v="2"/>
    <n v="159"/>
    <n v="5"/>
    <n v="795"/>
  </r>
  <r>
    <s v="0639"/>
    <x v="193"/>
    <n v="16"/>
    <x v="4"/>
    <x v="3"/>
    <x v="3"/>
    <x v="4"/>
    <n v="399"/>
    <n v="3"/>
    <n v="1197"/>
  </r>
  <r>
    <s v="0640"/>
    <x v="194"/>
    <n v="20"/>
    <x v="8"/>
    <x v="4"/>
    <x v="3"/>
    <x v="1"/>
    <n v="289"/>
    <n v="4"/>
    <n v="1156"/>
  </r>
  <r>
    <s v="0641"/>
    <x v="194"/>
    <n v="10"/>
    <x v="14"/>
    <x v="5"/>
    <x v="2"/>
    <x v="4"/>
    <n v="399"/>
    <n v="7"/>
    <n v="2793"/>
  </r>
  <r>
    <s v="0642"/>
    <x v="195"/>
    <n v="10"/>
    <x v="14"/>
    <x v="5"/>
    <x v="2"/>
    <x v="4"/>
    <n v="399"/>
    <n v="9"/>
    <n v="3591"/>
  </r>
  <r>
    <s v="0643"/>
    <x v="195"/>
    <n v="13"/>
    <x v="5"/>
    <x v="0"/>
    <x v="0"/>
    <x v="4"/>
    <n v="399"/>
    <n v="8"/>
    <n v="3192"/>
  </r>
  <r>
    <s v="0644"/>
    <x v="196"/>
    <n v="6"/>
    <x v="11"/>
    <x v="5"/>
    <x v="2"/>
    <x v="0"/>
    <n v="199"/>
    <n v="6"/>
    <n v="1194"/>
  </r>
  <r>
    <s v="0645"/>
    <x v="196"/>
    <n v="1"/>
    <x v="1"/>
    <x v="1"/>
    <x v="1"/>
    <x v="3"/>
    <n v="69"/>
    <n v="9"/>
    <n v="621"/>
  </r>
  <r>
    <s v="0646"/>
    <x v="196"/>
    <n v="14"/>
    <x v="7"/>
    <x v="0"/>
    <x v="0"/>
    <x v="0"/>
    <n v="199"/>
    <n v="0"/>
    <n v="0"/>
  </r>
  <r>
    <s v="0647"/>
    <x v="196"/>
    <n v="13"/>
    <x v="5"/>
    <x v="0"/>
    <x v="0"/>
    <x v="1"/>
    <n v="289"/>
    <n v="3"/>
    <n v="867"/>
  </r>
  <r>
    <s v="0648"/>
    <x v="196"/>
    <n v="8"/>
    <x v="10"/>
    <x v="2"/>
    <x v="2"/>
    <x v="0"/>
    <n v="199"/>
    <n v="1"/>
    <n v="199"/>
  </r>
  <r>
    <s v="0649"/>
    <x v="197"/>
    <n v="8"/>
    <x v="10"/>
    <x v="5"/>
    <x v="2"/>
    <x v="4"/>
    <n v="399"/>
    <n v="5"/>
    <n v="1995"/>
  </r>
  <r>
    <s v="0650"/>
    <x v="197"/>
    <n v="13"/>
    <x v="5"/>
    <x v="6"/>
    <x v="0"/>
    <x v="1"/>
    <n v="289"/>
    <n v="3"/>
    <n v="867"/>
  </r>
  <r>
    <s v="0651"/>
    <x v="197"/>
    <n v="17"/>
    <x v="6"/>
    <x v="4"/>
    <x v="3"/>
    <x v="2"/>
    <n v="159"/>
    <n v="2"/>
    <n v="318"/>
  </r>
  <r>
    <s v="0652"/>
    <x v="197"/>
    <n v="15"/>
    <x v="19"/>
    <x v="6"/>
    <x v="0"/>
    <x v="2"/>
    <n v="159"/>
    <n v="3"/>
    <n v="477"/>
  </r>
  <r>
    <s v="0653"/>
    <x v="198"/>
    <n v="5"/>
    <x v="15"/>
    <x v="7"/>
    <x v="1"/>
    <x v="2"/>
    <n v="159"/>
    <n v="1"/>
    <n v="159"/>
  </r>
  <r>
    <s v="0654"/>
    <x v="198"/>
    <n v="1"/>
    <x v="1"/>
    <x v="1"/>
    <x v="1"/>
    <x v="3"/>
    <n v="69"/>
    <n v="0"/>
    <n v="0"/>
  </r>
  <r>
    <s v="0655"/>
    <x v="198"/>
    <n v="2"/>
    <x v="18"/>
    <x v="1"/>
    <x v="1"/>
    <x v="1"/>
    <n v="289"/>
    <n v="2"/>
    <n v="578"/>
  </r>
  <r>
    <s v="0656"/>
    <x v="198"/>
    <n v="12"/>
    <x v="16"/>
    <x v="6"/>
    <x v="0"/>
    <x v="2"/>
    <n v="159"/>
    <n v="5"/>
    <n v="795"/>
  </r>
  <r>
    <s v="0657"/>
    <x v="198"/>
    <n v="6"/>
    <x v="11"/>
    <x v="5"/>
    <x v="2"/>
    <x v="3"/>
    <n v="69"/>
    <n v="3"/>
    <n v="207"/>
  </r>
  <r>
    <s v="0658"/>
    <x v="198"/>
    <n v="5"/>
    <x v="15"/>
    <x v="1"/>
    <x v="1"/>
    <x v="2"/>
    <n v="159"/>
    <n v="9"/>
    <n v="1431"/>
  </r>
  <r>
    <s v="0659"/>
    <x v="199"/>
    <n v="15"/>
    <x v="19"/>
    <x v="6"/>
    <x v="0"/>
    <x v="0"/>
    <n v="199"/>
    <n v="1"/>
    <n v="199"/>
  </r>
  <r>
    <s v="0660"/>
    <x v="199"/>
    <n v="1"/>
    <x v="1"/>
    <x v="1"/>
    <x v="1"/>
    <x v="1"/>
    <n v="289"/>
    <n v="4"/>
    <n v="1156"/>
  </r>
  <r>
    <s v="0661"/>
    <x v="200"/>
    <n v="16"/>
    <x v="4"/>
    <x v="3"/>
    <x v="3"/>
    <x v="2"/>
    <n v="159"/>
    <n v="3"/>
    <n v="477"/>
  </r>
  <r>
    <s v="0662"/>
    <x v="200"/>
    <n v="9"/>
    <x v="2"/>
    <x v="5"/>
    <x v="2"/>
    <x v="3"/>
    <n v="69"/>
    <n v="2"/>
    <n v="138"/>
  </r>
  <r>
    <s v="0663"/>
    <x v="200"/>
    <n v="20"/>
    <x v="8"/>
    <x v="3"/>
    <x v="3"/>
    <x v="2"/>
    <n v="159"/>
    <n v="4"/>
    <n v="636"/>
  </r>
  <r>
    <s v="0664"/>
    <x v="201"/>
    <n v="14"/>
    <x v="7"/>
    <x v="6"/>
    <x v="0"/>
    <x v="4"/>
    <n v="399"/>
    <n v="5"/>
    <n v="1995"/>
  </r>
  <r>
    <s v="0665"/>
    <x v="202"/>
    <n v="1"/>
    <x v="1"/>
    <x v="1"/>
    <x v="1"/>
    <x v="4"/>
    <n v="399"/>
    <n v="8"/>
    <n v="3192"/>
  </r>
  <r>
    <s v="0666"/>
    <x v="202"/>
    <n v="13"/>
    <x v="5"/>
    <x v="6"/>
    <x v="0"/>
    <x v="3"/>
    <n v="69"/>
    <n v="0"/>
    <n v="0"/>
  </r>
  <r>
    <s v="0667"/>
    <x v="203"/>
    <n v="14"/>
    <x v="7"/>
    <x v="6"/>
    <x v="0"/>
    <x v="3"/>
    <n v="69"/>
    <n v="8"/>
    <n v="552"/>
  </r>
  <r>
    <s v="0668"/>
    <x v="204"/>
    <n v="10"/>
    <x v="14"/>
    <x v="2"/>
    <x v="2"/>
    <x v="3"/>
    <n v="69"/>
    <n v="2"/>
    <n v="138"/>
  </r>
  <r>
    <s v="0669"/>
    <x v="204"/>
    <n v="9"/>
    <x v="2"/>
    <x v="2"/>
    <x v="2"/>
    <x v="4"/>
    <n v="399"/>
    <n v="6"/>
    <n v="2394"/>
  </r>
  <r>
    <s v="0670"/>
    <x v="204"/>
    <n v="2"/>
    <x v="18"/>
    <x v="1"/>
    <x v="1"/>
    <x v="0"/>
    <n v="199"/>
    <n v="1"/>
    <n v="199"/>
  </r>
  <r>
    <s v="0671"/>
    <x v="204"/>
    <n v="13"/>
    <x v="5"/>
    <x v="0"/>
    <x v="0"/>
    <x v="4"/>
    <n v="399"/>
    <n v="1"/>
    <n v="399"/>
  </r>
  <r>
    <s v="0672"/>
    <x v="205"/>
    <n v="12"/>
    <x v="16"/>
    <x v="0"/>
    <x v="0"/>
    <x v="2"/>
    <n v="159"/>
    <n v="7"/>
    <n v="1113"/>
  </r>
  <r>
    <s v="0673"/>
    <x v="205"/>
    <n v="17"/>
    <x v="6"/>
    <x v="3"/>
    <x v="3"/>
    <x v="2"/>
    <n v="159"/>
    <n v="8"/>
    <n v="1272"/>
  </r>
  <r>
    <s v="0674"/>
    <x v="206"/>
    <n v="18"/>
    <x v="3"/>
    <x v="4"/>
    <x v="3"/>
    <x v="1"/>
    <n v="289"/>
    <n v="8"/>
    <n v="2312"/>
  </r>
  <r>
    <s v="0675"/>
    <x v="206"/>
    <n v="13"/>
    <x v="5"/>
    <x v="0"/>
    <x v="0"/>
    <x v="2"/>
    <n v="159"/>
    <n v="4"/>
    <n v="636"/>
  </r>
  <r>
    <s v="0676"/>
    <x v="206"/>
    <n v="15"/>
    <x v="19"/>
    <x v="0"/>
    <x v="0"/>
    <x v="3"/>
    <n v="69"/>
    <n v="4"/>
    <n v="276"/>
  </r>
  <r>
    <s v="0677"/>
    <x v="206"/>
    <n v="15"/>
    <x v="19"/>
    <x v="0"/>
    <x v="0"/>
    <x v="2"/>
    <n v="159"/>
    <n v="9"/>
    <n v="1431"/>
  </r>
  <r>
    <s v="0678"/>
    <x v="206"/>
    <n v="18"/>
    <x v="3"/>
    <x v="4"/>
    <x v="3"/>
    <x v="3"/>
    <n v="69"/>
    <n v="6"/>
    <n v="414"/>
  </r>
  <r>
    <s v="0679"/>
    <x v="206"/>
    <n v="7"/>
    <x v="17"/>
    <x v="2"/>
    <x v="2"/>
    <x v="2"/>
    <n v="159"/>
    <n v="6"/>
    <n v="954"/>
  </r>
  <r>
    <s v="0680"/>
    <x v="206"/>
    <n v="13"/>
    <x v="5"/>
    <x v="0"/>
    <x v="0"/>
    <x v="3"/>
    <n v="69"/>
    <n v="3"/>
    <n v="207"/>
  </r>
  <r>
    <s v="0681"/>
    <x v="206"/>
    <n v="3"/>
    <x v="9"/>
    <x v="7"/>
    <x v="1"/>
    <x v="3"/>
    <n v="69"/>
    <n v="4"/>
    <n v="276"/>
  </r>
  <r>
    <s v="0682"/>
    <x v="207"/>
    <n v="18"/>
    <x v="3"/>
    <x v="3"/>
    <x v="3"/>
    <x v="1"/>
    <n v="289"/>
    <n v="3"/>
    <n v="867"/>
  </r>
  <r>
    <s v="0683"/>
    <x v="207"/>
    <n v="16"/>
    <x v="4"/>
    <x v="4"/>
    <x v="3"/>
    <x v="1"/>
    <n v="289"/>
    <n v="6"/>
    <n v="1734"/>
  </r>
  <r>
    <s v="0684"/>
    <x v="207"/>
    <n v="18"/>
    <x v="3"/>
    <x v="3"/>
    <x v="3"/>
    <x v="2"/>
    <n v="159"/>
    <n v="3"/>
    <n v="477"/>
  </r>
  <r>
    <s v="0685"/>
    <x v="207"/>
    <n v="11"/>
    <x v="0"/>
    <x v="6"/>
    <x v="0"/>
    <x v="0"/>
    <n v="199"/>
    <n v="4"/>
    <n v="796"/>
  </r>
  <r>
    <s v="0686"/>
    <x v="207"/>
    <n v="1"/>
    <x v="1"/>
    <x v="7"/>
    <x v="1"/>
    <x v="3"/>
    <n v="69"/>
    <n v="1"/>
    <n v="69"/>
  </r>
  <r>
    <s v="0687"/>
    <x v="207"/>
    <n v="15"/>
    <x v="19"/>
    <x v="6"/>
    <x v="0"/>
    <x v="3"/>
    <n v="69"/>
    <n v="0"/>
    <n v="0"/>
  </r>
  <r>
    <s v="0688"/>
    <x v="207"/>
    <n v="19"/>
    <x v="13"/>
    <x v="3"/>
    <x v="3"/>
    <x v="0"/>
    <n v="199"/>
    <n v="5"/>
    <n v="995"/>
  </r>
  <r>
    <s v="0689"/>
    <x v="207"/>
    <n v="19"/>
    <x v="13"/>
    <x v="4"/>
    <x v="3"/>
    <x v="2"/>
    <n v="159"/>
    <n v="8"/>
    <n v="1272"/>
  </r>
  <r>
    <s v="0690"/>
    <x v="207"/>
    <n v="5"/>
    <x v="15"/>
    <x v="1"/>
    <x v="1"/>
    <x v="4"/>
    <n v="399"/>
    <n v="5"/>
    <n v="1995"/>
  </r>
  <r>
    <s v="0691"/>
    <x v="207"/>
    <n v="19"/>
    <x v="13"/>
    <x v="3"/>
    <x v="3"/>
    <x v="1"/>
    <n v="289"/>
    <n v="2"/>
    <n v="578"/>
  </r>
  <r>
    <s v="0692"/>
    <x v="207"/>
    <n v="7"/>
    <x v="17"/>
    <x v="5"/>
    <x v="2"/>
    <x v="1"/>
    <n v="289"/>
    <n v="4"/>
    <n v="1156"/>
  </r>
  <r>
    <s v="0693"/>
    <x v="207"/>
    <n v="11"/>
    <x v="0"/>
    <x v="0"/>
    <x v="0"/>
    <x v="0"/>
    <n v="199"/>
    <n v="5"/>
    <n v="995"/>
  </r>
  <r>
    <s v="0694"/>
    <x v="207"/>
    <n v="8"/>
    <x v="10"/>
    <x v="5"/>
    <x v="2"/>
    <x v="2"/>
    <n v="159"/>
    <n v="8"/>
    <n v="1272"/>
  </r>
  <r>
    <s v="0695"/>
    <x v="208"/>
    <n v="12"/>
    <x v="16"/>
    <x v="6"/>
    <x v="0"/>
    <x v="1"/>
    <n v="289"/>
    <n v="7"/>
    <n v="2023"/>
  </r>
  <r>
    <s v="0696"/>
    <x v="209"/>
    <n v="3"/>
    <x v="9"/>
    <x v="7"/>
    <x v="1"/>
    <x v="0"/>
    <n v="199"/>
    <n v="8"/>
    <n v="1592"/>
  </r>
  <r>
    <s v="0697"/>
    <x v="209"/>
    <n v="5"/>
    <x v="15"/>
    <x v="7"/>
    <x v="1"/>
    <x v="2"/>
    <n v="159"/>
    <n v="1"/>
    <n v="159"/>
  </r>
  <r>
    <s v="0698"/>
    <x v="210"/>
    <n v="8"/>
    <x v="10"/>
    <x v="5"/>
    <x v="2"/>
    <x v="1"/>
    <n v="289"/>
    <n v="9"/>
    <n v="2601"/>
  </r>
  <r>
    <s v="0699"/>
    <x v="211"/>
    <n v="5"/>
    <x v="15"/>
    <x v="7"/>
    <x v="1"/>
    <x v="0"/>
    <n v="199"/>
    <n v="3"/>
    <n v="597"/>
  </r>
  <r>
    <s v="0700"/>
    <x v="212"/>
    <n v="20"/>
    <x v="8"/>
    <x v="4"/>
    <x v="3"/>
    <x v="1"/>
    <n v="289"/>
    <n v="0"/>
    <n v="0"/>
  </r>
  <r>
    <s v="0701"/>
    <x v="213"/>
    <n v="15"/>
    <x v="19"/>
    <x v="0"/>
    <x v="0"/>
    <x v="1"/>
    <n v="289"/>
    <n v="2"/>
    <n v="578"/>
  </r>
  <r>
    <s v="0702"/>
    <x v="214"/>
    <n v="6"/>
    <x v="11"/>
    <x v="5"/>
    <x v="2"/>
    <x v="0"/>
    <n v="199"/>
    <n v="3"/>
    <n v="597"/>
  </r>
  <r>
    <s v="0703"/>
    <x v="214"/>
    <n v="19"/>
    <x v="13"/>
    <x v="4"/>
    <x v="3"/>
    <x v="1"/>
    <n v="289"/>
    <n v="9"/>
    <n v="2601"/>
  </r>
  <r>
    <s v="0704"/>
    <x v="214"/>
    <n v="15"/>
    <x v="19"/>
    <x v="0"/>
    <x v="0"/>
    <x v="1"/>
    <n v="289"/>
    <n v="6"/>
    <n v="1734"/>
  </r>
  <r>
    <s v="0705"/>
    <x v="214"/>
    <n v="14"/>
    <x v="7"/>
    <x v="0"/>
    <x v="0"/>
    <x v="1"/>
    <n v="289"/>
    <n v="0"/>
    <n v="0"/>
  </r>
  <r>
    <s v="0706"/>
    <x v="214"/>
    <n v="7"/>
    <x v="17"/>
    <x v="5"/>
    <x v="2"/>
    <x v="2"/>
    <n v="159"/>
    <n v="2"/>
    <n v="318"/>
  </r>
  <r>
    <s v="0707"/>
    <x v="214"/>
    <n v="10"/>
    <x v="14"/>
    <x v="5"/>
    <x v="2"/>
    <x v="0"/>
    <n v="199"/>
    <n v="1"/>
    <n v="199"/>
  </r>
  <r>
    <s v="0708"/>
    <x v="214"/>
    <n v="1"/>
    <x v="1"/>
    <x v="1"/>
    <x v="1"/>
    <x v="1"/>
    <n v="289"/>
    <n v="4"/>
    <n v="1156"/>
  </r>
  <r>
    <s v="0709"/>
    <x v="214"/>
    <n v="1"/>
    <x v="1"/>
    <x v="1"/>
    <x v="1"/>
    <x v="2"/>
    <n v="159"/>
    <n v="9"/>
    <n v="1431"/>
  </r>
  <r>
    <s v="0710"/>
    <x v="214"/>
    <n v="13"/>
    <x v="5"/>
    <x v="0"/>
    <x v="0"/>
    <x v="1"/>
    <n v="289"/>
    <n v="8"/>
    <n v="2312"/>
  </r>
  <r>
    <s v="0711"/>
    <x v="214"/>
    <n v="19"/>
    <x v="13"/>
    <x v="3"/>
    <x v="3"/>
    <x v="0"/>
    <n v="199"/>
    <n v="1"/>
    <n v="199"/>
  </r>
  <r>
    <s v="0712"/>
    <x v="215"/>
    <n v="12"/>
    <x v="16"/>
    <x v="0"/>
    <x v="0"/>
    <x v="2"/>
    <n v="159"/>
    <n v="0"/>
    <n v="0"/>
  </r>
  <r>
    <s v="0713"/>
    <x v="215"/>
    <n v="19"/>
    <x v="13"/>
    <x v="3"/>
    <x v="3"/>
    <x v="2"/>
    <n v="159"/>
    <n v="8"/>
    <n v="1272"/>
  </r>
  <r>
    <s v="0714"/>
    <x v="216"/>
    <n v="4"/>
    <x v="12"/>
    <x v="1"/>
    <x v="1"/>
    <x v="1"/>
    <n v="289"/>
    <n v="6"/>
    <n v="1734"/>
  </r>
  <r>
    <s v="0715"/>
    <x v="216"/>
    <n v="13"/>
    <x v="5"/>
    <x v="6"/>
    <x v="0"/>
    <x v="2"/>
    <n v="159"/>
    <n v="5"/>
    <n v="795"/>
  </r>
  <r>
    <s v="0716"/>
    <x v="216"/>
    <n v="4"/>
    <x v="12"/>
    <x v="1"/>
    <x v="1"/>
    <x v="3"/>
    <n v="69"/>
    <n v="8"/>
    <n v="552"/>
  </r>
  <r>
    <s v="0717"/>
    <x v="216"/>
    <n v="12"/>
    <x v="16"/>
    <x v="0"/>
    <x v="0"/>
    <x v="0"/>
    <n v="199"/>
    <n v="2"/>
    <n v="398"/>
  </r>
  <r>
    <s v="0718"/>
    <x v="217"/>
    <n v="13"/>
    <x v="5"/>
    <x v="6"/>
    <x v="0"/>
    <x v="2"/>
    <n v="159"/>
    <n v="3"/>
    <n v="477"/>
  </r>
  <r>
    <s v="0719"/>
    <x v="217"/>
    <n v="2"/>
    <x v="18"/>
    <x v="7"/>
    <x v="1"/>
    <x v="2"/>
    <n v="159"/>
    <n v="4"/>
    <n v="636"/>
  </r>
  <r>
    <s v="0720"/>
    <x v="218"/>
    <n v="9"/>
    <x v="2"/>
    <x v="5"/>
    <x v="2"/>
    <x v="1"/>
    <n v="289"/>
    <n v="9"/>
    <n v="2601"/>
  </r>
  <r>
    <s v="0721"/>
    <x v="218"/>
    <n v="7"/>
    <x v="17"/>
    <x v="5"/>
    <x v="2"/>
    <x v="2"/>
    <n v="159"/>
    <n v="5"/>
    <n v="795"/>
  </r>
  <r>
    <s v="0722"/>
    <x v="218"/>
    <n v="11"/>
    <x v="0"/>
    <x v="6"/>
    <x v="0"/>
    <x v="2"/>
    <n v="159"/>
    <n v="4"/>
    <n v="636"/>
  </r>
  <r>
    <s v="0723"/>
    <x v="219"/>
    <n v="8"/>
    <x v="10"/>
    <x v="5"/>
    <x v="2"/>
    <x v="4"/>
    <n v="399"/>
    <n v="2"/>
    <n v="798"/>
  </r>
  <r>
    <s v="0724"/>
    <x v="219"/>
    <n v="7"/>
    <x v="17"/>
    <x v="5"/>
    <x v="2"/>
    <x v="1"/>
    <n v="289"/>
    <n v="5"/>
    <n v="1445"/>
  </r>
  <r>
    <s v="0725"/>
    <x v="219"/>
    <n v="8"/>
    <x v="10"/>
    <x v="2"/>
    <x v="2"/>
    <x v="1"/>
    <n v="289"/>
    <n v="2"/>
    <n v="578"/>
  </r>
  <r>
    <s v="0726"/>
    <x v="219"/>
    <n v="8"/>
    <x v="10"/>
    <x v="5"/>
    <x v="2"/>
    <x v="1"/>
    <n v="289"/>
    <n v="1"/>
    <n v="289"/>
  </r>
  <r>
    <s v="0727"/>
    <x v="219"/>
    <n v="17"/>
    <x v="6"/>
    <x v="4"/>
    <x v="3"/>
    <x v="3"/>
    <n v="69"/>
    <n v="3"/>
    <n v="207"/>
  </r>
  <r>
    <s v="0728"/>
    <x v="220"/>
    <n v="10"/>
    <x v="14"/>
    <x v="2"/>
    <x v="2"/>
    <x v="1"/>
    <n v="289"/>
    <n v="7"/>
    <n v="2023"/>
  </r>
  <r>
    <s v="0729"/>
    <x v="220"/>
    <n v="6"/>
    <x v="11"/>
    <x v="5"/>
    <x v="2"/>
    <x v="0"/>
    <n v="199"/>
    <n v="7"/>
    <n v="1393"/>
  </r>
  <r>
    <s v="0730"/>
    <x v="221"/>
    <n v="18"/>
    <x v="3"/>
    <x v="4"/>
    <x v="3"/>
    <x v="4"/>
    <n v="399"/>
    <n v="4"/>
    <n v="1596"/>
  </r>
  <r>
    <s v="0731"/>
    <x v="221"/>
    <n v="13"/>
    <x v="5"/>
    <x v="0"/>
    <x v="0"/>
    <x v="4"/>
    <n v="399"/>
    <n v="4"/>
    <n v="1596"/>
  </r>
  <r>
    <s v="0732"/>
    <x v="221"/>
    <n v="1"/>
    <x v="1"/>
    <x v="7"/>
    <x v="1"/>
    <x v="1"/>
    <n v="289"/>
    <n v="6"/>
    <n v="1734"/>
  </r>
  <r>
    <s v="0733"/>
    <x v="221"/>
    <n v="17"/>
    <x v="6"/>
    <x v="4"/>
    <x v="3"/>
    <x v="2"/>
    <n v="159"/>
    <n v="4"/>
    <n v="636"/>
  </r>
  <r>
    <s v="0734"/>
    <x v="221"/>
    <n v="3"/>
    <x v="9"/>
    <x v="1"/>
    <x v="1"/>
    <x v="1"/>
    <n v="289"/>
    <n v="2"/>
    <n v="578"/>
  </r>
  <r>
    <s v="0735"/>
    <x v="222"/>
    <n v="3"/>
    <x v="9"/>
    <x v="7"/>
    <x v="1"/>
    <x v="4"/>
    <n v="399"/>
    <n v="0"/>
    <n v="0"/>
  </r>
  <r>
    <s v="0736"/>
    <x v="222"/>
    <n v="14"/>
    <x v="7"/>
    <x v="0"/>
    <x v="0"/>
    <x v="2"/>
    <n v="159"/>
    <n v="6"/>
    <n v="954"/>
  </r>
  <r>
    <s v="0737"/>
    <x v="222"/>
    <n v="12"/>
    <x v="16"/>
    <x v="6"/>
    <x v="0"/>
    <x v="2"/>
    <n v="159"/>
    <n v="5"/>
    <n v="795"/>
  </r>
  <r>
    <s v="0738"/>
    <x v="223"/>
    <n v="8"/>
    <x v="10"/>
    <x v="2"/>
    <x v="2"/>
    <x v="4"/>
    <n v="399"/>
    <n v="7"/>
    <n v="2793"/>
  </r>
  <r>
    <s v="0739"/>
    <x v="224"/>
    <n v="1"/>
    <x v="1"/>
    <x v="7"/>
    <x v="1"/>
    <x v="3"/>
    <n v="69"/>
    <n v="6"/>
    <n v="414"/>
  </r>
  <r>
    <s v="0740"/>
    <x v="224"/>
    <n v="19"/>
    <x v="13"/>
    <x v="4"/>
    <x v="3"/>
    <x v="0"/>
    <n v="199"/>
    <n v="4"/>
    <n v="796"/>
  </r>
  <r>
    <s v="0741"/>
    <x v="225"/>
    <n v="1"/>
    <x v="1"/>
    <x v="7"/>
    <x v="1"/>
    <x v="1"/>
    <n v="289"/>
    <n v="7"/>
    <n v="2023"/>
  </r>
  <r>
    <s v="0742"/>
    <x v="225"/>
    <n v="18"/>
    <x v="3"/>
    <x v="4"/>
    <x v="3"/>
    <x v="1"/>
    <n v="289"/>
    <n v="0"/>
    <n v="0"/>
  </r>
  <r>
    <s v="0743"/>
    <x v="226"/>
    <n v="19"/>
    <x v="13"/>
    <x v="3"/>
    <x v="3"/>
    <x v="3"/>
    <n v="69"/>
    <n v="9"/>
    <n v="621"/>
  </r>
  <r>
    <s v="0744"/>
    <x v="227"/>
    <n v="12"/>
    <x v="16"/>
    <x v="6"/>
    <x v="0"/>
    <x v="3"/>
    <n v="69"/>
    <n v="5"/>
    <n v="345"/>
  </r>
  <r>
    <s v="0745"/>
    <x v="227"/>
    <n v="8"/>
    <x v="10"/>
    <x v="2"/>
    <x v="2"/>
    <x v="4"/>
    <n v="399"/>
    <n v="0"/>
    <n v="0"/>
  </r>
  <r>
    <s v="0746"/>
    <x v="228"/>
    <n v="2"/>
    <x v="18"/>
    <x v="7"/>
    <x v="1"/>
    <x v="2"/>
    <n v="159"/>
    <n v="8"/>
    <n v="1272"/>
  </r>
  <r>
    <s v="0747"/>
    <x v="228"/>
    <n v="6"/>
    <x v="11"/>
    <x v="2"/>
    <x v="2"/>
    <x v="0"/>
    <n v="199"/>
    <n v="3"/>
    <n v="597"/>
  </r>
  <r>
    <s v="0748"/>
    <x v="229"/>
    <n v="8"/>
    <x v="10"/>
    <x v="2"/>
    <x v="2"/>
    <x v="0"/>
    <n v="199"/>
    <n v="7"/>
    <n v="1393"/>
  </r>
  <r>
    <s v="0749"/>
    <x v="229"/>
    <n v="11"/>
    <x v="0"/>
    <x v="6"/>
    <x v="0"/>
    <x v="1"/>
    <n v="289"/>
    <n v="3"/>
    <n v="867"/>
  </r>
  <r>
    <s v="0750"/>
    <x v="229"/>
    <n v="20"/>
    <x v="8"/>
    <x v="4"/>
    <x v="3"/>
    <x v="2"/>
    <n v="159"/>
    <n v="9"/>
    <n v="1431"/>
  </r>
  <r>
    <s v="0751"/>
    <x v="229"/>
    <n v="10"/>
    <x v="14"/>
    <x v="2"/>
    <x v="2"/>
    <x v="1"/>
    <n v="289"/>
    <n v="5"/>
    <n v="1445"/>
  </r>
  <r>
    <s v="0752"/>
    <x v="230"/>
    <n v="8"/>
    <x v="10"/>
    <x v="5"/>
    <x v="2"/>
    <x v="4"/>
    <n v="399"/>
    <n v="1"/>
    <n v="399"/>
  </r>
  <r>
    <s v="0753"/>
    <x v="230"/>
    <n v="5"/>
    <x v="15"/>
    <x v="1"/>
    <x v="1"/>
    <x v="4"/>
    <n v="399"/>
    <n v="6"/>
    <n v="2394"/>
  </r>
  <r>
    <s v="0754"/>
    <x v="231"/>
    <n v="14"/>
    <x v="7"/>
    <x v="6"/>
    <x v="0"/>
    <x v="0"/>
    <n v="199"/>
    <n v="2"/>
    <n v="398"/>
  </r>
  <r>
    <s v="0755"/>
    <x v="231"/>
    <n v="20"/>
    <x v="8"/>
    <x v="3"/>
    <x v="3"/>
    <x v="0"/>
    <n v="199"/>
    <n v="6"/>
    <n v="1194"/>
  </r>
  <r>
    <s v="0756"/>
    <x v="231"/>
    <n v="17"/>
    <x v="6"/>
    <x v="3"/>
    <x v="3"/>
    <x v="4"/>
    <n v="399"/>
    <n v="6"/>
    <n v="2394"/>
  </r>
  <r>
    <s v="0757"/>
    <x v="231"/>
    <n v="13"/>
    <x v="5"/>
    <x v="6"/>
    <x v="0"/>
    <x v="1"/>
    <n v="289"/>
    <n v="0"/>
    <n v="0"/>
  </r>
  <r>
    <s v="0758"/>
    <x v="231"/>
    <n v="10"/>
    <x v="14"/>
    <x v="5"/>
    <x v="2"/>
    <x v="4"/>
    <n v="399"/>
    <n v="4"/>
    <n v="1596"/>
  </r>
  <r>
    <s v="0759"/>
    <x v="231"/>
    <n v="3"/>
    <x v="9"/>
    <x v="7"/>
    <x v="1"/>
    <x v="1"/>
    <n v="289"/>
    <n v="1"/>
    <n v="289"/>
  </r>
  <r>
    <s v="0760"/>
    <x v="232"/>
    <n v="19"/>
    <x v="13"/>
    <x v="4"/>
    <x v="3"/>
    <x v="4"/>
    <n v="399"/>
    <n v="6"/>
    <n v="2394"/>
  </r>
  <r>
    <s v="0761"/>
    <x v="232"/>
    <n v="16"/>
    <x v="4"/>
    <x v="4"/>
    <x v="3"/>
    <x v="2"/>
    <n v="159"/>
    <n v="6"/>
    <n v="954"/>
  </r>
  <r>
    <s v="0762"/>
    <x v="232"/>
    <n v="16"/>
    <x v="4"/>
    <x v="4"/>
    <x v="3"/>
    <x v="1"/>
    <n v="289"/>
    <n v="2"/>
    <n v="578"/>
  </r>
  <r>
    <s v="0763"/>
    <x v="232"/>
    <n v="17"/>
    <x v="6"/>
    <x v="3"/>
    <x v="3"/>
    <x v="3"/>
    <n v="69"/>
    <n v="8"/>
    <n v="552"/>
  </r>
  <r>
    <s v="0764"/>
    <x v="233"/>
    <n v="8"/>
    <x v="10"/>
    <x v="5"/>
    <x v="2"/>
    <x v="4"/>
    <n v="399"/>
    <n v="2"/>
    <n v="798"/>
  </r>
  <r>
    <s v="0765"/>
    <x v="233"/>
    <n v="19"/>
    <x v="13"/>
    <x v="4"/>
    <x v="3"/>
    <x v="2"/>
    <n v="159"/>
    <n v="8"/>
    <n v="1272"/>
  </r>
  <r>
    <s v="0766"/>
    <x v="233"/>
    <n v="14"/>
    <x v="7"/>
    <x v="6"/>
    <x v="0"/>
    <x v="4"/>
    <n v="399"/>
    <n v="9"/>
    <n v="3591"/>
  </r>
  <r>
    <s v="0767"/>
    <x v="234"/>
    <n v="13"/>
    <x v="5"/>
    <x v="0"/>
    <x v="0"/>
    <x v="0"/>
    <n v="199"/>
    <n v="1"/>
    <n v="199"/>
  </r>
  <r>
    <s v="0768"/>
    <x v="235"/>
    <n v="15"/>
    <x v="19"/>
    <x v="6"/>
    <x v="0"/>
    <x v="2"/>
    <n v="159"/>
    <n v="1"/>
    <n v="159"/>
  </r>
  <r>
    <s v="0769"/>
    <x v="236"/>
    <n v="7"/>
    <x v="17"/>
    <x v="2"/>
    <x v="2"/>
    <x v="4"/>
    <n v="399"/>
    <n v="6"/>
    <n v="2394"/>
  </r>
  <r>
    <s v="0770"/>
    <x v="236"/>
    <n v="11"/>
    <x v="0"/>
    <x v="0"/>
    <x v="0"/>
    <x v="4"/>
    <n v="399"/>
    <n v="0"/>
    <n v="0"/>
  </r>
  <r>
    <s v="0771"/>
    <x v="237"/>
    <n v="4"/>
    <x v="12"/>
    <x v="1"/>
    <x v="1"/>
    <x v="1"/>
    <n v="289"/>
    <n v="2"/>
    <n v="578"/>
  </r>
  <r>
    <s v="0772"/>
    <x v="237"/>
    <n v="6"/>
    <x v="11"/>
    <x v="5"/>
    <x v="2"/>
    <x v="1"/>
    <n v="289"/>
    <n v="3"/>
    <n v="867"/>
  </r>
  <r>
    <s v="0773"/>
    <x v="237"/>
    <n v="20"/>
    <x v="8"/>
    <x v="4"/>
    <x v="3"/>
    <x v="3"/>
    <n v="69"/>
    <n v="0"/>
    <n v="0"/>
  </r>
  <r>
    <s v="0774"/>
    <x v="237"/>
    <n v="15"/>
    <x v="19"/>
    <x v="0"/>
    <x v="0"/>
    <x v="3"/>
    <n v="69"/>
    <n v="2"/>
    <n v="138"/>
  </r>
  <r>
    <s v="0775"/>
    <x v="237"/>
    <n v="13"/>
    <x v="5"/>
    <x v="6"/>
    <x v="0"/>
    <x v="4"/>
    <n v="399"/>
    <n v="1"/>
    <n v="399"/>
  </r>
  <r>
    <s v="0776"/>
    <x v="238"/>
    <n v="17"/>
    <x v="6"/>
    <x v="4"/>
    <x v="3"/>
    <x v="4"/>
    <n v="399"/>
    <n v="2"/>
    <n v="798"/>
  </r>
  <r>
    <s v="0777"/>
    <x v="238"/>
    <n v="4"/>
    <x v="12"/>
    <x v="7"/>
    <x v="1"/>
    <x v="4"/>
    <n v="399"/>
    <n v="3"/>
    <n v="1197"/>
  </r>
  <r>
    <s v="0778"/>
    <x v="238"/>
    <n v="2"/>
    <x v="18"/>
    <x v="1"/>
    <x v="1"/>
    <x v="1"/>
    <n v="289"/>
    <n v="5"/>
    <n v="1445"/>
  </r>
  <r>
    <s v="0779"/>
    <x v="238"/>
    <n v="14"/>
    <x v="7"/>
    <x v="6"/>
    <x v="0"/>
    <x v="1"/>
    <n v="289"/>
    <n v="6"/>
    <n v="1734"/>
  </r>
  <r>
    <s v="0780"/>
    <x v="238"/>
    <n v="7"/>
    <x v="17"/>
    <x v="2"/>
    <x v="2"/>
    <x v="4"/>
    <n v="399"/>
    <n v="8"/>
    <n v="3192"/>
  </r>
  <r>
    <s v="0781"/>
    <x v="239"/>
    <n v="11"/>
    <x v="0"/>
    <x v="6"/>
    <x v="0"/>
    <x v="3"/>
    <n v="69"/>
    <n v="6"/>
    <n v="414"/>
  </r>
  <r>
    <s v="0782"/>
    <x v="240"/>
    <n v="1"/>
    <x v="1"/>
    <x v="1"/>
    <x v="1"/>
    <x v="2"/>
    <n v="159"/>
    <n v="9"/>
    <n v="1431"/>
  </r>
  <r>
    <s v="0783"/>
    <x v="240"/>
    <n v="8"/>
    <x v="10"/>
    <x v="2"/>
    <x v="2"/>
    <x v="4"/>
    <n v="399"/>
    <n v="3"/>
    <n v="1197"/>
  </r>
  <r>
    <s v="0784"/>
    <x v="240"/>
    <n v="2"/>
    <x v="18"/>
    <x v="1"/>
    <x v="1"/>
    <x v="0"/>
    <n v="199"/>
    <n v="5"/>
    <n v="995"/>
  </r>
  <r>
    <s v="0785"/>
    <x v="240"/>
    <n v="5"/>
    <x v="15"/>
    <x v="7"/>
    <x v="1"/>
    <x v="4"/>
    <n v="399"/>
    <n v="6"/>
    <n v="2394"/>
  </r>
  <r>
    <s v="0786"/>
    <x v="240"/>
    <n v="4"/>
    <x v="12"/>
    <x v="7"/>
    <x v="1"/>
    <x v="1"/>
    <n v="289"/>
    <n v="6"/>
    <n v="1734"/>
  </r>
  <r>
    <s v="0787"/>
    <x v="241"/>
    <n v="14"/>
    <x v="7"/>
    <x v="0"/>
    <x v="0"/>
    <x v="3"/>
    <n v="69"/>
    <n v="1"/>
    <n v="69"/>
  </r>
  <r>
    <s v="0788"/>
    <x v="241"/>
    <n v="14"/>
    <x v="7"/>
    <x v="6"/>
    <x v="0"/>
    <x v="0"/>
    <n v="199"/>
    <n v="6"/>
    <n v="1194"/>
  </r>
  <r>
    <s v="0789"/>
    <x v="241"/>
    <n v="6"/>
    <x v="11"/>
    <x v="5"/>
    <x v="2"/>
    <x v="2"/>
    <n v="159"/>
    <n v="8"/>
    <n v="1272"/>
  </r>
  <r>
    <s v="0790"/>
    <x v="241"/>
    <n v="13"/>
    <x v="5"/>
    <x v="6"/>
    <x v="0"/>
    <x v="2"/>
    <n v="159"/>
    <n v="8"/>
    <n v="1272"/>
  </r>
  <r>
    <s v="0791"/>
    <x v="242"/>
    <n v="18"/>
    <x v="3"/>
    <x v="3"/>
    <x v="3"/>
    <x v="4"/>
    <n v="399"/>
    <n v="3"/>
    <n v="1197"/>
  </r>
  <r>
    <s v="0792"/>
    <x v="242"/>
    <n v="16"/>
    <x v="4"/>
    <x v="3"/>
    <x v="3"/>
    <x v="2"/>
    <n v="159"/>
    <n v="9"/>
    <n v="1431"/>
  </r>
  <r>
    <s v="0793"/>
    <x v="243"/>
    <n v="10"/>
    <x v="14"/>
    <x v="5"/>
    <x v="2"/>
    <x v="4"/>
    <n v="399"/>
    <n v="3"/>
    <n v="1197"/>
  </r>
  <r>
    <s v="0794"/>
    <x v="243"/>
    <n v="11"/>
    <x v="0"/>
    <x v="0"/>
    <x v="0"/>
    <x v="0"/>
    <n v="199"/>
    <n v="8"/>
    <n v="1592"/>
  </r>
  <r>
    <s v="0795"/>
    <x v="243"/>
    <n v="13"/>
    <x v="5"/>
    <x v="6"/>
    <x v="0"/>
    <x v="0"/>
    <n v="199"/>
    <n v="9"/>
    <n v="1791"/>
  </r>
  <r>
    <s v="0796"/>
    <x v="243"/>
    <n v="18"/>
    <x v="3"/>
    <x v="4"/>
    <x v="3"/>
    <x v="1"/>
    <n v="289"/>
    <n v="4"/>
    <n v="1156"/>
  </r>
  <r>
    <s v="0797"/>
    <x v="244"/>
    <n v="4"/>
    <x v="12"/>
    <x v="7"/>
    <x v="1"/>
    <x v="3"/>
    <n v="69"/>
    <n v="2"/>
    <n v="138"/>
  </r>
  <r>
    <s v="0798"/>
    <x v="244"/>
    <n v="20"/>
    <x v="8"/>
    <x v="4"/>
    <x v="3"/>
    <x v="3"/>
    <n v="69"/>
    <n v="6"/>
    <n v="414"/>
  </r>
  <r>
    <s v="0799"/>
    <x v="245"/>
    <n v="16"/>
    <x v="4"/>
    <x v="4"/>
    <x v="3"/>
    <x v="4"/>
    <n v="399"/>
    <n v="5"/>
    <n v="1995"/>
  </r>
  <r>
    <s v="0800"/>
    <x v="245"/>
    <n v="3"/>
    <x v="9"/>
    <x v="7"/>
    <x v="1"/>
    <x v="2"/>
    <n v="159"/>
    <n v="4"/>
    <n v="636"/>
  </r>
  <r>
    <s v="0801"/>
    <x v="245"/>
    <n v="10"/>
    <x v="14"/>
    <x v="5"/>
    <x v="2"/>
    <x v="1"/>
    <n v="289"/>
    <n v="7"/>
    <n v="2023"/>
  </r>
  <r>
    <s v="0802"/>
    <x v="245"/>
    <n v="6"/>
    <x v="11"/>
    <x v="5"/>
    <x v="2"/>
    <x v="4"/>
    <n v="399"/>
    <n v="8"/>
    <n v="3192"/>
  </r>
  <r>
    <s v="0803"/>
    <x v="245"/>
    <n v="17"/>
    <x v="6"/>
    <x v="4"/>
    <x v="3"/>
    <x v="0"/>
    <n v="199"/>
    <n v="5"/>
    <n v="995"/>
  </r>
  <r>
    <s v="0804"/>
    <x v="246"/>
    <n v="16"/>
    <x v="4"/>
    <x v="3"/>
    <x v="3"/>
    <x v="3"/>
    <n v="69"/>
    <n v="1"/>
    <n v="69"/>
  </r>
  <r>
    <s v="0805"/>
    <x v="247"/>
    <n v="19"/>
    <x v="13"/>
    <x v="4"/>
    <x v="3"/>
    <x v="4"/>
    <n v="399"/>
    <n v="7"/>
    <n v="2793"/>
  </r>
  <r>
    <s v="0806"/>
    <x v="247"/>
    <n v="5"/>
    <x v="15"/>
    <x v="1"/>
    <x v="1"/>
    <x v="4"/>
    <n v="399"/>
    <n v="6"/>
    <n v="2394"/>
  </r>
  <r>
    <s v="0807"/>
    <x v="247"/>
    <n v="11"/>
    <x v="0"/>
    <x v="0"/>
    <x v="0"/>
    <x v="2"/>
    <n v="159"/>
    <n v="5"/>
    <n v="795"/>
  </r>
  <r>
    <s v="0808"/>
    <x v="248"/>
    <n v="13"/>
    <x v="5"/>
    <x v="6"/>
    <x v="0"/>
    <x v="3"/>
    <n v="69"/>
    <n v="5"/>
    <n v="345"/>
  </r>
  <r>
    <s v="0809"/>
    <x v="248"/>
    <n v="19"/>
    <x v="13"/>
    <x v="3"/>
    <x v="3"/>
    <x v="0"/>
    <n v="199"/>
    <n v="9"/>
    <n v="1791"/>
  </r>
  <r>
    <s v="0810"/>
    <x v="248"/>
    <n v="15"/>
    <x v="19"/>
    <x v="0"/>
    <x v="0"/>
    <x v="3"/>
    <n v="69"/>
    <n v="5"/>
    <n v="345"/>
  </r>
  <r>
    <s v="0811"/>
    <x v="248"/>
    <n v="14"/>
    <x v="7"/>
    <x v="0"/>
    <x v="0"/>
    <x v="3"/>
    <n v="69"/>
    <n v="9"/>
    <n v="621"/>
  </r>
  <r>
    <s v="0812"/>
    <x v="249"/>
    <n v="16"/>
    <x v="4"/>
    <x v="4"/>
    <x v="3"/>
    <x v="4"/>
    <n v="399"/>
    <n v="1"/>
    <n v="399"/>
  </r>
  <r>
    <s v="0813"/>
    <x v="250"/>
    <n v="16"/>
    <x v="4"/>
    <x v="4"/>
    <x v="3"/>
    <x v="2"/>
    <n v="159"/>
    <n v="8"/>
    <n v="1272"/>
  </r>
  <r>
    <s v="0814"/>
    <x v="250"/>
    <n v="16"/>
    <x v="4"/>
    <x v="3"/>
    <x v="3"/>
    <x v="2"/>
    <n v="159"/>
    <n v="4"/>
    <n v="636"/>
  </r>
  <r>
    <s v="0815"/>
    <x v="250"/>
    <n v="3"/>
    <x v="9"/>
    <x v="1"/>
    <x v="1"/>
    <x v="2"/>
    <n v="159"/>
    <n v="8"/>
    <n v="1272"/>
  </r>
  <r>
    <s v="0816"/>
    <x v="250"/>
    <n v="15"/>
    <x v="19"/>
    <x v="6"/>
    <x v="0"/>
    <x v="4"/>
    <n v="399"/>
    <n v="4"/>
    <n v="1596"/>
  </r>
  <r>
    <s v="0817"/>
    <x v="250"/>
    <n v="20"/>
    <x v="8"/>
    <x v="3"/>
    <x v="3"/>
    <x v="3"/>
    <n v="69"/>
    <n v="5"/>
    <n v="345"/>
  </r>
  <r>
    <s v="0818"/>
    <x v="251"/>
    <n v="13"/>
    <x v="5"/>
    <x v="0"/>
    <x v="0"/>
    <x v="4"/>
    <n v="399"/>
    <n v="3"/>
    <n v="1197"/>
  </r>
  <r>
    <s v="0819"/>
    <x v="251"/>
    <n v="6"/>
    <x v="11"/>
    <x v="2"/>
    <x v="2"/>
    <x v="1"/>
    <n v="289"/>
    <n v="0"/>
    <n v="0"/>
  </r>
  <r>
    <s v="0820"/>
    <x v="252"/>
    <n v="11"/>
    <x v="0"/>
    <x v="6"/>
    <x v="0"/>
    <x v="2"/>
    <n v="159"/>
    <n v="4"/>
    <n v="636"/>
  </r>
  <r>
    <s v="0821"/>
    <x v="252"/>
    <n v="12"/>
    <x v="16"/>
    <x v="0"/>
    <x v="0"/>
    <x v="2"/>
    <n v="159"/>
    <n v="4"/>
    <n v="636"/>
  </r>
  <r>
    <s v="0822"/>
    <x v="252"/>
    <n v="19"/>
    <x v="13"/>
    <x v="3"/>
    <x v="3"/>
    <x v="4"/>
    <n v="399"/>
    <n v="4"/>
    <n v="1596"/>
  </r>
  <r>
    <s v="0823"/>
    <x v="252"/>
    <n v="11"/>
    <x v="0"/>
    <x v="6"/>
    <x v="0"/>
    <x v="3"/>
    <n v="69"/>
    <n v="8"/>
    <n v="552"/>
  </r>
  <r>
    <s v="0824"/>
    <x v="252"/>
    <n v="8"/>
    <x v="10"/>
    <x v="2"/>
    <x v="2"/>
    <x v="1"/>
    <n v="289"/>
    <n v="0"/>
    <n v="0"/>
  </r>
  <r>
    <s v="0825"/>
    <x v="253"/>
    <n v="20"/>
    <x v="8"/>
    <x v="4"/>
    <x v="3"/>
    <x v="4"/>
    <n v="399"/>
    <n v="9"/>
    <n v="3591"/>
  </r>
  <r>
    <s v="0826"/>
    <x v="253"/>
    <n v="15"/>
    <x v="19"/>
    <x v="6"/>
    <x v="0"/>
    <x v="1"/>
    <n v="289"/>
    <n v="1"/>
    <n v="289"/>
  </r>
  <r>
    <s v="0827"/>
    <x v="253"/>
    <n v="1"/>
    <x v="1"/>
    <x v="1"/>
    <x v="1"/>
    <x v="2"/>
    <n v="159"/>
    <n v="3"/>
    <n v="477"/>
  </r>
  <r>
    <s v="0828"/>
    <x v="254"/>
    <n v="5"/>
    <x v="15"/>
    <x v="1"/>
    <x v="1"/>
    <x v="0"/>
    <n v="199"/>
    <n v="3"/>
    <n v="597"/>
  </r>
  <r>
    <s v="0829"/>
    <x v="254"/>
    <n v="14"/>
    <x v="7"/>
    <x v="0"/>
    <x v="0"/>
    <x v="3"/>
    <n v="69"/>
    <n v="4"/>
    <n v="276"/>
  </r>
  <r>
    <s v="0830"/>
    <x v="255"/>
    <n v="1"/>
    <x v="1"/>
    <x v="1"/>
    <x v="1"/>
    <x v="4"/>
    <n v="399"/>
    <n v="6"/>
    <n v="2394"/>
  </r>
  <r>
    <s v="0831"/>
    <x v="256"/>
    <n v="1"/>
    <x v="1"/>
    <x v="1"/>
    <x v="1"/>
    <x v="0"/>
    <n v="199"/>
    <n v="1"/>
    <n v="199"/>
  </r>
  <r>
    <s v="0832"/>
    <x v="256"/>
    <n v="3"/>
    <x v="9"/>
    <x v="7"/>
    <x v="1"/>
    <x v="1"/>
    <n v="289"/>
    <n v="1"/>
    <n v="289"/>
  </r>
  <r>
    <s v="0833"/>
    <x v="257"/>
    <n v="16"/>
    <x v="4"/>
    <x v="4"/>
    <x v="3"/>
    <x v="4"/>
    <n v="399"/>
    <n v="9"/>
    <n v="3591"/>
  </r>
  <r>
    <s v="0834"/>
    <x v="257"/>
    <n v="6"/>
    <x v="11"/>
    <x v="5"/>
    <x v="2"/>
    <x v="3"/>
    <n v="69"/>
    <n v="6"/>
    <n v="414"/>
  </r>
  <r>
    <s v="0835"/>
    <x v="257"/>
    <n v="19"/>
    <x v="13"/>
    <x v="4"/>
    <x v="3"/>
    <x v="4"/>
    <n v="399"/>
    <n v="2"/>
    <n v="798"/>
  </r>
  <r>
    <s v="0836"/>
    <x v="258"/>
    <n v="5"/>
    <x v="15"/>
    <x v="1"/>
    <x v="1"/>
    <x v="3"/>
    <n v="69"/>
    <n v="6"/>
    <n v="414"/>
  </r>
  <r>
    <s v="0837"/>
    <x v="259"/>
    <n v="3"/>
    <x v="9"/>
    <x v="7"/>
    <x v="1"/>
    <x v="0"/>
    <n v="199"/>
    <n v="6"/>
    <n v="1194"/>
  </r>
  <r>
    <s v="0838"/>
    <x v="260"/>
    <n v="7"/>
    <x v="17"/>
    <x v="5"/>
    <x v="2"/>
    <x v="4"/>
    <n v="399"/>
    <n v="3"/>
    <n v="1197"/>
  </r>
  <r>
    <s v="0839"/>
    <x v="261"/>
    <n v="20"/>
    <x v="8"/>
    <x v="4"/>
    <x v="3"/>
    <x v="1"/>
    <n v="289"/>
    <n v="4"/>
    <n v="1156"/>
  </r>
  <r>
    <s v="0840"/>
    <x v="262"/>
    <n v="6"/>
    <x v="11"/>
    <x v="5"/>
    <x v="2"/>
    <x v="2"/>
    <n v="159"/>
    <n v="8"/>
    <n v="1272"/>
  </r>
  <r>
    <s v="0841"/>
    <x v="262"/>
    <n v="7"/>
    <x v="17"/>
    <x v="2"/>
    <x v="2"/>
    <x v="1"/>
    <n v="289"/>
    <n v="2"/>
    <n v="578"/>
  </r>
  <r>
    <s v="0842"/>
    <x v="262"/>
    <n v="12"/>
    <x v="16"/>
    <x v="6"/>
    <x v="0"/>
    <x v="0"/>
    <n v="199"/>
    <n v="4"/>
    <n v="796"/>
  </r>
  <r>
    <s v="0843"/>
    <x v="262"/>
    <n v="4"/>
    <x v="12"/>
    <x v="1"/>
    <x v="1"/>
    <x v="0"/>
    <n v="199"/>
    <n v="7"/>
    <n v="1393"/>
  </r>
  <r>
    <s v="0844"/>
    <x v="263"/>
    <n v="11"/>
    <x v="0"/>
    <x v="0"/>
    <x v="0"/>
    <x v="1"/>
    <n v="289"/>
    <n v="6"/>
    <n v="1734"/>
  </r>
  <r>
    <s v="0845"/>
    <x v="263"/>
    <n v="8"/>
    <x v="10"/>
    <x v="5"/>
    <x v="2"/>
    <x v="2"/>
    <n v="159"/>
    <n v="7"/>
    <n v="1113"/>
  </r>
  <r>
    <s v="0846"/>
    <x v="264"/>
    <n v="8"/>
    <x v="10"/>
    <x v="5"/>
    <x v="2"/>
    <x v="0"/>
    <n v="199"/>
    <n v="8"/>
    <n v="1592"/>
  </r>
  <r>
    <s v="0847"/>
    <x v="264"/>
    <n v="5"/>
    <x v="15"/>
    <x v="1"/>
    <x v="1"/>
    <x v="2"/>
    <n v="159"/>
    <n v="0"/>
    <n v="0"/>
  </r>
  <r>
    <s v="0848"/>
    <x v="264"/>
    <n v="15"/>
    <x v="19"/>
    <x v="0"/>
    <x v="0"/>
    <x v="1"/>
    <n v="289"/>
    <n v="3"/>
    <n v="867"/>
  </r>
  <r>
    <s v="0849"/>
    <x v="264"/>
    <n v="4"/>
    <x v="12"/>
    <x v="1"/>
    <x v="1"/>
    <x v="0"/>
    <n v="199"/>
    <n v="8"/>
    <n v="1592"/>
  </r>
  <r>
    <s v="0850"/>
    <x v="264"/>
    <n v="10"/>
    <x v="14"/>
    <x v="5"/>
    <x v="2"/>
    <x v="1"/>
    <n v="289"/>
    <n v="0"/>
    <n v="0"/>
  </r>
  <r>
    <s v="0851"/>
    <x v="264"/>
    <n v="17"/>
    <x v="6"/>
    <x v="3"/>
    <x v="3"/>
    <x v="1"/>
    <n v="289"/>
    <n v="0"/>
    <n v="0"/>
  </r>
  <r>
    <s v="0852"/>
    <x v="264"/>
    <n v="6"/>
    <x v="11"/>
    <x v="5"/>
    <x v="2"/>
    <x v="4"/>
    <n v="399"/>
    <n v="9"/>
    <n v="3591"/>
  </r>
  <r>
    <s v="0853"/>
    <x v="264"/>
    <n v="14"/>
    <x v="7"/>
    <x v="6"/>
    <x v="0"/>
    <x v="4"/>
    <n v="399"/>
    <n v="4"/>
    <n v="1596"/>
  </r>
  <r>
    <s v="0854"/>
    <x v="264"/>
    <n v="7"/>
    <x v="17"/>
    <x v="2"/>
    <x v="2"/>
    <x v="0"/>
    <n v="199"/>
    <n v="5"/>
    <n v="995"/>
  </r>
  <r>
    <s v="0855"/>
    <x v="264"/>
    <n v="9"/>
    <x v="2"/>
    <x v="2"/>
    <x v="2"/>
    <x v="1"/>
    <n v="289"/>
    <n v="7"/>
    <n v="2023"/>
  </r>
  <r>
    <s v="0856"/>
    <x v="264"/>
    <n v="19"/>
    <x v="13"/>
    <x v="4"/>
    <x v="3"/>
    <x v="2"/>
    <n v="159"/>
    <n v="3"/>
    <n v="477"/>
  </r>
  <r>
    <s v="0857"/>
    <x v="265"/>
    <n v="19"/>
    <x v="13"/>
    <x v="3"/>
    <x v="3"/>
    <x v="1"/>
    <n v="289"/>
    <n v="8"/>
    <n v="2312"/>
  </r>
  <r>
    <s v="0858"/>
    <x v="266"/>
    <n v="17"/>
    <x v="6"/>
    <x v="3"/>
    <x v="3"/>
    <x v="3"/>
    <n v="69"/>
    <n v="5"/>
    <n v="345"/>
  </r>
  <r>
    <s v="0859"/>
    <x v="266"/>
    <n v="19"/>
    <x v="13"/>
    <x v="4"/>
    <x v="3"/>
    <x v="1"/>
    <n v="289"/>
    <n v="4"/>
    <n v="1156"/>
  </r>
  <r>
    <s v="0860"/>
    <x v="266"/>
    <n v="6"/>
    <x v="11"/>
    <x v="5"/>
    <x v="2"/>
    <x v="0"/>
    <n v="199"/>
    <n v="8"/>
    <n v="1592"/>
  </r>
  <r>
    <s v="0861"/>
    <x v="266"/>
    <n v="14"/>
    <x v="7"/>
    <x v="0"/>
    <x v="0"/>
    <x v="4"/>
    <n v="399"/>
    <n v="2"/>
    <n v="798"/>
  </r>
  <r>
    <s v="0862"/>
    <x v="267"/>
    <n v="17"/>
    <x v="6"/>
    <x v="3"/>
    <x v="3"/>
    <x v="3"/>
    <n v="69"/>
    <n v="8"/>
    <n v="552"/>
  </r>
  <r>
    <s v="0863"/>
    <x v="267"/>
    <n v="16"/>
    <x v="4"/>
    <x v="3"/>
    <x v="3"/>
    <x v="0"/>
    <n v="199"/>
    <n v="0"/>
    <n v="0"/>
  </r>
  <r>
    <s v="0864"/>
    <x v="267"/>
    <n v="3"/>
    <x v="9"/>
    <x v="7"/>
    <x v="1"/>
    <x v="1"/>
    <n v="289"/>
    <n v="4"/>
    <n v="1156"/>
  </r>
  <r>
    <s v="0865"/>
    <x v="268"/>
    <n v="16"/>
    <x v="4"/>
    <x v="3"/>
    <x v="3"/>
    <x v="3"/>
    <n v="69"/>
    <n v="6"/>
    <n v="414"/>
  </r>
  <r>
    <s v="0866"/>
    <x v="268"/>
    <n v="19"/>
    <x v="13"/>
    <x v="4"/>
    <x v="3"/>
    <x v="3"/>
    <n v="69"/>
    <n v="2"/>
    <n v="138"/>
  </r>
  <r>
    <s v="0867"/>
    <x v="269"/>
    <n v="7"/>
    <x v="17"/>
    <x v="5"/>
    <x v="2"/>
    <x v="0"/>
    <n v="199"/>
    <n v="6"/>
    <n v="1194"/>
  </r>
  <r>
    <s v="0868"/>
    <x v="269"/>
    <n v="9"/>
    <x v="2"/>
    <x v="5"/>
    <x v="2"/>
    <x v="3"/>
    <n v="69"/>
    <n v="7"/>
    <n v="483"/>
  </r>
  <r>
    <s v="0869"/>
    <x v="270"/>
    <n v="14"/>
    <x v="7"/>
    <x v="6"/>
    <x v="0"/>
    <x v="4"/>
    <n v="399"/>
    <n v="3"/>
    <n v="1197"/>
  </r>
  <r>
    <s v="0870"/>
    <x v="270"/>
    <n v="3"/>
    <x v="9"/>
    <x v="7"/>
    <x v="1"/>
    <x v="2"/>
    <n v="159"/>
    <n v="5"/>
    <n v="795"/>
  </r>
  <r>
    <s v="0871"/>
    <x v="270"/>
    <n v="9"/>
    <x v="2"/>
    <x v="5"/>
    <x v="2"/>
    <x v="3"/>
    <n v="69"/>
    <n v="6"/>
    <n v="414"/>
  </r>
  <r>
    <s v="0872"/>
    <x v="270"/>
    <n v="1"/>
    <x v="1"/>
    <x v="1"/>
    <x v="1"/>
    <x v="2"/>
    <n v="159"/>
    <n v="5"/>
    <n v="795"/>
  </r>
  <r>
    <s v="0873"/>
    <x v="271"/>
    <n v="20"/>
    <x v="8"/>
    <x v="3"/>
    <x v="3"/>
    <x v="0"/>
    <n v="199"/>
    <n v="3"/>
    <n v="597"/>
  </r>
  <r>
    <s v="0874"/>
    <x v="271"/>
    <n v="3"/>
    <x v="9"/>
    <x v="7"/>
    <x v="1"/>
    <x v="1"/>
    <n v="289"/>
    <n v="8"/>
    <n v="2312"/>
  </r>
  <r>
    <s v="0875"/>
    <x v="271"/>
    <n v="4"/>
    <x v="12"/>
    <x v="7"/>
    <x v="1"/>
    <x v="3"/>
    <n v="69"/>
    <n v="6"/>
    <n v="414"/>
  </r>
  <r>
    <s v="0876"/>
    <x v="271"/>
    <n v="7"/>
    <x v="17"/>
    <x v="5"/>
    <x v="2"/>
    <x v="1"/>
    <n v="289"/>
    <n v="0"/>
    <n v="0"/>
  </r>
  <r>
    <s v="0877"/>
    <x v="272"/>
    <n v="11"/>
    <x v="0"/>
    <x v="0"/>
    <x v="0"/>
    <x v="1"/>
    <n v="289"/>
    <n v="1"/>
    <n v="289"/>
  </r>
  <r>
    <s v="0878"/>
    <x v="272"/>
    <n v="15"/>
    <x v="19"/>
    <x v="6"/>
    <x v="0"/>
    <x v="2"/>
    <n v="159"/>
    <n v="0"/>
    <n v="0"/>
  </r>
  <r>
    <s v="0879"/>
    <x v="272"/>
    <n v="20"/>
    <x v="8"/>
    <x v="4"/>
    <x v="3"/>
    <x v="0"/>
    <n v="199"/>
    <n v="1"/>
    <n v="199"/>
  </r>
  <r>
    <s v="0880"/>
    <x v="272"/>
    <n v="6"/>
    <x v="11"/>
    <x v="2"/>
    <x v="2"/>
    <x v="0"/>
    <n v="199"/>
    <n v="7"/>
    <n v="1393"/>
  </r>
  <r>
    <s v="0881"/>
    <x v="273"/>
    <n v="9"/>
    <x v="2"/>
    <x v="2"/>
    <x v="2"/>
    <x v="4"/>
    <n v="399"/>
    <n v="7"/>
    <n v="2793"/>
  </r>
  <r>
    <s v="0882"/>
    <x v="273"/>
    <n v="7"/>
    <x v="17"/>
    <x v="5"/>
    <x v="2"/>
    <x v="2"/>
    <n v="159"/>
    <n v="2"/>
    <n v="318"/>
  </r>
  <r>
    <s v="0883"/>
    <x v="274"/>
    <n v="3"/>
    <x v="9"/>
    <x v="7"/>
    <x v="1"/>
    <x v="0"/>
    <n v="199"/>
    <n v="5"/>
    <n v="995"/>
  </r>
  <r>
    <s v="0884"/>
    <x v="274"/>
    <n v="14"/>
    <x v="7"/>
    <x v="6"/>
    <x v="0"/>
    <x v="1"/>
    <n v="289"/>
    <n v="9"/>
    <n v="2601"/>
  </r>
  <r>
    <s v="0885"/>
    <x v="274"/>
    <n v="15"/>
    <x v="19"/>
    <x v="6"/>
    <x v="0"/>
    <x v="2"/>
    <n v="159"/>
    <n v="8"/>
    <n v="1272"/>
  </r>
  <r>
    <s v="0886"/>
    <x v="275"/>
    <n v="20"/>
    <x v="8"/>
    <x v="3"/>
    <x v="3"/>
    <x v="2"/>
    <n v="159"/>
    <n v="1"/>
    <n v="159"/>
  </r>
  <r>
    <s v="0887"/>
    <x v="276"/>
    <n v="20"/>
    <x v="8"/>
    <x v="4"/>
    <x v="3"/>
    <x v="1"/>
    <n v="289"/>
    <n v="1"/>
    <n v="289"/>
  </r>
  <r>
    <s v="0888"/>
    <x v="276"/>
    <n v="15"/>
    <x v="19"/>
    <x v="0"/>
    <x v="0"/>
    <x v="0"/>
    <n v="199"/>
    <n v="3"/>
    <n v="597"/>
  </r>
  <r>
    <s v="0889"/>
    <x v="277"/>
    <n v="20"/>
    <x v="8"/>
    <x v="3"/>
    <x v="3"/>
    <x v="0"/>
    <n v="199"/>
    <n v="3"/>
    <n v="597"/>
  </r>
  <r>
    <s v="0890"/>
    <x v="277"/>
    <n v="9"/>
    <x v="2"/>
    <x v="5"/>
    <x v="2"/>
    <x v="1"/>
    <n v="289"/>
    <n v="9"/>
    <n v="2601"/>
  </r>
  <r>
    <s v="0891"/>
    <x v="277"/>
    <n v="4"/>
    <x v="12"/>
    <x v="1"/>
    <x v="1"/>
    <x v="0"/>
    <n v="199"/>
    <n v="9"/>
    <n v="1791"/>
  </r>
  <r>
    <s v="0892"/>
    <x v="277"/>
    <n v="16"/>
    <x v="4"/>
    <x v="4"/>
    <x v="3"/>
    <x v="2"/>
    <n v="159"/>
    <n v="7"/>
    <n v="1113"/>
  </r>
  <r>
    <s v="0893"/>
    <x v="277"/>
    <n v="5"/>
    <x v="15"/>
    <x v="7"/>
    <x v="1"/>
    <x v="3"/>
    <n v="69"/>
    <n v="3"/>
    <n v="207"/>
  </r>
  <r>
    <s v="0894"/>
    <x v="278"/>
    <n v="11"/>
    <x v="0"/>
    <x v="6"/>
    <x v="0"/>
    <x v="2"/>
    <n v="159"/>
    <n v="6"/>
    <n v="954"/>
  </r>
  <r>
    <s v="0895"/>
    <x v="278"/>
    <n v="9"/>
    <x v="2"/>
    <x v="2"/>
    <x v="2"/>
    <x v="0"/>
    <n v="199"/>
    <n v="2"/>
    <n v="398"/>
  </r>
  <r>
    <s v="0896"/>
    <x v="278"/>
    <n v="6"/>
    <x v="11"/>
    <x v="5"/>
    <x v="2"/>
    <x v="0"/>
    <n v="199"/>
    <n v="8"/>
    <n v="1592"/>
  </r>
  <r>
    <s v="0897"/>
    <x v="278"/>
    <n v="4"/>
    <x v="12"/>
    <x v="1"/>
    <x v="1"/>
    <x v="4"/>
    <n v="399"/>
    <n v="0"/>
    <n v="0"/>
  </r>
  <r>
    <s v="0898"/>
    <x v="278"/>
    <n v="17"/>
    <x v="6"/>
    <x v="4"/>
    <x v="3"/>
    <x v="0"/>
    <n v="199"/>
    <n v="2"/>
    <n v="398"/>
  </r>
  <r>
    <s v="0899"/>
    <x v="279"/>
    <n v="1"/>
    <x v="1"/>
    <x v="7"/>
    <x v="1"/>
    <x v="0"/>
    <n v="199"/>
    <n v="4"/>
    <n v="796"/>
  </r>
  <r>
    <s v="0900"/>
    <x v="279"/>
    <n v="4"/>
    <x v="12"/>
    <x v="1"/>
    <x v="1"/>
    <x v="2"/>
    <n v="159"/>
    <n v="5"/>
    <n v="795"/>
  </r>
  <r>
    <s v="0901"/>
    <x v="280"/>
    <n v="15"/>
    <x v="19"/>
    <x v="0"/>
    <x v="0"/>
    <x v="4"/>
    <n v="399"/>
    <n v="7"/>
    <n v="2793"/>
  </r>
  <r>
    <s v="0902"/>
    <x v="281"/>
    <n v="13"/>
    <x v="5"/>
    <x v="0"/>
    <x v="0"/>
    <x v="4"/>
    <n v="399"/>
    <n v="4"/>
    <n v="1596"/>
  </r>
  <r>
    <s v="0903"/>
    <x v="282"/>
    <n v="6"/>
    <x v="11"/>
    <x v="2"/>
    <x v="2"/>
    <x v="1"/>
    <n v="289"/>
    <n v="3"/>
    <n v="867"/>
  </r>
  <r>
    <s v="0904"/>
    <x v="282"/>
    <n v="5"/>
    <x v="15"/>
    <x v="1"/>
    <x v="1"/>
    <x v="1"/>
    <n v="289"/>
    <n v="1"/>
    <n v="289"/>
  </r>
  <r>
    <s v="0905"/>
    <x v="283"/>
    <n v="13"/>
    <x v="5"/>
    <x v="0"/>
    <x v="0"/>
    <x v="1"/>
    <n v="289"/>
    <n v="7"/>
    <n v="2023"/>
  </r>
  <r>
    <s v="0906"/>
    <x v="283"/>
    <n v="19"/>
    <x v="13"/>
    <x v="3"/>
    <x v="3"/>
    <x v="0"/>
    <n v="199"/>
    <n v="5"/>
    <n v="995"/>
  </r>
  <r>
    <s v="0907"/>
    <x v="284"/>
    <n v="10"/>
    <x v="14"/>
    <x v="2"/>
    <x v="2"/>
    <x v="0"/>
    <n v="199"/>
    <n v="1"/>
    <n v="199"/>
  </r>
  <r>
    <s v="0908"/>
    <x v="284"/>
    <n v="20"/>
    <x v="8"/>
    <x v="3"/>
    <x v="3"/>
    <x v="1"/>
    <n v="289"/>
    <n v="3"/>
    <n v="867"/>
  </r>
  <r>
    <s v="0909"/>
    <x v="285"/>
    <n v="7"/>
    <x v="17"/>
    <x v="5"/>
    <x v="2"/>
    <x v="2"/>
    <n v="159"/>
    <n v="8"/>
    <n v="1272"/>
  </r>
  <r>
    <s v="0910"/>
    <x v="285"/>
    <n v="19"/>
    <x v="13"/>
    <x v="3"/>
    <x v="3"/>
    <x v="0"/>
    <n v="199"/>
    <n v="3"/>
    <n v="597"/>
  </r>
  <r>
    <s v="0911"/>
    <x v="285"/>
    <n v="18"/>
    <x v="3"/>
    <x v="3"/>
    <x v="3"/>
    <x v="3"/>
    <n v="69"/>
    <n v="9"/>
    <n v="621"/>
  </r>
  <r>
    <s v="0912"/>
    <x v="285"/>
    <n v="13"/>
    <x v="5"/>
    <x v="0"/>
    <x v="0"/>
    <x v="1"/>
    <n v="289"/>
    <n v="8"/>
    <n v="2312"/>
  </r>
  <r>
    <s v="0913"/>
    <x v="285"/>
    <n v="9"/>
    <x v="2"/>
    <x v="5"/>
    <x v="2"/>
    <x v="0"/>
    <n v="199"/>
    <n v="5"/>
    <n v="995"/>
  </r>
  <r>
    <s v="0914"/>
    <x v="285"/>
    <n v="14"/>
    <x v="7"/>
    <x v="0"/>
    <x v="0"/>
    <x v="2"/>
    <n v="159"/>
    <n v="7"/>
    <n v="1113"/>
  </r>
  <r>
    <s v="0915"/>
    <x v="286"/>
    <n v="3"/>
    <x v="9"/>
    <x v="1"/>
    <x v="1"/>
    <x v="3"/>
    <n v="69"/>
    <n v="2"/>
    <n v="138"/>
  </r>
  <r>
    <s v="0916"/>
    <x v="286"/>
    <n v="10"/>
    <x v="14"/>
    <x v="5"/>
    <x v="2"/>
    <x v="1"/>
    <n v="289"/>
    <n v="5"/>
    <n v="1445"/>
  </r>
  <r>
    <s v="0917"/>
    <x v="287"/>
    <n v="18"/>
    <x v="3"/>
    <x v="4"/>
    <x v="3"/>
    <x v="3"/>
    <n v="69"/>
    <n v="2"/>
    <n v="138"/>
  </r>
  <r>
    <s v="0918"/>
    <x v="287"/>
    <n v="18"/>
    <x v="3"/>
    <x v="4"/>
    <x v="3"/>
    <x v="2"/>
    <n v="159"/>
    <n v="5"/>
    <n v="795"/>
  </r>
  <r>
    <s v="0919"/>
    <x v="287"/>
    <n v="14"/>
    <x v="7"/>
    <x v="6"/>
    <x v="0"/>
    <x v="4"/>
    <n v="399"/>
    <n v="9"/>
    <n v="3591"/>
  </r>
  <r>
    <s v="0920"/>
    <x v="287"/>
    <n v="2"/>
    <x v="18"/>
    <x v="7"/>
    <x v="1"/>
    <x v="0"/>
    <n v="199"/>
    <n v="3"/>
    <n v="597"/>
  </r>
  <r>
    <s v="0921"/>
    <x v="288"/>
    <n v="17"/>
    <x v="6"/>
    <x v="3"/>
    <x v="3"/>
    <x v="4"/>
    <n v="399"/>
    <n v="6"/>
    <n v="2394"/>
  </r>
  <r>
    <s v="0922"/>
    <x v="288"/>
    <n v="1"/>
    <x v="1"/>
    <x v="1"/>
    <x v="1"/>
    <x v="1"/>
    <n v="289"/>
    <n v="7"/>
    <n v="2023"/>
  </r>
  <r>
    <s v="0923"/>
    <x v="288"/>
    <n v="15"/>
    <x v="19"/>
    <x v="6"/>
    <x v="0"/>
    <x v="2"/>
    <n v="159"/>
    <n v="3"/>
    <n v="477"/>
  </r>
  <r>
    <s v="0924"/>
    <x v="288"/>
    <n v="11"/>
    <x v="0"/>
    <x v="0"/>
    <x v="0"/>
    <x v="1"/>
    <n v="289"/>
    <n v="9"/>
    <n v="2601"/>
  </r>
  <r>
    <s v="0925"/>
    <x v="288"/>
    <n v="12"/>
    <x v="16"/>
    <x v="0"/>
    <x v="0"/>
    <x v="0"/>
    <n v="199"/>
    <n v="7"/>
    <n v="1393"/>
  </r>
  <r>
    <s v="0926"/>
    <x v="289"/>
    <n v="1"/>
    <x v="1"/>
    <x v="7"/>
    <x v="1"/>
    <x v="0"/>
    <n v="199"/>
    <n v="0"/>
    <n v="0"/>
  </r>
  <r>
    <s v="0927"/>
    <x v="289"/>
    <n v="8"/>
    <x v="10"/>
    <x v="5"/>
    <x v="2"/>
    <x v="0"/>
    <n v="199"/>
    <n v="8"/>
    <n v="1592"/>
  </r>
  <r>
    <s v="0928"/>
    <x v="289"/>
    <n v="20"/>
    <x v="8"/>
    <x v="4"/>
    <x v="3"/>
    <x v="2"/>
    <n v="159"/>
    <n v="8"/>
    <n v="1272"/>
  </r>
  <r>
    <s v="0929"/>
    <x v="289"/>
    <n v="14"/>
    <x v="7"/>
    <x v="6"/>
    <x v="0"/>
    <x v="2"/>
    <n v="159"/>
    <n v="5"/>
    <n v="795"/>
  </r>
  <r>
    <s v="0930"/>
    <x v="289"/>
    <n v="10"/>
    <x v="14"/>
    <x v="5"/>
    <x v="2"/>
    <x v="0"/>
    <n v="199"/>
    <n v="3"/>
    <n v="597"/>
  </r>
  <r>
    <s v="0931"/>
    <x v="290"/>
    <n v="17"/>
    <x v="6"/>
    <x v="4"/>
    <x v="3"/>
    <x v="4"/>
    <n v="399"/>
    <n v="0"/>
    <n v="0"/>
  </r>
  <r>
    <s v="0932"/>
    <x v="291"/>
    <n v="5"/>
    <x v="15"/>
    <x v="7"/>
    <x v="1"/>
    <x v="0"/>
    <n v="199"/>
    <n v="6"/>
    <n v="1194"/>
  </r>
  <r>
    <s v="0933"/>
    <x v="291"/>
    <n v="10"/>
    <x v="14"/>
    <x v="5"/>
    <x v="2"/>
    <x v="2"/>
    <n v="159"/>
    <n v="6"/>
    <n v="954"/>
  </r>
  <r>
    <s v="0934"/>
    <x v="292"/>
    <n v="17"/>
    <x v="6"/>
    <x v="4"/>
    <x v="3"/>
    <x v="2"/>
    <n v="159"/>
    <n v="1"/>
    <n v="159"/>
  </r>
  <r>
    <s v="0935"/>
    <x v="292"/>
    <n v="18"/>
    <x v="3"/>
    <x v="3"/>
    <x v="3"/>
    <x v="1"/>
    <n v="289"/>
    <n v="5"/>
    <n v="1445"/>
  </r>
  <r>
    <s v="0936"/>
    <x v="292"/>
    <n v="2"/>
    <x v="18"/>
    <x v="1"/>
    <x v="1"/>
    <x v="3"/>
    <n v="69"/>
    <n v="8"/>
    <n v="552"/>
  </r>
  <r>
    <s v="0937"/>
    <x v="293"/>
    <n v="17"/>
    <x v="6"/>
    <x v="3"/>
    <x v="3"/>
    <x v="3"/>
    <n v="69"/>
    <n v="5"/>
    <n v="345"/>
  </r>
  <r>
    <s v="0938"/>
    <x v="294"/>
    <n v="10"/>
    <x v="14"/>
    <x v="2"/>
    <x v="2"/>
    <x v="4"/>
    <n v="399"/>
    <n v="0"/>
    <n v="0"/>
  </r>
  <r>
    <s v="0939"/>
    <x v="294"/>
    <n v="1"/>
    <x v="1"/>
    <x v="7"/>
    <x v="1"/>
    <x v="1"/>
    <n v="289"/>
    <n v="7"/>
    <n v="2023"/>
  </r>
  <r>
    <s v="0940"/>
    <x v="294"/>
    <n v="5"/>
    <x v="15"/>
    <x v="1"/>
    <x v="1"/>
    <x v="0"/>
    <n v="199"/>
    <n v="5"/>
    <n v="995"/>
  </r>
  <r>
    <s v="0941"/>
    <x v="294"/>
    <n v="20"/>
    <x v="8"/>
    <x v="3"/>
    <x v="3"/>
    <x v="2"/>
    <n v="159"/>
    <n v="5"/>
    <n v="795"/>
  </r>
  <r>
    <s v="0942"/>
    <x v="294"/>
    <n v="1"/>
    <x v="1"/>
    <x v="1"/>
    <x v="1"/>
    <x v="4"/>
    <n v="399"/>
    <n v="8"/>
    <n v="3192"/>
  </r>
  <r>
    <s v="0943"/>
    <x v="294"/>
    <n v="6"/>
    <x v="11"/>
    <x v="2"/>
    <x v="2"/>
    <x v="2"/>
    <n v="159"/>
    <n v="6"/>
    <n v="954"/>
  </r>
  <r>
    <s v="0944"/>
    <x v="295"/>
    <n v="4"/>
    <x v="12"/>
    <x v="7"/>
    <x v="1"/>
    <x v="4"/>
    <n v="399"/>
    <n v="1"/>
    <n v="399"/>
  </r>
  <r>
    <s v="0945"/>
    <x v="296"/>
    <n v="17"/>
    <x v="6"/>
    <x v="4"/>
    <x v="3"/>
    <x v="0"/>
    <n v="199"/>
    <n v="5"/>
    <n v="995"/>
  </r>
  <r>
    <s v="0946"/>
    <x v="297"/>
    <n v="1"/>
    <x v="1"/>
    <x v="1"/>
    <x v="1"/>
    <x v="0"/>
    <n v="199"/>
    <n v="1"/>
    <n v="199"/>
  </r>
  <r>
    <s v="0947"/>
    <x v="297"/>
    <n v="15"/>
    <x v="19"/>
    <x v="0"/>
    <x v="0"/>
    <x v="3"/>
    <n v="69"/>
    <n v="4"/>
    <n v="276"/>
  </r>
  <r>
    <s v="0948"/>
    <x v="297"/>
    <n v="9"/>
    <x v="2"/>
    <x v="5"/>
    <x v="2"/>
    <x v="0"/>
    <n v="199"/>
    <n v="5"/>
    <n v="995"/>
  </r>
  <r>
    <s v="0949"/>
    <x v="298"/>
    <n v="6"/>
    <x v="11"/>
    <x v="5"/>
    <x v="2"/>
    <x v="4"/>
    <n v="399"/>
    <n v="5"/>
    <n v="1995"/>
  </r>
  <r>
    <s v="0950"/>
    <x v="298"/>
    <n v="20"/>
    <x v="8"/>
    <x v="3"/>
    <x v="3"/>
    <x v="3"/>
    <n v="69"/>
    <n v="8"/>
    <n v="552"/>
  </r>
  <r>
    <s v="0951"/>
    <x v="299"/>
    <n v="17"/>
    <x v="6"/>
    <x v="4"/>
    <x v="3"/>
    <x v="0"/>
    <n v="199"/>
    <n v="1"/>
    <n v="199"/>
  </r>
  <r>
    <s v="0952"/>
    <x v="299"/>
    <n v="6"/>
    <x v="11"/>
    <x v="5"/>
    <x v="2"/>
    <x v="4"/>
    <n v="399"/>
    <n v="7"/>
    <n v="2793"/>
  </r>
  <r>
    <s v="0953"/>
    <x v="299"/>
    <n v="3"/>
    <x v="9"/>
    <x v="7"/>
    <x v="1"/>
    <x v="0"/>
    <n v="199"/>
    <n v="1"/>
    <n v="199"/>
  </r>
  <r>
    <s v="0954"/>
    <x v="299"/>
    <n v="4"/>
    <x v="12"/>
    <x v="1"/>
    <x v="1"/>
    <x v="0"/>
    <n v="199"/>
    <n v="8"/>
    <n v="1592"/>
  </r>
  <r>
    <s v="0955"/>
    <x v="300"/>
    <n v="10"/>
    <x v="14"/>
    <x v="2"/>
    <x v="2"/>
    <x v="0"/>
    <n v="199"/>
    <n v="0"/>
    <n v="0"/>
  </r>
  <r>
    <s v="0956"/>
    <x v="301"/>
    <n v="6"/>
    <x v="11"/>
    <x v="2"/>
    <x v="2"/>
    <x v="2"/>
    <n v="159"/>
    <n v="4"/>
    <n v="636"/>
  </r>
  <r>
    <s v="0957"/>
    <x v="301"/>
    <n v="17"/>
    <x v="6"/>
    <x v="4"/>
    <x v="3"/>
    <x v="1"/>
    <n v="289"/>
    <n v="9"/>
    <n v="2601"/>
  </r>
  <r>
    <s v="0958"/>
    <x v="301"/>
    <n v="9"/>
    <x v="2"/>
    <x v="2"/>
    <x v="2"/>
    <x v="4"/>
    <n v="399"/>
    <n v="2"/>
    <n v="798"/>
  </r>
  <r>
    <s v="0959"/>
    <x v="301"/>
    <n v="2"/>
    <x v="18"/>
    <x v="1"/>
    <x v="1"/>
    <x v="3"/>
    <n v="69"/>
    <n v="6"/>
    <n v="414"/>
  </r>
  <r>
    <s v="0960"/>
    <x v="301"/>
    <n v="9"/>
    <x v="2"/>
    <x v="2"/>
    <x v="2"/>
    <x v="3"/>
    <n v="69"/>
    <n v="6"/>
    <n v="414"/>
  </r>
  <r>
    <s v="0961"/>
    <x v="301"/>
    <n v="18"/>
    <x v="3"/>
    <x v="4"/>
    <x v="3"/>
    <x v="3"/>
    <n v="69"/>
    <n v="3"/>
    <n v="207"/>
  </r>
  <r>
    <s v="0962"/>
    <x v="301"/>
    <n v="9"/>
    <x v="2"/>
    <x v="2"/>
    <x v="2"/>
    <x v="3"/>
    <n v="69"/>
    <n v="2"/>
    <n v="138"/>
  </r>
  <r>
    <s v="0963"/>
    <x v="301"/>
    <n v="14"/>
    <x v="7"/>
    <x v="0"/>
    <x v="0"/>
    <x v="2"/>
    <n v="159"/>
    <n v="1"/>
    <n v="159"/>
  </r>
  <r>
    <s v="0964"/>
    <x v="301"/>
    <n v="7"/>
    <x v="17"/>
    <x v="2"/>
    <x v="2"/>
    <x v="4"/>
    <n v="399"/>
    <n v="2"/>
    <n v="798"/>
  </r>
  <r>
    <s v="0965"/>
    <x v="301"/>
    <n v="2"/>
    <x v="18"/>
    <x v="7"/>
    <x v="1"/>
    <x v="0"/>
    <n v="199"/>
    <n v="7"/>
    <n v="1393"/>
  </r>
  <r>
    <s v="0966"/>
    <x v="301"/>
    <n v="18"/>
    <x v="3"/>
    <x v="4"/>
    <x v="3"/>
    <x v="2"/>
    <n v="159"/>
    <n v="7"/>
    <n v="1113"/>
  </r>
  <r>
    <s v="0967"/>
    <x v="302"/>
    <n v="14"/>
    <x v="7"/>
    <x v="6"/>
    <x v="0"/>
    <x v="4"/>
    <n v="399"/>
    <n v="1"/>
    <n v="399"/>
  </r>
  <r>
    <s v="0968"/>
    <x v="302"/>
    <n v="19"/>
    <x v="13"/>
    <x v="3"/>
    <x v="3"/>
    <x v="3"/>
    <n v="69"/>
    <n v="3"/>
    <n v="207"/>
  </r>
  <r>
    <s v="0969"/>
    <x v="302"/>
    <n v="7"/>
    <x v="17"/>
    <x v="5"/>
    <x v="2"/>
    <x v="2"/>
    <n v="159"/>
    <n v="1"/>
    <n v="159"/>
  </r>
  <r>
    <s v="0970"/>
    <x v="303"/>
    <n v="7"/>
    <x v="17"/>
    <x v="5"/>
    <x v="2"/>
    <x v="4"/>
    <n v="399"/>
    <n v="0"/>
    <n v="0"/>
  </r>
  <r>
    <s v="0971"/>
    <x v="304"/>
    <n v="14"/>
    <x v="7"/>
    <x v="6"/>
    <x v="0"/>
    <x v="0"/>
    <n v="199"/>
    <n v="0"/>
    <n v="0"/>
  </r>
  <r>
    <s v="0972"/>
    <x v="305"/>
    <n v="19"/>
    <x v="13"/>
    <x v="3"/>
    <x v="3"/>
    <x v="2"/>
    <n v="159"/>
    <n v="4"/>
    <n v="636"/>
  </r>
  <r>
    <s v="0973"/>
    <x v="306"/>
    <n v="13"/>
    <x v="5"/>
    <x v="0"/>
    <x v="0"/>
    <x v="4"/>
    <n v="399"/>
    <n v="0"/>
    <n v="0"/>
  </r>
  <r>
    <s v="0974"/>
    <x v="307"/>
    <n v="1"/>
    <x v="1"/>
    <x v="1"/>
    <x v="1"/>
    <x v="3"/>
    <n v="69"/>
    <n v="7"/>
    <n v="483"/>
  </r>
  <r>
    <s v="0975"/>
    <x v="307"/>
    <n v="13"/>
    <x v="5"/>
    <x v="6"/>
    <x v="0"/>
    <x v="2"/>
    <n v="159"/>
    <n v="2"/>
    <n v="318"/>
  </r>
  <r>
    <s v="0976"/>
    <x v="307"/>
    <n v="2"/>
    <x v="18"/>
    <x v="7"/>
    <x v="1"/>
    <x v="3"/>
    <n v="69"/>
    <n v="1"/>
    <n v="69"/>
  </r>
  <r>
    <s v="0977"/>
    <x v="308"/>
    <n v="5"/>
    <x v="15"/>
    <x v="7"/>
    <x v="1"/>
    <x v="0"/>
    <n v="199"/>
    <n v="9"/>
    <n v="1791"/>
  </r>
  <r>
    <s v="0978"/>
    <x v="309"/>
    <n v="20"/>
    <x v="8"/>
    <x v="3"/>
    <x v="3"/>
    <x v="2"/>
    <n v="159"/>
    <n v="0"/>
    <n v="0"/>
  </r>
  <r>
    <s v="0979"/>
    <x v="310"/>
    <n v="16"/>
    <x v="4"/>
    <x v="3"/>
    <x v="3"/>
    <x v="3"/>
    <n v="69"/>
    <n v="9"/>
    <n v="621"/>
  </r>
  <r>
    <s v="0980"/>
    <x v="310"/>
    <n v="9"/>
    <x v="2"/>
    <x v="5"/>
    <x v="2"/>
    <x v="1"/>
    <n v="289"/>
    <n v="9"/>
    <n v="2601"/>
  </r>
  <r>
    <s v="0981"/>
    <x v="310"/>
    <n v="2"/>
    <x v="18"/>
    <x v="1"/>
    <x v="1"/>
    <x v="4"/>
    <n v="399"/>
    <n v="4"/>
    <n v="1596"/>
  </r>
  <r>
    <s v="0982"/>
    <x v="311"/>
    <n v="8"/>
    <x v="10"/>
    <x v="5"/>
    <x v="2"/>
    <x v="0"/>
    <n v="199"/>
    <n v="1"/>
    <n v="199"/>
  </r>
  <r>
    <s v="0983"/>
    <x v="311"/>
    <n v="18"/>
    <x v="3"/>
    <x v="4"/>
    <x v="3"/>
    <x v="4"/>
    <n v="399"/>
    <n v="9"/>
    <n v="3591"/>
  </r>
  <r>
    <s v="0984"/>
    <x v="311"/>
    <n v="12"/>
    <x v="16"/>
    <x v="0"/>
    <x v="0"/>
    <x v="3"/>
    <n v="69"/>
    <n v="0"/>
    <n v="0"/>
  </r>
  <r>
    <s v="0985"/>
    <x v="311"/>
    <n v="10"/>
    <x v="14"/>
    <x v="2"/>
    <x v="2"/>
    <x v="2"/>
    <n v="159"/>
    <n v="9"/>
    <n v="1431"/>
  </r>
  <r>
    <s v="0986"/>
    <x v="311"/>
    <n v="9"/>
    <x v="2"/>
    <x v="5"/>
    <x v="2"/>
    <x v="2"/>
    <n v="159"/>
    <n v="7"/>
    <n v="1113"/>
  </r>
  <r>
    <s v="0987"/>
    <x v="312"/>
    <n v="8"/>
    <x v="10"/>
    <x v="2"/>
    <x v="2"/>
    <x v="0"/>
    <n v="199"/>
    <n v="7"/>
    <n v="1393"/>
  </r>
  <r>
    <s v="0988"/>
    <x v="312"/>
    <n v="17"/>
    <x v="6"/>
    <x v="3"/>
    <x v="3"/>
    <x v="0"/>
    <n v="199"/>
    <n v="2"/>
    <n v="398"/>
  </r>
  <r>
    <s v="0989"/>
    <x v="312"/>
    <n v="4"/>
    <x v="12"/>
    <x v="1"/>
    <x v="1"/>
    <x v="2"/>
    <n v="159"/>
    <n v="9"/>
    <n v="1431"/>
  </r>
  <r>
    <s v="0990"/>
    <x v="312"/>
    <n v="16"/>
    <x v="4"/>
    <x v="4"/>
    <x v="3"/>
    <x v="1"/>
    <n v="289"/>
    <n v="4"/>
    <n v="1156"/>
  </r>
  <r>
    <s v="0991"/>
    <x v="312"/>
    <n v="18"/>
    <x v="3"/>
    <x v="3"/>
    <x v="3"/>
    <x v="4"/>
    <n v="399"/>
    <n v="9"/>
    <n v="3591"/>
  </r>
  <r>
    <s v="0992"/>
    <x v="313"/>
    <n v="19"/>
    <x v="13"/>
    <x v="4"/>
    <x v="3"/>
    <x v="0"/>
    <n v="199"/>
    <n v="8"/>
    <n v="1592"/>
  </r>
  <r>
    <s v="0993"/>
    <x v="313"/>
    <n v="10"/>
    <x v="14"/>
    <x v="5"/>
    <x v="2"/>
    <x v="4"/>
    <n v="399"/>
    <n v="6"/>
    <n v="2394"/>
  </r>
  <r>
    <s v="0994"/>
    <x v="313"/>
    <n v="5"/>
    <x v="15"/>
    <x v="1"/>
    <x v="1"/>
    <x v="2"/>
    <n v="159"/>
    <n v="4"/>
    <n v="636"/>
  </r>
  <r>
    <s v="0995"/>
    <x v="314"/>
    <n v="10"/>
    <x v="14"/>
    <x v="2"/>
    <x v="2"/>
    <x v="3"/>
    <n v="69"/>
    <n v="1"/>
    <n v="69"/>
  </r>
  <r>
    <s v="0996"/>
    <x v="314"/>
    <n v="7"/>
    <x v="17"/>
    <x v="2"/>
    <x v="2"/>
    <x v="0"/>
    <n v="199"/>
    <n v="0"/>
    <n v="0"/>
  </r>
  <r>
    <s v="0997"/>
    <x v="314"/>
    <n v="13"/>
    <x v="5"/>
    <x v="6"/>
    <x v="0"/>
    <x v="0"/>
    <n v="199"/>
    <n v="9"/>
    <n v="1791"/>
  </r>
  <r>
    <s v="0998"/>
    <x v="315"/>
    <n v="14"/>
    <x v="7"/>
    <x v="6"/>
    <x v="0"/>
    <x v="0"/>
    <n v="199"/>
    <n v="5"/>
    <n v="995"/>
  </r>
  <r>
    <s v="0999"/>
    <x v="316"/>
    <n v="2"/>
    <x v="18"/>
    <x v="1"/>
    <x v="1"/>
    <x v="0"/>
    <n v="199"/>
    <n v="3"/>
    <n v="597"/>
  </r>
  <r>
    <s v="1000"/>
    <x v="317"/>
    <n v="1"/>
    <x v="1"/>
    <x v="7"/>
    <x v="1"/>
    <x v="0"/>
    <n v="199"/>
    <n v="7"/>
    <n v="1393"/>
  </r>
  <r>
    <s v="1001"/>
    <x v="318"/>
    <n v="15"/>
    <x v="19"/>
    <x v="0"/>
    <x v="0"/>
    <x v="1"/>
    <n v="289"/>
    <n v="7"/>
    <n v="2023"/>
  </r>
  <r>
    <s v="1002"/>
    <x v="318"/>
    <n v="2"/>
    <x v="18"/>
    <x v="7"/>
    <x v="1"/>
    <x v="0"/>
    <n v="199"/>
    <n v="2"/>
    <n v="398"/>
  </r>
  <r>
    <s v="1003"/>
    <x v="318"/>
    <n v="10"/>
    <x v="14"/>
    <x v="5"/>
    <x v="2"/>
    <x v="2"/>
    <n v="159"/>
    <n v="4"/>
    <n v="636"/>
  </r>
  <r>
    <s v="1004"/>
    <x v="318"/>
    <n v="17"/>
    <x v="6"/>
    <x v="3"/>
    <x v="3"/>
    <x v="0"/>
    <n v="199"/>
    <n v="9"/>
    <n v="1791"/>
  </r>
  <r>
    <s v="1005"/>
    <x v="318"/>
    <n v="10"/>
    <x v="14"/>
    <x v="2"/>
    <x v="2"/>
    <x v="0"/>
    <n v="199"/>
    <n v="1"/>
    <n v="199"/>
  </r>
  <r>
    <s v="1006"/>
    <x v="318"/>
    <n v="19"/>
    <x v="13"/>
    <x v="3"/>
    <x v="3"/>
    <x v="2"/>
    <n v="159"/>
    <n v="2"/>
    <n v="318"/>
  </r>
  <r>
    <s v="1007"/>
    <x v="318"/>
    <n v="6"/>
    <x v="11"/>
    <x v="2"/>
    <x v="2"/>
    <x v="0"/>
    <n v="199"/>
    <n v="7"/>
    <n v="1393"/>
  </r>
  <r>
    <s v="1008"/>
    <x v="319"/>
    <n v="15"/>
    <x v="19"/>
    <x v="0"/>
    <x v="0"/>
    <x v="1"/>
    <n v="289"/>
    <n v="1"/>
    <n v="289"/>
  </r>
  <r>
    <s v="1009"/>
    <x v="319"/>
    <n v="8"/>
    <x v="10"/>
    <x v="2"/>
    <x v="2"/>
    <x v="4"/>
    <n v="399"/>
    <n v="0"/>
    <n v="0"/>
  </r>
  <r>
    <s v="1010"/>
    <x v="320"/>
    <n v="1"/>
    <x v="1"/>
    <x v="1"/>
    <x v="1"/>
    <x v="0"/>
    <n v="199"/>
    <n v="2"/>
    <n v="398"/>
  </r>
  <r>
    <s v="1011"/>
    <x v="320"/>
    <n v="7"/>
    <x v="17"/>
    <x v="5"/>
    <x v="2"/>
    <x v="1"/>
    <n v="289"/>
    <n v="0"/>
    <n v="0"/>
  </r>
  <r>
    <s v="1012"/>
    <x v="320"/>
    <n v="3"/>
    <x v="9"/>
    <x v="7"/>
    <x v="1"/>
    <x v="1"/>
    <n v="289"/>
    <n v="4"/>
    <n v="1156"/>
  </r>
  <r>
    <s v="1013"/>
    <x v="320"/>
    <n v="9"/>
    <x v="2"/>
    <x v="5"/>
    <x v="2"/>
    <x v="3"/>
    <n v="69"/>
    <n v="8"/>
    <n v="552"/>
  </r>
  <r>
    <s v="1014"/>
    <x v="321"/>
    <n v="2"/>
    <x v="18"/>
    <x v="7"/>
    <x v="1"/>
    <x v="0"/>
    <n v="199"/>
    <n v="6"/>
    <n v="1194"/>
  </r>
  <r>
    <s v="1015"/>
    <x v="322"/>
    <n v="5"/>
    <x v="15"/>
    <x v="1"/>
    <x v="1"/>
    <x v="4"/>
    <n v="399"/>
    <n v="2"/>
    <n v="798"/>
  </r>
  <r>
    <s v="1016"/>
    <x v="322"/>
    <n v="6"/>
    <x v="11"/>
    <x v="2"/>
    <x v="2"/>
    <x v="1"/>
    <n v="289"/>
    <n v="5"/>
    <n v="1445"/>
  </r>
  <r>
    <s v="1017"/>
    <x v="322"/>
    <n v="12"/>
    <x v="16"/>
    <x v="0"/>
    <x v="0"/>
    <x v="0"/>
    <n v="199"/>
    <n v="4"/>
    <n v="796"/>
  </r>
  <r>
    <s v="1018"/>
    <x v="322"/>
    <n v="5"/>
    <x v="15"/>
    <x v="7"/>
    <x v="1"/>
    <x v="4"/>
    <n v="399"/>
    <n v="1"/>
    <n v="399"/>
  </r>
  <r>
    <s v="1019"/>
    <x v="323"/>
    <n v="5"/>
    <x v="15"/>
    <x v="7"/>
    <x v="1"/>
    <x v="4"/>
    <n v="399"/>
    <n v="8"/>
    <n v="3192"/>
  </r>
  <r>
    <s v="1020"/>
    <x v="324"/>
    <n v="20"/>
    <x v="8"/>
    <x v="4"/>
    <x v="3"/>
    <x v="3"/>
    <n v="69"/>
    <n v="9"/>
    <n v="621"/>
  </r>
  <r>
    <s v="1021"/>
    <x v="324"/>
    <n v="16"/>
    <x v="4"/>
    <x v="3"/>
    <x v="3"/>
    <x v="4"/>
    <n v="399"/>
    <n v="3"/>
    <n v="1197"/>
  </r>
  <r>
    <s v="1022"/>
    <x v="325"/>
    <n v="1"/>
    <x v="1"/>
    <x v="7"/>
    <x v="1"/>
    <x v="2"/>
    <n v="159"/>
    <n v="6"/>
    <n v="954"/>
  </r>
  <r>
    <s v="1023"/>
    <x v="325"/>
    <n v="5"/>
    <x v="15"/>
    <x v="7"/>
    <x v="1"/>
    <x v="4"/>
    <n v="399"/>
    <n v="6"/>
    <n v="2394"/>
  </r>
  <r>
    <s v="1024"/>
    <x v="325"/>
    <n v="15"/>
    <x v="19"/>
    <x v="6"/>
    <x v="0"/>
    <x v="3"/>
    <n v="69"/>
    <n v="7"/>
    <n v="483"/>
  </r>
  <r>
    <s v="1025"/>
    <x v="325"/>
    <n v="2"/>
    <x v="18"/>
    <x v="7"/>
    <x v="1"/>
    <x v="0"/>
    <n v="199"/>
    <n v="9"/>
    <n v="1791"/>
  </r>
  <r>
    <s v="1026"/>
    <x v="325"/>
    <n v="8"/>
    <x v="10"/>
    <x v="2"/>
    <x v="2"/>
    <x v="2"/>
    <n v="159"/>
    <n v="6"/>
    <n v="954"/>
  </r>
  <r>
    <s v="1027"/>
    <x v="325"/>
    <n v="3"/>
    <x v="9"/>
    <x v="7"/>
    <x v="1"/>
    <x v="3"/>
    <n v="69"/>
    <n v="5"/>
    <n v="345"/>
  </r>
  <r>
    <s v="1028"/>
    <x v="325"/>
    <n v="20"/>
    <x v="8"/>
    <x v="3"/>
    <x v="3"/>
    <x v="2"/>
    <n v="159"/>
    <n v="0"/>
    <n v="0"/>
  </r>
  <r>
    <s v="1029"/>
    <x v="325"/>
    <n v="8"/>
    <x v="10"/>
    <x v="2"/>
    <x v="2"/>
    <x v="4"/>
    <n v="399"/>
    <n v="9"/>
    <n v="3591"/>
  </r>
  <r>
    <s v="1030"/>
    <x v="325"/>
    <n v="7"/>
    <x v="17"/>
    <x v="2"/>
    <x v="2"/>
    <x v="4"/>
    <n v="399"/>
    <n v="5"/>
    <n v="1995"/>
  </r>
  <r>
    <s v="1031"/>
    <x v="325"/>
    <n v="10"/>
    <x v="14"/>
    <x v="5"/>
    <x v="2"/>
    <x v="4"/>
    <n v="399"/>
    <n v="0"/>
    <n v="0"/>
  </r>
  <r>
    <s v="1032"/>
    <x v="325"/>
    <n v="13"/>
    <x v="5"/>
    <x v="0"/>
    <x v="0"/>
    <x v="0"/>
    <n v="199"/>
    <n v="7"/>
    <n v="1393"/>
  </r>
  <r>
    <s v="1033"/>
    <x v="326"/>
    <n v="15"/>
    <x v="19"/>
    <x v="0"/>
    <x v="0"/>
    <x v="3"/>
    <n v="69"/>
    <n v="7"/>
    <n v="483"/>
  </r>
  <r>
    <s v="1034"/>
    <x v="326"/>
    <n v="3"/>
    <x v="9"/>
    <x v="1"/>
    <x v="1"/>
    <x v="4"/>
    <n v="399"/>
    <n v="2"/>
    <n v="798"/>
  </r>
  <r>
    <s v="1035"/>
    <x v="326"/>
    <n v="4"/>
    <x v="12"/>
    <x v="1"/>
    <x v="1"/>
    <x v="4"/>
    <n v="399"/>
    <n v="6"/>
    <n v="2394"/>
  </r>
  <r>
    <s v="1036"/>
    <x v="326"/>
    <n v="13"/>
    <x v="5"/>
    <x v="0"/>
    <x v="0"/>
    <x v="4"/>
    <n v="399"/>
    <n v="9"/>
    <n v="3591"/>
  </r>
  <r>
    <s v="1037"/>
    <x v="326"/>
    <n v="12"/>
    <x v="16"/>
    <x v="0"/>
    <x v="0"/>
    <x v="1"/>
    <n v="289"/>
    <n v="6"/>
    <n v="1734"/>
  </r>
  <r>
    <s v="1038"/>
    <x v="326"/>
    <n v="17"/>
    <x v="6"/>
    <x v="4"/>
    <x v="3"/>
    <x v="0"/>
    <n v="199"/>
    <n v="3"/>
    <n v="597"/>
  </r>
  <r>
    <s v="1039"/>
    <x v="327"/>
    <n v="13"/>
    <x v="5"/>
    <x v="6"/>
    <x v="0"/>
    <x v="1"/>
    <n v="289"/>
    <n v="1"/>
    <n v="289"/>
  </r>
  <r>
    <s v="1040"/>
    <x v="327"/>
    <n v="7"/>
    <x v="17"/>
    <x v="5"/>
    <x v="2"/>
    <x v="0"/>
    <n v="199"/>
    <n v="5"/>
    <n v="995"/>
  </r>
  <r>
    <s v="1041"/>
    <x v="327"/>
    <n v="18"/>
    <x v="3"/>
    <x v="4"/>
    <x v="3"/>
    <x v="2"/>
    <n v="159"/>
    <n v="2"/>
    <n v="318"/>
  </r>
  <r>
    <s v="1042"/>
    <x v="327"/>
    <n v="14"/>
    <x v="7"/>
    <x v="6"/>
    <x v="0"/>
    <x v="1"/>
    <n v="289"/>
    <n v="2"/>
    <n v="578"/>
  </r>
  <r>
    <s v="1043"/>
    <x v="327"/>
    <n v="3"/>
    <x v="9"/>
    <x v="7"/>
    <x v="1"/>
    <x v="3"/>
    <n v="69"/>
    <n v="4"/>
    <n v="276"/>
  </r>
  <r>
    <s v="1044"/>
    <x v="327"/>
    <n v="9"/>
    <x v="2"/>
    <x v="5"/>
    <x v="2"/>
    <x v="4"/>
    <n v="399"/>
    <n v="1"/>
    <n v="399"/>
  </r>
  <r>
    <s v="1045"/>
    <x v="327"/>
    <n v="11"/>
    <x v="0"/>
    <x v="6"/>
    <x v="0"/>
    <x v="4"/>
    <n v="399"/>
    <n v="3"/>
    <n v="1197"/>
  </r>
  <r>
    <s v="1046"/>
    <x v="328"/>
    <n v="4"/>
    <x v="12"/>
    <x v="7"/>
    <x v="1"/>
    <x v="4"/>
    <n v="399"/>
    <n v="5"/>
    <n v="1995"/>
  </r>
  <r>
    <s v="1047"/>
    <x v="329"/>
    <n v="6"/>
    <x v="11"/>
    <x v="5"/>
    <x v="2"/>
    <x v="1"/>
    <n v="289"/>
    <n v="1"/>
    <n v="289"/>
  </r>
  <r>
    <s v="1048"/>
    <x v="329"/>
    <n v="13"/>
    <x v="5"/>
    <x v="6"/>
    <x v="0"/>
    <x v="1"/>
    <n v="289"/>
    <n v="7"/>
    <n v="2023"/>
  </r>
  <r>
    <s v="1049"/>
    <x v="330"/>
    <n v="2"/>
    <x v="18"/>
    <x v="1"/>
    <x v="1"/>
    <x v="4"/>
    <n v="399"/>
    <n v="8"/>
    <n v="3192"/>
  </r>
  <r>
    <s v="1050"/>
    <x v="330"/>
    <n v="4"/>
    <x v="12"/>
    <x v="7"/>
    <x v="1"/>
    <x v="4"/>
    <n v="399"/>
    <n v="6"/>
    <n v="2394"/>
  </r>
  <r>
    <s v="1051"/>
    <x v="330"/>
    <n v="1"/>
    <x v="1"/>
    <x v="7"/>
    <x v="1"/>
    <x v="3"/>
    <n v="69"/>
    <n v="9"/>
    <n v="621"/>
  </r>
  <r>
    <s v="1052"/>
    <x v="331"/>
    <n v="10"/>
    <x v="14"/>
    <x v="2"/>
    <x v="2"/>
    <x v="3"/>
    <n v="69"/>
    <n v="7"/>
    <n v="483"/>
  </r>
  <r>
    <s v="1053"/>
    <x v="331"/>
    <n v="15"/>
    <x v="19"/>
    <x v="6"/>
    <x v="0"/>
    <x v="3"/>
    <n v="69"/>
    <n v="1"/>
    <n v="69"/>
  </r>
  <r>
    <s v="1054"/>
    <x v="331"/>
    <n v="6"/>
    <x v="11"/>
    <x v="5"/>
    <x v="2"/>
    <x v="2"/>
    <n v="159"/>
    <n v="2"/>
    <n v="318"/>
  </r>
  <r>
    <s v="1055"/>
    <x v="331"/>
    <n v="11"/>
    <x v="0"/>
    <x v="0"/>
    <x v="0"/>
    <x v="1"/>
    <n v="289"/>
    <n v="8"/>
    <n v="2312"/>
  </r>
  <r>
    <s v="1056"/>
    <x v="331"/>
    <n v="4"/>
    <x v="12"/>
    <x v="1"/>
    <x v="1"/>
    <x v="1"/>
    <n v="289"/>
    <n v="7"/>
    <n v="2023"/>
  </r>
  <r>
    <s v="1057"/>
    <x v="332"/>
    <n v="8"/>
    <x v="10"/>
    <x v="5"/>
    <x v="2"/>
    <x v="0"/>
    <n v="199"/>
    <n v="3"/>
    <n v="597"/>
  </r>
  <r>
    <s v="1058"/>
    <x v="332"/>
    <n v="9"/>
    <x v="2"/>
    <x v="5"/>
    <x v="2"/>
    <x v="4"/>
    <n v="399"/>
    <n v="6"/>
    <n v="2394"/>
  </r>
  <r>
    <s v="1059"/>
    <x v="332"/>
    <n v="12"/>
    <x v="16"/>
    <x v="6"/>
    <x v="0"/>
    <x v="1"/>
    <n v="289"/>
    <n v="9"/>
    <n v="2601"/>
  </r>
  <r>
    <s v="1060"/>
    <x v="333"/>
    <n v="2"/>
    <x v="18"/>
    <x v="1"/>
    <x v="1"/>
    <x v="2"/>
    <n v="159"/>
    <n v="1"/>
    <n v="159"/>
  </r>
  <r>
    <s v="1061"/>
    <x v="334"/>
    <n v="8"/>
    <x v="10"/>
    <x v="5"/>
    <x v="2"/>
    <x v="4"/>
    <n v="399"/>
    <n v="5"/>
    <n v="1995"/>
  </r>
  <r>
    <s v="1062"/>
    <x v="334"/>
    <n v="17"/>
    <x v="6"/>
    <x v="4"/>
    <x v="3"/>
    <x v="1"/>
    <n v="289"/>
    <n v="0"/>
    <n v="0"/>
  </r>
  <r>
    <s v="1063"/>
    <x v="335"/>
    <n v="7"/>
    <x v="17"/>
    <x v="5"/>
    <x v="2"/>
    <x v="4"/>
    <n v="399"/>
    <n v="3"/>
    <n v="1197"/>
  </r>
  <r>
    <s v="1064"/>
    <x v="336"/>
    <n v="1"/>
    <x v="1"/>
    <x v="7"/>
    <x v="1"/>
    <x v="1"/>
    <n v="289"/>
    <n v="4"/>
    <n v="1156"/>
  </r>
  <r>
    <s v="1065"/>
    <x v="336"/>
    <n v="19"/>
    <x v="13"/>
    <x v="3"/>
    <x v="3"/>
    <x v="1"/>
    <n v="289"/>
    <n v="2"/>
    <n v="578"/>
  </r>
  <r>
    <s v="1066"/>
    <x v="337"/>
    <n v="2"/>
    <x v="18"/>
    <x v="1"/>
    <x v="1"/>
    <x v="3"/>
    <n v="69"/>
    <n v="7"/>
    <n v="483"/>
  </r>
  <r>
    <s v="1067"/>
    <x v="337"/>
    <n v="16"/>
    <x v="4"/>
    <x v="4"/>
    <x v="3"/>
    <x v="4"/>
    <n v="399"/>
    <n v="0"/>
    <n v="0"/>
  </r>
  <r>
    <s v="1068"/>
    <x v="338"/>
    <n v="5"/>
    <x v="15"/>
    <x v="7"/>
    <x v="1"/>
    <x v="4"/>
    <n v="399"/>
    <n v="4"/>
    <n v="1596"/>
  </r>
  <r>
    <s v="1069"/>
    <x v="339"/>
    <n v="4"/>
    <x v="12"/>
    <x v="1"/>
    <x v="1"/>
    <x v="0"/>
    <n v="199"/>
    <n v="2"/>
    <n v="398"/>
  </r>
  <r>
    <s v="1070"/>
    <x v="339"/>
    <n v="14"/>
    <x v="7"/>
    <x v="0"/>
    <x v="0"/>
    <x v="0"/>
    <n v="199"/>
    <n v="3"/>
    <n v="597"/>
  </r>
  <r>
    <s v="1071"/>
    <x v="339"/>
    <n v="4"/>
    <x v="12"/>
    <x v="1"/>
    <x v="1"/>
    <x v="0"/>
    <n v="199"/>
    <n v="5"/>
    <n v="995"/>
  </r>
  <r>
    <s v="1072"/>
    <x v="340"/>
    <n v="4"/>
    <x v="12"/>
    <x v="1"/>
    <x v="1"/>
    <x v="3"/>
    <n v="69"/>
    <n v="7"/>
    <n v="483"/>
  </r>
  <r>
    <s v="1073"/>
    <x v="340"/>
    <n v="9"/>
    <x v="2"/>
    <x v="2"/>
    <x v="2"/>
    <x v="1"/>
    <n v="289"/>
    <n v="7"/>
    <n v="2023"/>
  </r>
  <r>
    <s v="1074"/>
    <x v="341"/>
    <n v="10"/>
    <x v="14"/>
    <x v="2"/>
    <x v="2"/>
    <x v="3"/>
    <n v="69"/>
    <n v="7"/>
    <n v="483"/>
  </r>
  <r>
    <s v="1075"/>
    <x v="341"/>
    <n v="4"/>
    <x v="12"/>
    <x v="1"/>
    <x v="1"/>
    <x v="3"/>
    <n v="69"/>
    <n v="5"/>
    <n v="345"/>
  </r>
  <r>
    <s v="1076"/>
    <x v="342"/>
    <n v="20"/>
    <x v="8"/>
    <x v="3"/>
    <x v="3"/>
    <x v="1"/>
    <n v="289"/>
    <n v="8"/>
    <n v="2312"/>
  </r>
  <r>
    <s v="1077"/>
    <x v="343"/>
    <n v="11"/>
    <x v="0"/>
    <x v="0"/>
    <x v="0"/>
    <x v="1"/>
    <n v="289"/>
    <n v="9"/>
    <n v="2601"/>
  </r>
  <r>
    <s v="1078"/>
    <x v="344"/>
    <n v="13"/>
    <x v="5"/>
    <x v="0"/>
    <x v="0"/>
    <x v="1"/>
    <n v="289"/>
    <n v="8"/>
    <n v="2312"/>
  </r>
  <r>
    <s v="1079"/>
    <x v="344"/>
    <n v="10"/>
    <x v="14"/>
    <x v="2"/>
    <x v="2"/>
    <x v="3"/>
    <n v="69"/>
    <n v="6"/>
    <n v="414"/>
  </r>
  <r>
    <s v="1080"/>
    <x v="344"/>
    <n v="19"/>
    <x v="13"/>
    <x v="3"/>
    <x v="3"/>
    <x v="1"/>
    <n v="289"/>
    <n v="9"/>
    <n v="2601"/>
  </r>
  <r>
    <s v="1081"/>
    <x v="345"/>
    <n v="14"/>
    <x v="7"/>
    <x v="0"/>
    <x v="0"/>
    <x v="1"/>
    <n v="289"/>
    <n v="5"/>
    <n v="1445"/>
  </r>
  <r>
    <s v="1082"/>
    <x v="346"/>
    <n v="16"/>
    <x v="4"/>
    <x v="3"/>
    <x v="3"/>
    <x v="2"/>
    <n v="159"/>
    <n v="0"/>
    <n v="0"/>
  </r>
  <r>
    <s v="1083"/>
    <x v="346"/>
    <n v="13"/>
    <x v="5"/>
    <x v="0"/>
    <x v="0"/>
    <x v="1"/>
    <n v="289"/>
    <n v="5"/>
    <n v="1445"/>
  </r>
  <r>
    <s v="1084"/>
    <x v="346"/>
    <n v="2"/>
    <x v="18"/>
    <x v="1"/>
    <x v="1"/>
    <x v="0"/>
    <n v="199"/>
    <n v="4"/>
    <n v="796"/>
  </r>
  <r>
    <s v="1085"/>
    <x v="346"/>
    <n v="5"/>
    <x v="15"/>
    <x v="7"/>
    <x v="1"/>
    <x v="0"/>
    <n v="199"/>
    <n v="9"/>
    <n v="1791"/>
  </r>
  <r>
    <s v="1086"/>
    <x v="346"/>
    <n v="11"/>
    <x v="0"/>
    <x v="6"/>
    <x v="0"/>
    <x v="3"/>
    <n v="69"/>
    <n v="1"/>
    <n v="69"/>
  </r>
  <r>
    <s v="1087"/>
    <x v="346"/>
    <n v="3"/>
    <x v="9"/>
    <x v="1"/>
    <x v="1"/>
    <x v="3"/>
    <n v="69"/>
    <n v="5"/>
    <n v="345"/>
  </r>
  <r>
    <s v="1088"/>
    <x v="346"/>
    <n v="11"/>
    <x v="0"/>
    <x v="6"/>
    <x v="0"/>
    <x v="2"/>
    <n v="159"/>
    <n v="3"/>
    <n v="477"/>
  </r>
  <r>
    <s v="1089"/>
    <x v="346"/>
    <n v="1"/>
    <x v="1"/>
    <x v="1"/>
    <x v="1"/>
    <x v="4"/>
    <n v="399"/>
    <n v="1"/>
    <n v="399"/>
  </r>
  <r>
    <s v="1090"/>
    <x v="347"/>
    <n v="18"/>
    <x v="3"/>
    <x v="3"/>
    <x v="3"/>
    <x v="1"/>
    <n v="289"/>
    <n v="9"/>
    <n v="2601"/>
  </r>
  <r>
    <s v="1091"/>
    <x v="348"/>
    <n v="15"/>
    <x v="19"/>
    <x v="6"/>
    <x v="0"/>
    <x v="1"/>
    <n v="289"/>
    <n v="9"/>
    <n v="2601"/>
  </r>
  <r>
    <s v="1092"/>
    <x v="348"/>
    <n v="8"/>
    <x v="10"/>
    <x v="2"/>
    <x v="2"/>
    <x v="1"/>
    <n v="289"/>
    <n v="2"/>
    <n v="578"/>
  </r>
  <r>
    <s v="1093"/>
    <x v="349"/>
    <n v="18"/>
    <x v="3"/>
    <x v="3"/>
    <x v="3"/>
    <x v="2"/>
    <n v="159"/>
    <n v="4"/>
    <n v="636"/>
  </r>
  <r>
    <s v="1094"/>
    <x v="349"/>
    <n v="5"/>
    <x v="15"/>
    <x v="7"/>
    <x v="1"/>
    <x v="3"/>
    <n v="69"/>
    <n v="1"/>
    <n v="69"/>
  </r>
  <r>
    <s v="1095"/>
    <x v="349"/>
    <n v="20"/>
    <x v="8"/>
    <x v="4"/>
    <x v="3"/>
    <x v="1"/>
    <n v="289"/>
    <n v="3"/>
    <n v="867"/>
  </r>
  <r>
    <s v="1096"/>
    <x v="350"/>
    <n v="12"/>
    <x v="16"/>
    <x v="0"/>
    <x v="0"/>
    <x v="4"/>
    <n v="399"/>
    <n v="5"/>
    <n v="1995"/>
  </r>
  <r>
    <s v="1097"/>
    <x v="350"/>
    <n v="1"/>
    <x v="1"/>
    <x v="1"/>
    <x v="1"/>
    <x v="3"/>
    <n v="69"/>
    <n v="6"/>
    <n v="414"/>
  </r>
  <r>
    <s v="1098"/>
    <x v="351"/>
    <n v="10"/>
    <x v="14"/>
    <x v="2"/>
    <x v="2"/>
    <x v="0"/>
    <n v="199"/>
    <n v="3"/>
    <n v="597"/>
  </r>
  <r>
    <s v="1099"/>
    <x v="351"/>
    <n v="3"/>
    <x v="9"/>
    <x v="1"/>
    <x v="1"/>
    <x v="3"/>
    <n v="69"/>
    <n v="2"/>
    <n v="138"/>
  </r>
  <r>
    <s v="1100"/>
    <x v="351"/>
    <n v="8"/>
    <x v="10"/>
    <x v="5"/>
    <x v="2"/>
    <x v="2"/>
    <n v="159"/>
    <n v="3"/>
    <n v="477"/>
  </r>
  <r>
    <s v="1101"/>
    <x v="351"/>
    <n v="8"/>
    <x v="10"/>
    <x v="2"/>
    <x v="2"/>
    <x v="3"/>
    <n v="69"/>
    <n v="9"/>
    <n v="621"/>
  </r>
  <r>
    <s v="1102"/>
    <x v="351"/>
    <n v="12"/>
    <x v="16"/>
    <x v="0"/>
    <x v="0"/>
    <x v="4"/>
    <n v="399"/>
    <n v="3"/>
    <n v="1197"/>
  </r>
  <r>
    <s v="1103"/>
    <x v="351"/>
    <n v="5"/>
    <x v="15"/>
    <x v="7"/>
    <x v="1"/>
    <x v="4"/>
    <n v="399"/>
    <n v="0"/>
    <n v="0"/>
  </r>
  <r>
    <s v="1104"/>
    <x v="351"/>
    <n v="12"/>
    <x v="16"/>
    <x v="6"/>
    <x v="0"/>
    <x v="0"/>
    <n v="199"/>
    <n v="2"/>
    <n v="398"/>
  </r>
  <r>
    <s v="1105"/>
    <x v="351"/>
    <n v="12"/>
    <x v="16"/>
    <x v="0"/>
    <x v="0"/>
    <x v="2"/>
    <n v="159"/>
    <n v="7"/>
    <n v="1113"/>
  </r>
  <r>
    <s v="1106"/>
    <x v="351"/>
    <n v="20"/>
    <x v="8"/>
    <x v="3"/>
    <x v="3"/>
    <x v="1"/>
    <n v="289"/>
    <n v="4"/>
    <n v="1156"/>
  </r>
  <r>
    <s v="1107"/>
    <x v="351"/>
    <n v="7"/>
    <x v="17"/>
    <x v="5"/>
    <x v="2"/>
    <x v="0"/>
    <n v="199"/>
    <n v="9"/>
    <n v="1791"/>
  </r>
  <r>
    <s v="1108"/>
    <x v="351"/>
    <n v="14"/>
    <x v="7"/>
    <x v="0"/>
    <x v="0"/>
    <x v="4"/>
    <n v="399"/>
    <n v="5"/>
    <n v="1995"/>
  </r>
  <r>
    <s v="1109"/>
    <x v="352"/>
    <n v="11"/>
    <x v="0"/>
    <x v="0"/>
    <x v="0"/>
    <x v="2"/>
    <n v="159"/>
    <n v="2"/>
    <n v="318"/>
  </r>
  <r>
    <s v="1110"/>
    <x v="352"/>
    <n v="10"/>
    <x v="14"/>
    <x v="5"/>
    <x v="2"/>
    <x v="2"/>
    <n v="159"/>
    <n v="9"/>
    <n v="1431"/>
  </r>
  <r>
    <s v="1111"/>
    <x v="353"/>
    <n v="4"/>
    <x v="12"/>
    <x v="1"/>
    <x v="1"/>
    <x v="4"/>
    <n v="399"/>
    <n v="8"/>
    <n v="3192"/>
  </r>
  <r>
    <s v="1112"/>
    <x v="353"/>
    <n v="10"/>
    <x v="14"/>
    <x v="2"/>
    <x v="2"/>
    <x v="3"/>
    <n v="69"/>
    <n v="6"/>
    <n v="414"/>
  </r>
  <r>
    <s v="1113"/>
    <x v="353"/>
    <n v="19"/>
    <x v="13"/>
    <x v="3"/>
    <x v="3"/>
    <x v="3"/>
    <n v="69"/>
    <n v="7"/>
    <n v="483"/>
  </r>
  <r>
    <s v="1114"/>
    <x v="353"/>
    <n v="13"/>
    <x v="5"/>
    <x v="0"/>
    <x v="0"/>
    <x v="3"/>
    <n v="69"/>
    <n v="8"/>
    <n v="552"/>
  </r>
  <r>
    <s v="1115"/>
    <x v="353"/>
    <n v="20"/>
    <x v="8"/>
    <x v="4"/>
    <x v="3"/>
    <x v="0"/>
    <n v="199"/>
    <n v="1"/>
    <n v="199"/>
  </r>
  <r>
    <s v="1116"/>
    <x v="353"/>
    <n v="14"/>
    <x v="7"/>
    <x v="0"/>
    <x v="0"/>
    <x v="2"/>
    <n v="159"/>
    <n v="9"/>
    <n v="1431"/>
  </r>
  <r>
    <s v="1117"/>
    <x v="353"/>
    <n v="9"/>
    <x v="2"/>
    <x v="2"/>
    <x v="2"/>
    <x v="1"/>
    <n v="289"/>
    <n v="5"/>
    <n v="1445"/>
  </r>
  <r>
    <s v="1118"/>
    <x v="353"/>
    <n v="18"/>
    <x v="3"/>
    <x v="3"/>
    <x v="3"/>
    <x v="4"/>
    <n v="399"/>
    <n v="7"/>
    <n v="2793"/>
  </r>
  <r>
    <s v="1119"/>
    <x v="353"/>
    <n v="10"/>
    <x v="14"/>
    <x v="2"/>
    <x v="2"/>
    <x v="0"/>
    <n v="199"/>
    <n v="6"/>
    <n v="1194"/>
  </r>
  <r>
    <s v="1120"/>
    <x v="354"/>
    <n v="1"/>
    <x v="1"/>
    <x v="7"/>
    <x v="1"/>
    <x v="2"/>
    <n v="159"/>
    <n v="8"/>
    <n v="1272"/>
  </r>
  <r>
    <s v="1121"/>
    <x v="355"/>
    <n v="14"/>
    <x v="7"/>
    <x v="6"/>
    <x v="0"/>
    <x v="4"/>
    <n v="399"/>
    <n v="7"/>
    <n v="2793"/>
  </r>
  <r>
    <s v="1122"/>
    <x v="356"/>
    <n v="6"/>
    <x v="11"/>
    <x v="5"/>
    <x v="2"/>
    <x v="2"/>
    <n v="159"/>
    <n v="2"/>
    <n v="318"/>
  </r>
  <r>
    <s v="1123"/>
    <x v="356"/>
    <n v="9"/>
    <x v="2"/>
    <x v="2"/>
    <x v="2"/>
    <x v="2"/>
    <n v="159"/>
    <n v="9"/>
    <n v="1431"/>
  </r>
  <r>
    <s v="1124"/>
    <x v="356"/>
    <n v="14"/>
    <x v="7"/>
    <x v="0"/>
    <x v="0"/>
    <x v="2"/>
    <n v="159"/>
    <n v="2"/>
    <n v="318"/>
  </r>
  <r>
    <s v="1125"/>
    <x v="356"/>
    <n v="19"/>
    <x v="13"/>
    <x v="3"/>
    <x v="3"/>
    <x v="3"/>
    <n v="69"/>
    <n v="5"/>
    <n v="345"/>
  </r>
  <r>
    <s v="1126"/>
    <x v="356"/>
    <n v="11"/>
    <x v="0"/>
    <x v="0"/>
    <x v="0"/>
    <x v="1"/>
    <n v="289"/>
    <n v="9"/>
    <n v="2601"/>
  </r>
  <r>
    <s v="1127"/>
    <x v="356"/>
    <n v="17"/>
    <x v="6"/>
    <x v="4"/>
    <x v="3"/>
    <x v="0"/>
    <n v="199"/>
    <n v="9"/>
    <n v="1791"/>
  </r>
  <r>
    <s v="1128"/>
    <x v="357"/>
    <n v="9"/>
    <x v="2"/>
    <x v="5"/>
    <x v="2"/>
    <x v="4"/>
    <n v="399"/>
    <n v="2"/>
    <n v="798"/>
  </r>
  <r>
    <s v="1129"/>
    <x v="357"/>
    <n v="13"/>
    <x v="5"/>
    <x v="0"/>
    <x v="0"/>
    <x v="2"/>
    <n v="159"/>
    <n v="2"/>
    <n v="318"/>
  </r>
  <r>
    <s v="1130"/>
    <x v="358"/>
    <n v="18"/>
    <x v="3"/>
    <x v="4"/>
    <x v="3"/>
    <x v="0"/>
    <n v="199"/>
    <n v="8"/>
    <n v="1592"/>
  </r>
  <r>
    <s v="1131"/>
    <x v="358"/>
    <n v="4"/>
    <x v="12"/>
    <x v="7"/>
    <x v="1"/>
    <x v="3"/>
    <n v="69"/>
    <n v="7"/>
    <n v="483"/>
  </r>
  <r>
    <s v="1132"/>
    <x v="358"/>
    <n v="17"/>
    <x v="6"/>
    <x v="3"/>
    <x v="3"/>
    <x v="0"/>
    <n v="199"/>
    <n v="3"/>
    <n v="597"/>
  </r>
  <r>
    <s v="1133"/>
    <x v="358"/>
    <n v="8"/>
    <x v="10"/>
    <x v="5"/>
    <x v="2"/>
    <x v="3"/>
    <n v="69"/>
    <n v="2"/>
    <n v="138"/>
  </r>
  <r>
    <s v="1134"/>
    <x v="358"/>
    <n v="12"/>
    <x v="16"/>
    <x v="6"/>
    <x v="0"/>
    <x v="2"/>
    <n v="159"/>
    <n v="5"/>
    <n v="795"/>
  </r>
  <r>
    <s v="1135"/>
    <x v="358"/>
    <n v="5"/>
    <x v="15"/>
    <x v="1"/>
    <x v="1"/>
    <x v="1"/>
    <n v="289"/>
    <n v="4"/>
    <n v="1156"/>
  </r>
  <r>
    <s v="1136"/>
    <x v="358"/>
    <n v="16"/>
    <x v="4"/>
    <x v="3"/>
    <x v="3"/>
    <x v="2"/>
    <n v="159"/>
    <n v="4"/>
    <n v="636"/>
  </r>
  <r>
    <s v="1137"/>
    <x v="358"/>
    <n v="3"/>
    <x v="9"/>
    <x v="7"/>
    <x v="1"/>
    <x v="1"/>
    <n v="289"/>
    <n v="6"/>
    <n v="1734"/>
  </r>
  <r>
    <s v="1138"/>
    <x v="358"/>
    <n v="14"/>
    <x v="7"/>
    <x v="0"/>
    <x v="0"/>
    <x v="2"/>
    <n v="159"/>
    <n v="0"/>
    <n v="0"/>
  </r>
  <r>
    <s v="1139"/>
    <x v="359"/>
    <n v="11"/>
    <x v="0"/>
    <x v="0"/>
    <x v="0"/>
    <x v="1"/>
    <n v="289"/>
    <n v="2"/>
    <n v="578"/>
  </r>
  <r>
    <s v="1140"/>
    <x v="360"/>
    <n v="6"/>
    <x v="11"/>
    <x v="5"/>
    <x v="2"/>
    <x v="2"/>
    <n v="159"/>
    <n v="1"/>
    <n v="159"/>
  </r>
  <r>
    <s v="1141"/>
    <x v="360"/>
    <n v="15"/>
    <x v="19"/>
    <x v="0"/>
    <x v="0"/>
    <x v="2"/>
    <n v="159"/>
    <n v="0"/>
    <n v="0"/>
  </r>
  <r>
    <s v="1142"/>
    <x v="360"/>
    <n v="16"/>
    <x v="4"/>
    <x v="3"/>
    <x v="3"/>
    <x v="4"/>
    <n v="399"/>
    <n v="8"/>
    <n v="3192"/>
  </r>
  <r>
    <s v="1143"/>
    <x v="361"/>
    <n v="17"/>
    <x v="6"/>
    <x v="3"/>
    <x v="3"/>
    <x v="3"/>
    <n v="69"/>
    <n v="6"/>
    <n v="414"/>
  </r>
  <r>
    <s v="1144"/>
    <x v="362"/>
    <n v="11"/>
    <x v="0"/>
    <x v="0"/>
    <x v="0"/>
    <x v="4"/>
    <n v="399"/>
    <n v="2"/>
    <n v="798"/>
  </r>
  <r>
    <s v="1145"/>
    <x v="363"/>
    <n v="12"/>
    <x v="16"/>
    <x v="0"/>
    <x v="0"/>
    <x v="4"/>
    <n v="399"/>
    <n v="8"/>
    <n v="3192"/>
  </r>
  <r>
    <s v="1146"/>
    <x v="364"/>
    <n v="4"/>
    <x v="12"/>
    <x v="1"/>
    <x v="1"/>
    <x v="0"/>
    <n v="199"/>
    <n v="8"/>
    <n v="1592"/>
  </r>
  <r>
    <s v="1147"/>
    <x v="365"/>
    <n v="20"/>
    <x v="8"/>
    <x v="4"/>
    <x v="3"/>
    <x v="4"/>
    <n v="399"/>
    <n v="4"/>
    <n v="1596"/>
  </r>
  <r>
    <s v="1148"/>
    <x v="366"/>
    <n v="19"/>
    <x v="13"/>
    <x v="4"/>
    <x v="3"/>
    <x v="0"/>
    <n v="199"/>
    <n v="0"/>
    <n v="0"/>
  </r>
  <r>
    <s v="1149"/>
    <x v="366"/>
    <n v="10"/>
    <x v="14"/>
    <x v="2"/>
    <x v="2"/>
    <x v="2"/>
    <n v="159"/>
    <n v="7"/>
    <n v="1113"/>
  </r>
  <r>
    <s v="1150"/>
    <x v="366"/>
    <n v="5"/>
    <x v="15"/>
    <x v="7"/>
    <x v="1"/>
    <x v="2"/>
    <n v="159"/>
    <n v="0"/>
    <n v="0"/>
  </r>
  <r>
    <s v="1151"/>
    <x v="367"/>
    <n v="1"/>
    <x v="1"/>
    <x v="7"/>
    <x v="1"/>
    <x v="1"/>
    <n v="289"/>
    <n v="4"/>
    <n v="1156"/>
  </r>
  <r>
    <s v="1152"/>
    <x v="367"/>
    <n v="1"/>
    <x v="1"/>
    <x v="7"/>
    <x v="1"/>
    <x v="3"/>
    <n v="69"/>
    <n v="7"/>
    <n v="483"/>
  </r>
  <r>
    <s v="1153"/>
    <x v="368"/>
    <n v="20"/>
    <x v="8"/>
    <x v="4"/>
    <x v="3"/>
    <x v="2"/>
    <n v="159"/>
    <n v="2"/>
    <n v="318"/>
  </r>
  <r>
    <s v="1154"/>
    <x v="369"/>
    <n v="4"/>
    <x v="12"/>
    <x v="7"/>
    <x v="1"/>
    <x v="3"/>
    <n v="69"/>
    <n v="1"/>
    <n v="69"/>
  </r>
  <r>
    <s v="1155"/>
    <x v="369"/>
    <n v="12"/>
    <x v="16"/>
    <x v="0"/>
    <x v="0"/>
    <x v="3"/>
    <n v="69"/>
    <n v="5"/>
    <n v="345"/>
  </r>
  <r>
    <s v="1156"/>
    <x v="369"/>
    <n v="15"/>
    <x v="19"/>
    <x v="6"/>
    <x v="0"/>
    <x v="1"/>
    <n v="289"/>
    <n v="0"/>
    <n v="0"/>
  </r>
  <r>
    <s v="1157"/>
    <x v="369"/>
    <n v="17"/>
    <x v="6"/>
    <x v="3"/>
    <x v="3"/>
    <x v="3"/>
    <n v="69"/>
    <n v="6"/>
    <n v="414"/>
  </r>
  <r>
    <s v="1158"/>
    <x v="369"/>
    <n v="17"/>
    <x v="6"/>
    <x v="3"/>
    <x v="3"/>
    <x v="0"/>
    <n v="199"/>
    <n v="6"/>
    <n v="1194"/>
  </r>
  <r>
    <s v="1159"/>
    <x v="370"/>
    <n v="7"/>
    <x v="17"/>
    <x v="5"/>
    <x v="2"/>
    <x v="2"/>
    <n v="159"/>
    <n v="1"/>
    <n v="159"/>
  </r>
  <r>
    <s v="1160"/>
    <x v="370"/>
    <n v="20"/>
    <x v="8"/>
    <x v="4"/>
    <x v="3"/>
    <x v="0"/>
    <n v="199"/>
    <n v="0"/>
    <n v="0"/>
  </r>
  <r>
    <s v="1161"/>
    <x v="370"/>
    <n v="10"/>
    <x v="14"/>
    <x v="5"/>
    <x v="2"/>
    <x v="1"/>
    <n v="289"/>
    <n v="3"/>
    <n v="867"/>
  </r>
  <r>
    <s v="1162"/>
    <x v="370"/>
    <n v="15"/>
    <x v="19"/>
    <x v="6"/>
    <x v="0"/>
    <x v="0"/>
    <n v="199"/>
    <n v="7"/>
    <n v="1393"/>
  </r>
  <r>
    <s v="1163"/>
    <x v="371"/>
    <n v="17"/>
    <x v="6"/>
    <x v="4"/>
    <x v="3"/>
    <x v="0"/>
    <n v="199"/>
    <n v="0"/>
    <n v="0"/>
  </r>
  <r>
    <s v="1164"/>
    <x v="371"/>
    <n v="7"/>
    <x v="17"/>
    <x v="2"/>
    <x v="2"/>
    <x v="3"/>
    <n v="69"/>
    <n v="6"/>
    <n v="414"/>
  </r>
  <r>
    <s v="1165"/>
    <x v="371"/>
    <n v="6"/>
    <x v="11"/>
    <x v="2"/>
    <x v="2"/>
    <x v="0"/>
    <n v="199"/>
    <n v="1"/>
    <n v="199"/>
  </r>
  <r>
    <s v="1166"/>
    <x v="371"/>
    <n v="13"/>
    <x v="5"/>
    <x v="6"/>
    <x v="0"/>
    <x v="1"/>
    <n v="289"/>
    <n v="9"/>
    <n v="2601"/>
  </r>
  <r>
    <s v="1167"/>
    <x v="372"/>
    <n v="13"/>
    <x v="5"/>
    <x v="6"/>
    <x v="0"/>
    <x v="3"/>
    <n v="69"/>
    <n v="9"/>
    <n v="621"/>
  </r>
  <r>
    <s v="1168"/>
    <x v="372"/>
    <n v="3"/>
    <x v="9"/>
    <x v="7"/>
    <x v="1"/>
    <x v="2"/>
    <n v="159"/>
    <n v="6"/>
    <n v="954"/>
  </r>
  <r>
    <s v="1169"/>
    <x v="372"/>
    <n v="13"/>
    <x v="5"/>
    <x v="6"/>
    <x v="0"/>
    <x v="3"/>
    <n v="69"/>
    <n v="6"/>
    <n v="414"/>
  </r>
  <r>
    <s v="1170"/>
    <x v="373"/>
    <n v="3"/>
    <x v="9"/>
    <x v="7"/>
    <x v="1"/>
    <x v="2"/>
    <n v="159"/>
    <n v="0"/>
    <n v="0"/>
  </r>
  <r>
    <s v="1171"/>
    <x v="374"/>
    <n v="14"/>
    <x v="7"/>
    <x v="0"/>
    <x v="0"/>
    <x v="0"/>
    <n v="199"/>
    <n v="7"/>
    <n v="1393"/>
  </r>
  <r>
    <s v="1172"/>
    <x v="374"/>
    <n v="11"/>
    <x v="0"/>
    <x v="6"/>
    <x v="0"/>
    <x v="2"/>
    <n v="159"/>
    <n v="4"/>
    <n v="636"/>
  </r>
  <r>
    <s v="1173"/>
    <x v="374"/>
    <n v="6"/>
    <x v="11"/>
    <x v="5"/>
    <x v="2"/>
    <x v="0"/>
    <n v="199"/>
    <n v="2"/>
    <n v="398"/>
  </r>
  <r>
    <s v="1174"/>
    <x v="375"/>
    <n v="11"/>
    <x v="0"/>
    <x v="0"/>
    <x v="0"/>
    <x v="0"/>
    <n v="199"/>
    <n v="6"/>
    <n v="1194"/>
  </r>
  <r>
    <s v="1175"/>
    <x v="376"/>
    <n v="16"/>
    <x v="4"/>
    <x v="4"/>
    <x v="3"/>
    <x v="3"/>
    <n v="69"/>
    <n v="1"/>
    <n v="69"/>
  </r>
  <r>
    <s v="1176"/>
    <x v="376"/>
    <n v="8"/>
    <x v="10"/>
    <x v="2"/>
    <x v="2"/>
    <x v="3"/>
    <n v="69"/>
    <n v="1"/>
    <n v="69"/>
  </r>
  <r>
    <s v="1177"/>
    <x v="376"/>
    <n v="5"/>
    <x v="15"/>
    <x v="7"/>
    <x v="1"/>
    <x v="0"/>
    <n v="199"/>
    <n v="9"/>
    <n v="1791"/>
  </r>
  <r>
    <s v="1178"/>
    <x v="376"/>
    <n v="19"/>
    <x v="13"/>
    <x v="3"/>
    <x v="3"/>
    <x v="4"/>
    <n v="399"/>
    <n v="5"/>
    <n v="1995"/>
  </r>
  <r>
    <s v="1179"/>
    <x v="376"/>
    <n v="10"/>
    <x v="14"/>
    <x v="5"/>
    <x v="2"/>
    <x v="4"/>
    <n v="399"/>
    <n v="7"/>
    <n v="2793"/>
  </r>
  <r>
    <s v="1180"/>
    <x v="376"/>
    <n v="14"/>
    <x v="7"/>
    <x v="0"/>
    <x v="0"/>
    <x v="3"/>
    <n v="69"/>
    <n v="8"/>
    <n v="552"/>
  </r>
  <r>
    <s v="1181"/>
    <x v="376"/>
    <n v="11"/>
    <x v="0"/>
    <x v="6"/>
    <x v="0"/>
    <x v="4"/>
    <n v="399"/>
    <n v="4"/>
    <n v="1596"/>
  </r>
  <r>
    <s v="1182"/>
    <x v="377"/>
    <n v="15"/>
    <x v="19"/>
    <x v="6"/>
    <x v="0"/>
    <x v="1"/>
    <n v="289"/>
    <n v="2"/>
    <n v="578"/>
  </r>
  <r>
    <s v="1183"/>
    <x v="377"/>
    <n v="3"/>
    <x v="9"/>
    <x v="7"/>
    <x v="1"/>
    <x v="4"/>
    <n v="399"/>
    <n v="7"/>
    <n v="2793"/>
  </r>
  <r>
    <s v="1184"/>
    <x v="377"/>
    <n v="15"/>
    <x v="19"/>
    <x v="6"/>
    <x v="0"/>
    <x v="0"/>
    <n v="199"/>
    <n v="3"/>
    <n v="597"/>
  </r>
  <r>
    <s v="1185"/>
    <x v="377"/>
    <n v="13"/>
    <x v="5"/>
    <x v="0"/>
    <x v="0"/>
    <x v="2"/>
    <n v="159"/>
    <n v="0"/>
    <n v="0"/>
  </r>
  <r>
    <s v="1186"/>
    <x v="377"/>
    <n v="3"/>
    <x v="9"/>
    <x v="7"/>
    <x v="1"/>
    <x v="2"/>
    <n v="159"/>
    <n v="4"/>
    <n v="636"/>
  </r>
  <r>
    <s v="1187"/>
    <x v="377"/>
    <n v="4"/>
    <x v="12"/>
    <x v="7"/>
    <x v="1"/>
    <x v="4"/>
    <n v="399"/>
    <n v="2"/>
    <n v="798"/>
  </r>
  <r>
    <s v="1188"/>
    <x v="377"/>
    <n v="8"/>
    <x v="10"/>
    <x v="2"/>
    <x v="2"/>
    <x v="2"/>
    <n v="159"/>
    <n v="6"/>
    <n v="954"/>
  </r>
  <r>
    <s v="1189"/>
    <x v="377"/>
    <n v="12"/>
    <x v="16"/>
    <x v="0"/>
    <x v="0"/>
    <x v="3"/>
    <n v="69"/>
    <n v="4"/>
    <n v="276"/>
  </r>
  <r>
    <s v="1190"/>
    <x v="377"/>
    <n v="2"/>
    <x v="18"/>
    <x v="1"/>
    <x v="1"/>
    <x v="4"/>
    <n v="399"/>
    <n v="4"/>
    <n v="1596"/>
  </r>
  <r>
    <s v="1191"/>
    <x v="377"/>
    <n v="18"/>
    <x v="3"/>
    <x v="4"/>
    <x v="3"/>
    <x v="4"/>
    <n v="399"/>
    <n v="1"/>
    <n v="399"/>
  </r>
  <r>
    <s v="1192"/>
    <x v="378"/>
    <n v="10"/>
    <x v="14"/>
    <x v="5"/>
    <x v="2"/>
    <x v="2"/>
    <n v="159"/>
    <n v="3"/>
    <n v="477"/>
  </r>
  <r>
    <s v="1193"/>
    <x v="378"/>
    <n v="3"/>
    <x v="9"/>
    <x v="7"/>
    <x v="1"/>
    <x v="3"/>
    <n v="69"/>
    <n v="0"/>
    <n v="0"/>
  </r>
  <r>
    <s v="1194"/>
    <x v="378"/>
    <n v="12"/>
    <x v="16"/>
    <x v="6"/>
    <x v="0"/>
    <x v="1"/>
    <n v="289"/>
    <n v="7"/>
    <n v="2023"/>
  </r>
  <r>
    <s v="1195"/>
    <x v="378"/>
    <n v="19"/>
    <x v="13"/>
    <x v="3"/>
    <x v="3"/>
    <x v="4"/>
    <n v="399"/>
    <n v="8"/>
    <n v="3192"/>
  </r>
  <r>
    <s v="1196"/>
    <x v="379"/>
    <n v="16"/>
    <x v="4"/>
    <x v="4"/>
    <x v="3"/>
    <x v="1"/>
    <n v="289"/>
    <n v="9"/>
    <n v="2601"/>
  </r>
  <r>
    <s v="1197"/>
    <x v="380"/>
    <n v="6"/>
    <x v="11"/>
    <x v="2"/>
    <x v="2"/>
    <x v="0"/>
    <n v="199"/>
    <n v="2"/>
    <n v="398"/>
  </r>
  <r>
    <s v="1198"/>
    <x v="380"/>
    <n v="16"/>
    <x v="4"/>
    <x v="4"/>
    <x v="3"/>
    <x v="3"/>
    <n v="69"/>
    <n v="9"/>
    <n v="621"/>
  </r>
  <r>
    <s v="1199"/>
    <x v="380"/>
    <n v="16"/>
    <x v="4"/>
    <x v="4"/>
    <x v="3"/>
    <x v="3"/>
    <n v="69"/>
    <n v="5"/>
    <n v="345"/>
  </r>
  <r>
    <s v="1200"/>
    <x v="380"/>
    <n v="16"/>
    <x v="4"/>
    <x v="3"/>
    <x v="3"/>
    <x v="3"/>
    <n v="69"/>
    <n v="2"/>
    <n v="138"/>
  </r>
  <r>
    <s v="1201"/>
    <x v="381"/>
    <n v="16"/>
    <x v="4"/>
    <x v="3"/>
    <x v="3"/>
    <x v="3"/>
    <n v="69"/>
    <n v="1"/>
    <n v="69"/>
  </r>
  <r>
    <s v="1202"/>
    <x v="381"/>
    <n v="18"/>
    <x v="3"/>
    <x v="4"/>
    <x v="3"/>
    <x v="1"/>
    <n v="289"/>
    <n v="2"/>
    <n v="578"/>
  </r>
  <r>
    <s v="1203"/>
    <x v="381"/>
    <n v="14"/>
    <x v="7"/>
    <x v="0"/>
    <x v="0"/>
    <x v="4"/>
    <n v="399"/>
    <n v="2"/>
    <n v="798"/>
  </r>
  <r>
    <s v="1204"/>
    <x v="381"/>
    <n v="5"/>
    <x v="15"/>
    <x v="1"/>
    <x v="1"/>
    <x v="3"/>
    <n v="69"/>
    <n v="3"/>
    <n v="207"/>
  </r>
  <r>
    <s v="1205"/>
    <x v="381"/>
    <n v="7"/>
    <x v="17"/>
    <x v="2"/>
    <x v="2"/>
    <x v="1"/>
    <n v="289"/>
    <n v="5"/>
    <n v="1445"/>
  </r>
  <r>
    <s v="1206"/>
    <x v="381"/>
    <n v="17"/>
    <x v="6"/>
    <x v="3"/>
    <x v="3"/>
    <x v="3"/>
    <n v="69"/>
    <n v="6"/>
    <n v="414"/>
  </r>
  <r>
    <s v="1207"/>
    <x v="381"/>
    <n v="10"/>
    <x v="14"/>
    <x v="5"/>
    <x v="2"/>
    <x v="2"/>
    <n v="159"/>
    <n v="3"/>
    <n v="477"/>
  </r>
  <r>
    <s v="1208"/>
    <x v="382"/>
    <n v="7"/>
    <x v="17"/>
    <x v="2"/>
    <x v="2"/>
    <x v="4"/>
    <n v="399"/>
    <n v="6"/>
    <n v="2394"/>
  </r>
  <r>
    <s v="1209"/>
    <x v="382"/>
    <n v="12"/>
    <x v="16"/>
    <x v="6"/>
    <x v="0"/>
    <x v="4"/>
    <n v="399"/>
    <n v="3"/>
    <n v="1197"/>
  </r>
  <r>
    <s v="1210"/>
    <x v="382"/>
    <n v="11"/>
    <x v="0"/>
    <x v="6"/>
    <x v="0"/>
    <x v="0"/>
    <n v="199"/>
    <n v="7"/>
    <n v="1393"/>
  </r>
  <r>
    <s v="1211"/>
    <x v="383"/>
    <n v="9"/>
    <x v="2"/>
    <x v="5"/>
    <x v="2"/>
    <x v="2"/>
    <n v="159"/>
    <n v="7"/>
    <n v="1113"/>
  </r>
  <r>
    <s v="1212"/>
    <x v="384"/>
    <n v="14"/>
    <x v="7"/>
    <x v="0"/>
    <x v="0"/>
    <x v="2"/>
    <n v="159"/>
    <n v="1"/>
    <n v="159"/>
  </r>
  <r>
    <s v="1213"/>
    <x v="384"/>
    <n v="16"/>
    <x v="4"/>
    <x v="3"/>
    <x v="3"/>
    <x v="3"/>
    <n v="69"/>
    <n v="2"/>
    <n v="138"/>
  </r>
  <r>
    <s v="1214"/>
    <x v="385"/>
    <n v="8"/>
    <x v="10"/>
    <x v="5"/>
    <x v="2"/>
    <x v="1"/>
    <n v="289"/>
    <n v="4"/>
    <n v="1156"/>
  </r>
  <r>
    <s v="1215"/>
    <x v="385"/>
    <n v="4"/>
    <x v="12"/>
    <x v="1"/>
    <x v="1"/>
    <x v="3"/>
    <n v="69"/>
    <n v="6"/>
    <n v="414"/>
  </r>
  <r>
    <s v="1216"/>
    <x v="385"/>
    <n v="10"/>
    <x v="14"/>
    <x v="5"/>
    <x v="2"/>
    <x v="2"/>
    <n v="159"/>
    <n v="1"/>
    <n v="159"/>
  </r>
  <r>
    <s v="1217"/>
    <x v="385"/>
    <n v="4"/>
    <x v="12"/>
    <x v="7"/>
    <x v="1"/>
    <x v="2"/>
    <n v="159"/>
    <n v="4"/>
    <n v="636"/>
  </r>
  <r>
    <s v="1218"/>
    <x v="386"/>
    <n v="12"/>
    <x v="16"/>
    <x v="0"/>
    <x v="0"/>
    <x v="3"/>
    <n v="69"/>
    <n v="7"/>
    <n v="483"/>
  </r>
  <r>
    <s v="1219"/>
    <x v="386"/>
    <n v="2"/>
    <x v="18"/>
    <x v="7"/>
    <x v="1"/>
    <x v="1"/>
    <n v="289"/>
    <n v="5"/>
    <n v="1445"/>
  </r>
  <r>
    <s v="1220"/>
    <x v="386"/>
    <n v="7"/>
    <x v="17"/>
    <x v="2"/>
    <x v="2"/>
    <x v="1"/>
    <n v="289"/>
    <n v="7"/>
    <n v="2023"/>
  </r>
  <r>
    <s v="1221"/>
    <x v="387"/>
    <n v="10"/>
    <x v="14"/>
    <x v="5"/>
    <x v="2"/>
    <x v="2"/>
    <n v="159"/>
    <n v="6"/>
    <n v="954"/>
  </r>
  <r>
    <s v="1222"/>
    <x v="388"/>
    <n v="8"/>
    <x v="10"/>
    <x v="2"/>
    <x v="2"/>
    <x v="2"/>
    <n v="159"/>
    <n v="4"/>
    <n v="636"/>
  </r>
  <r>
    <s v="1223"/>
    <x v="389"/>
    <n v="18"/>
    <x v="3"/>
    <x v="4"/>
    <x v="3"/>
    <x v="4"/>
    <n v="399"/>
    <n v="9"/>
    <n v="3591"/>
  </r>
  <r>
    <s v="1224"/>
    <x v="390"/>
    <n v="4"/>
    <x v="12"/>
    <x v="1"/>
    <x v="1"/>
    <x v="0"/>
    <n v="199"/>
    <n v="5"/>
    <n v="995"/>
  </r>
  <r>
    <s v="1225"/>
    <x v="390"/>
    <n v="7"/>
    <x v="17"/>
    <x v="5"/>
    <x v="2"/>
    <x v="4"/>
    <n v="399"/>
    <n v="8"/>
    <n v="3192"/>
  </r>
  <r>
    <s v="1226"/>
    <x v="390"/>
    <n v="1"/>
    <x v="1"/>
    <x v="7"/>
    <x v="1"/>
    <x v="4"/>
    <n v="399"/>
    <n v="4"/>
    <n v="1596"/>
  </r>
  <r>
    <s v="1227"/>
    <x v="390"/>
    <n v="10"/>
    <x v="14"/>
    <x v="2"/>
    <x v="2"/>
    <x v="4"/>
    <n v="399"/>
    <n v="4"/>
    <n v="1596"/>
  </r>
  <r>
    <s v="1228"/>
    <x v="391"/>
    <n v="17"/>
    <x v="6"/>
    <x v="3"/>
    <x v="3"/>
    <x v="1"/>
    <n v="289"/>
    <n v="2"/>
    <n v="578"/>
  </r>
  <r>
    <s v="1229"/>
    <x v="392"/>
    <n v="12"/>
    <x v="16"/>
    <x v="6"/>
    <x v="0"/>
    <x v="0"/>
    <n v="199"/>
    <n v="4"/>
    <n v="796"/>
  </r>
  <r>
    <s v="1230"/>
    <x v="392"/>
    <n v="3"/>
    <x v="9"/>
    <x v="1"/>
    <x v="1"/>
    <x v="4"/>
    <n v="399"/>
    <n v="5"/>
    <n v="1995"/>
  </r>
  <r>
    <s v="1231"/>
    <x v="392"/>
    <n v="2"/>
    <x v="18"/>
    <x v="7"/>
    <x v="1"/>
    <x v="3"/>
    <n v="69"/>
    <n v="3"/>
    <n v="207"/>
  </r>
  <r>
    <s v="1232"/>
    <x v="392"/>
    <n v="4"/>
    <x v="12"/>
    <x v="1"/>
    <x v="1"/>
    <x v="2"/>
    <n v="159"/>
    <n v="7"/>
    <n v="1113"/>
  </r>
  <r>
    <s v="1233"/>
    <x v="392"/>
    <n v="5"/>
    <x v="15"/>
    <x v="1"/>
    <x v="1"/>
    <x v="3"/>
    <n v="69"/>
    <n v="2"/>
    <n v="138"/>
  </r>
  <r>
    <s v="1234"/>
    <x v="393"/>
    <n v="9"/>
    <x v="2"/>
    <x v="5"/>
    <x v="2"/>
    <x v="2"/>
    <n v="159"/>
    <n v="3"/>
    <n v="477"/>
  </r>
  <r>
    <s v="1235"/>
    <x v="393"/>
    <n v="9"/>
    <x v="2"/>
    <x v="5"/>
    <x v="2"/>
    <x v="1"/>
    <n v="289"/>
    <n v="1"/>
    <n v="289"/>
  </r>
  <r>
    <s v="1236"/>
    <x v="394"/>
    <n v="3"/>
    <x v="9"/>
    <x v="7"/>
    <x v="1"/>
    <x v="2"/>
    <n v="159"/>
    <n v="9"/>
    <n v="1431"/>
  </r>
  <r>
    <s v="1237"/>
    <x v="395"/>
    <n v="2"/>
    <x v="18"/>
    <x v="7"/>
    <x v="1"/>
    <x v="4"/>
    <n v="399"/>
    <n v="7"/>
    <n v="2793"/>
  </r>
  <r>
    <s v="1238"/>
    <x v="396"/>
    <n v="13"/>
    <x v="5"/>
    <x v="6"/>
    <x v="0"/>
    <x v="1"/>
    <n v="289"/>
    <n v="9"/>
    <n v="2601"/>
  </r>
  <r>
    <s v="1239"/>
    <x v="397"/>
    <n v="8"/>
    <x v="10"/>
    <x v="2"/>
    <x v="2"/>
    <x v="1"/>
    <n v="289"/>
    <n v="3"/>
    <n v="867"/>
  </r>
  <r>
    <s v="1240"/>
    <x v="398"/>
    <n v="12"/>
    <x v="16"/>
    <x v="0"/>
    <x v="0"/>
    <x v="0"/>
    <n v="199"/>
    <n v="3"/>
    <n v="597"/>
  </r>
  <r>
    <s v="1241"/>
    <x v="398"/>
    <n v="6"/>
    <x v="11"/>
    <x v="5"/>
    <x v="2"/>
    <x v="3"/>
    <n v="69"/>
    <n v="5"/>
    <n v="345"/>
  </r>
  <r>
    <s v="1242"/>
    <x v="399"/>
    <n v="9"/>
    <x v="2"/>
    <x v="5"/>
    <x v="2"/>
    <x v="1"/>
    <n v="289"/>
    <n v="0"/>
    <n v="0"/>
  </r>
  <r>
    <s v="1243"/>
    <x v="400"/>
    <n v="16"/>
    <x v="4"/>
    <x v="4"/>
    <x v="3"/>
    <x v="1"/>
    <n v="289"/>
    <n v="9"/>
    <n v="2601"/>
  </r>
  <r>
    <s v="1244"/>
    <x v="400"/>
    <n v="16"/>
    <x v="4"/>
    <x v="3"/>
    <x v="3"/>
    <x v="1"/>
    <n v="289"/>
    <n v="9"/>
    <n v="2601"/>
  </r>
  <r>
    <s v="1245"/>
    <x v="400"/>
    <n v="8"/>
    <x v="10"/>
    <x v="2"/>
    <x v="2"/>
    <x v="0"/>
    <n v="199"/>
    <n v="0"/>
    <n v="0"/>
  </r>
  <r>
    <s v="1246"/>
    <x v="400"/>
    <n v="3"/>
    <x v="9"/>
    <x v="7"/>
    <x v="1"/>
    <x v="1"/>
    <n v="289"/>
    <n v="9"/>
    <n v="2601"/>
  </r>
  <r>
    <s v="1247"/>
    <x v="400"/>
    <n v="12"/>
    <x v="16"/>
    <x v="0"/>
    <x v="0"/>
    <x v="2"/>
    <n v="159"/>
    <n v="2"/>
    <n v="318"/>
  </r>
  <r>
    <s v="1248"/>
    <x v="400"/>
    <n v="11"/>
    <x v="0"/>
    <x v="0"/>
    <x v="0"/>
    <x v="3"/>
    <n v="69"/>
    <n v="4"/>
    <n v="276"/>
  </r>
  <r>
    <s v="1249"/>
    <x v="400"/>
    <n v="9"/>
    <x v="2"/>
    <x v="5"/>
    <x v="2"/>
    <x v="4"/>
    <n v="399"/>
    <n v="7"/>
    <n v="2793"/>
  </r>
  <r>
    <s v="1250"/>
    <x v="400"/>
    <n v="3"/>
    <x v="9"/>
    <x v="1"/>
    <x v="1"/>
    <x v="3"/>
    <n v="69"/>
    <n v="6"/>
    <n v="414"/>
  </r>
  <r>
    <s v="1251"/>
    <x v="400"/>
    <n v="3"/>
    <x v="9"/>
    <x v="7"/>
    <x v="1"/>
    <x v="0"/>
    <n v="199"/>
    <n v="1"/>
    <n v="199"/>
  </r>
  <r>
    <s v="1252"/>
    <x v="401"/>
    <n v="9"/>
    <x v="2"/>
    <x v="2"/>
    <x v="2"/>
    <x v="1"/>
    <n v="289"/>
    <n v="4"/>
    <n v="1156"/>
  </r>
  <r>
    <s v="1253"/>
    <x v="401"/>
    <n v="12"/>
    <x v="16"/>
    <x v="6"/>
    <x v="0"/>
    <x v="2"/>
    <n v="159"/>
    <n v="2"/>
    <n v="318"/>
  </r>
  <r>
    <s v="1254"/>
    <x v="402"/>
    <n v="15"/>
    <x v="19"/>
    <x v="0"/>
    <x v="0"/>
    <x v="0"/>
    <n v="199"/>
    <n v="8"/>
    <n v="1592"/>
  </r>
  <r>
    <s v="1255"/>
    <x v="402"/>
    <n v="14"/>
    <x v="7"/>
    <x v="0"/>
    <x v="0"/>
    <x v="4"/>
    <n v="399"/>
    <n v="4"/>
    <n v="1596"/>
  </r>
  <r>
    <s v="1256"/>
    <x v="402"/>
    <n v="8"/>
    <x v="10"/>
    <x v="2"/>
    <x v="2"/>
    <x v="4"/>
    <n v="399"/>
    <n v="9"/>
    <n v="3591"/>
  </r>
  <r>
    <s v="1257"/>
    <x v="403"/>
    <n v="14"/>
    <x v="7"/>
    <x v="6"/>
    <x v="0"/>
    <x v="2"/>
    <n v="159"/>
    <n v="8"/>
    <n v="1272"/>
  </r>
  <r>
    <s v="1258"/>
    <x v="403"/>
    <n v="11"/>
    <x v="0"/>
    <x v="0"/>
    <x v="0"/>
    <x v="3"/>
    <n v="69"/>
    <n v="6"/>
    <n v="414"/>
  </r>
  <r>
    <s v="1259"/>
    <x v="404"/>
    <n v="7"/>
    <x v="17"/>
    <x v="2"/>
    <x v="2"/>
    <x v="4"/>
    <n v="399"/>
    <n v="5"/>
    <n v="1995"/>
  </r>
  <r>
    <s v="1260"/>
    <x v="404"/>
    <n v="8"/>
    <x v="10"/>
    <x v="5"/>
    <x v="2"/>
    <x v="0"/>
    <n v="199"/>
    <n v="3"/>
    <n v="597"/>
  </r>
  <r>
    <s v="1261"/>
    <x v="405"/>
    <n v="5"/>
    <x v="15"/>
    <x v="7"/>
    <x v="1"/>
    <x v="0"/>
    <n v="199"/>
    <n v="5"/>
    <n v="995"/>
  </r>
  <r>
    <s v="1262"/>
    <x v="405"/>
    <n v="13"/>
    <x v="5"/>
    <x v="6"/>
    <x v="0"/>
    <x v="2"/>
    <n v="159"/>
    <n v="8"/>
    <n v="1272"/>
  </r>
  <r>
    <s v="1263"/>
    <x v="406"/>
    <n v="20"/>
    <x v="8"/>
    <x v="3"/>
    <x v="3"/>
    <x v="4"/>
    <n v="399"/>
    <n v="2"/>
    <n v="798"/>
  </r>
  <r>
    <s v="1264"/>
    <x v="407"/>
    <n v="10"/>
    <x v="14"/>
    <x v="2"/>
    <x v="2"/>
    <x v="4"/>
    <n v="399"/>
    <n v="5"/>
    <n v="1995"/>
  </r>
  <r>
    <s v="1265"/>
    <x v="408"/>
    <n v="13"/>
    <x v="5"/>
    <x v="0"/>
    <x v="0"/>
    <x v="2"/>
    <n v="159"/>
    <n v="3"/>
    <n v="477"/>
  </r>
  <r>
    <s v="1266"/>
    <x v="408"/>
    <n v="8"/>
    <x v="10"/>
    <x v="5"/>
    <x v="2"/>
    <x v="0"/>
    <n v="199"/>
    <n v="7"/>
    <n v="1393"/>
  </r>
  <r>
    <s v="1267"/>
    <x v="408"/>
    <n v="17"/>
    <x v="6"/>
    <x v="3"/>
    <x v="3"/>
    <x v="0"/>
    <n v="199"/>
    <n v="9"/>
    <n v="1791"/>
  </r>
  <r>
    <s v="1268"/>
    <x v="409"/>
    <n v="2"/>
    <x v="18"/>
    <x v="1"/>
    <x v="1"/>
    <x v="3"/>
    <n v="69"/>
    <n v="9"/>
    <n v="621"/>
  </r>
  <r>
    <s v="1269"/>
    <x v="409"/>
    <n v="13"/>
    <x v="5"/>
    <x v="0"/>
    <x v="0"/>
    <x v="4"/>
    <n v="399"/>
    <n v="6"/>
    <n v="2394"/>
  </r>
  <r>
    <s v="1270"/>
    <x v="410"/>
    <n v="1"/>
    <x v="1"/>
    <x v="7"/>
    <x v="1"/>
    <x v="1"/>
    <n v="289"/>
    <n v="7"/>
    <n v="2023"/>
  </r>
  <r>
    <s v="1271"/>
    <x v="411"/>
    <n v="16"/>
    <x v="4"/>
    <x v="3"/>
    <x v="3"/>
    <x v="0"/>
    <n v="199"/>
    <n v="1"/>
    <n v="199"/>
  </r>
  <r>
    <s v="1272"/>
    <x v="412"/>
    <n v="11"/>
    <x v="0"/>
    <x v="6"/>
    <x v="0"/>
    <x v="1"/>
    <n v="289"/>
    <n v="4"/>
    <n v="1156"/>
  </r>
  <r>
    <s v="1273"/>
    <x v="413"/>
    <n v="20"/>
    <x v="8"/>
    <x v="4"/>
    <x v="3"/>
    <x v="0"/>
    <n v="199"/>
    <n v="5"/>
    <n v="995"/>
  </r>
  <r>
    <s v="1274"/>
    <x v="413"/>
    <n v="5"/>
    <x v="15"/>
    <x v="7"/>
    <x v="1"/>
    <x v="1"/>
    <n v="289"/>
    <n v="0"/>
    <n v="0"/>
  </r>
  <r>
    <s v="1275"/>
    <x v="413"/>
    <n v="8"/>
    <x v="10"/>
    <x v="5"/>
    <x v="2"/>
    <x v="4"/>
    <n v="399"/>
    <n v="7"/>
    <n v="2793"/>
  </r>
  <r>
    <s v="1276"/>
    <x v="413"/>
    <n v="14"/>
    <x v="7"/>
    <x v="6"/>
    <x v="0"/>
    <x v="4"/>
    <n v="399"/>
    <n v="9"/>
    <n v="3591"/>
  </r>
  <r>
    <s v="1277"/>
    <x v="414"/>
    <n v="9"/>
    <x v="2"/>
    <x v="2"/>
    <x v="2"/>
    <x v="4"/>
    <n v="399"/>
    <n v="5"/>
    <n v="1995"/>
  </r>
  <r>
    <s v="1278"/>
    <x v="414"/>
    <n v="3"/>
    <x v="9"/>
    <x v="7"/>
    <x v="1"/>
    <x v="4"/>
    <n v="399"/>
    <n v="7"/>
    <n v="2793"/>
  </r>
  <r>
    <s v="1279"/>
    <x v="414"/>
    <n v="17"/>
    <x v="6"/>
    <x v="3"/>
    <x v="3"/>
    <x v="3"/>
    <n v="69"/>
    <n v="4"/>
    <n v="276"/>
  </r>
  <r>
    <s v="1280"/>
    <x v="414"/>
    <n v="3"/>
    <x v="9"/>
    <x v="1"/>
    <x v="1"/>
    <x v="1"/>
    <n v="289"/>
    <n v="7"/>
    <n v="2023"/>
  </r>
  <r>
    <s v="1281"/>
    <x v="414"/>
    <n v="19"/>
    <x v="13"/>
    <x v="3"/>
    <x v="3"/>
    <x v="0"/>
    <n v="199"/>
    <n v="0"/>
    <n v="0"/>
  </r>
  <r>
    <s v="1282"/>
    <x v="414"/>
    <n v="6"/>
    <x v="11"/>
    <x v="2"/>
    <x v="2"/>
    <x v="3"/>
    <n v="69"/>
    <n v="8"/>
    <n v="552"/>
  </r>
  <r>
    <s v="1283"/>
    <x v="414"/>
    <n v="7"/>
    <x v="17"/>
    <x v="2"/>
    <x v="2"/>
    <x v="4"/>
    <n v="399"/>
    <n v="3"/>
    <n v="1197"/>
  </r>
  <r>
    <s v="1284"/>
    <x v="414"/>
    <n v="8"/>
    <x v="10"/>
    <x v="5"/>
    <x v="2"/>
    <x v="0"/>
    <n v="199"/>
    <n v="5"/>
    <n v="995"/>
  </r>
  <r>
    <s v="1285"/>
    <x v="414"/>
    <n v="2"/>
    <x v="18"/>
    <x v="7"/>
    <x v="1"/>
    <x v="3"/>
    <n v="69"/>
    <n v="8"/>
    <n v="552"/>
  </r>
  <r>
    <s v="1286"/>
    <x v="414"/>
    <n v="3"/>
    <x v="9"/>
    <x v="1"/>
    <x v="1"/>
    <x v="1"/>
    <n v="289"/>
    <n v="7"/>
    <n v="2023"/>
  </r>
  <r>
    <s v="1287"/>
    <x v="414"/>
    <n v="16"/>
    <x v="4"/>
    <x v="3"/>
    <x v="3"/>
    <x v="4"/>
    <n v="399"/>
    <n v="7"/>
    <n v="2793"/>
  </r>
  <r>
    <s v="1288"/>
    <x v="414"/>
    <n v="7"/>
    <x v="17"/>
    <x v="5"/>
    <x v="2"/>
    <x v="0"/>
    <n v="199"/>
    <n v="1"/>
    <n v="199"/>
  </r>
  <r>
    <s v="1289"/>
    <x v="414"/>
    <n v="17"/>
    <x v="6"/>
    <x v="4"/>
    <x v="3"/>
    <x v="0"/>
    <n v="199"/>
    <n v="4"/>
    <n v="796"/>
  </r>
  <r>
    <s v="1290"/>
    <x v="414"/>
    <n v="14"/>
    <x v="7"/>
    <x v="6"/>
    <x v="0"/>
    <x v="1"/>
    <n v="289"/>
    <n v="9"/>
    <n v="2601"/>
  </r>
  <r>
    <s v="1291"/>
    <x v="415"/>
    <n v="8"/>
    <x v="10"/>
    <x v="5"/>
    <x v="2"/>
    <x v="1"/>
    <n v="289"/>
    <n v="5"/>
    <n v="1445"/>
  </r>
  <r>
    <s v="1292"/>
    <x v="415"/>
    <n v="2"/>
    <x v="18"/>
    <x v="1"/>
    <x v="1"/>
    <x v="0"/>
    <n v="199"/>
    <n v="3"/>
    <n v="597"/>
  </r>
  <r>
    <s v="1293"/>
    <x v="415"/>
    <n v="9"/>
    <x v="2"/>
    <x v="5"/>
    <x v="2"/>
    <x v="2"/>
    <n v="159"/>
    <n v="2"/>
    <n v="318"/>
  </r>
  <r>
    <s v="1294"/>
    <x v="416"/>
    <n v="8"/>
    <x v="10"/>
    <x v="5"/>
    <x v="2"/>
    <x v="1"/>
    <n v="289"/>
    <n v="1"/>
    <n v="289"/>
  </r>
  <r>
    <s v="1295"/>
    <x v="416"/>
    <n v="18"/>
    <x v="3"/>
    <x v="3"/>
    <x v="3"/>
    <x v="4"/>
    <n v="399"/>
    <n v="3"/>
    <n v="1197"/>
  </r>
  <r>
    <s v="1296"/>
    <x v="417"/>
    <n v="20"/>
    <x v="8"/>
    <x v="3"/>
    <x v="3"/>
    <x v="1"/>
    <n v="289"/>
    <n v="0"/>
    <n v="0"/>
  </r>
  <r>
    <s v="1297"/>
    <x v="417"/>
    <n v="13"/>
    <x v="5"/>
    <x v="0"/>
    <x v="0"/>
    <x v="1"/>
    <n v="289"/>
    <n v="7"/>
    <n v="2023"/>
  </r>
  <r>
    <s v="1298"/>
    <x v="417"/>
    <n v="3"/>
    <x v="9"/>
    <x v="7"/>
    <x v="1"/>
    <x v="4"/>
    <n v="399"/>
    <n v="3"/>
    <n v="1197"/>
  </r>
  <r>
    <s v="1299"/>
    <x v="417"/>
    <n v="16"/>
    <x v="4"/>
    <x v="4"/>
    <x v="3"/>
    <x v="0"/>
    <n v="199"/>
    <n v="2"/>
    <n v="398"/>
  </r>
  <r>
    <s v="1300"/>
    <x v="417"/>
    <n v="16"/>
    <x v="4"/>
    <x v="3"/>
    <x v="3"/>
    <x v="1"/>
    <n v="289"/>
    <n v="3"/>
    <n v="867"/>
  </r>
  <r>
    <s v="1301"/>
    <x v="417"/>
    <n v="3"/>
    <x v="9"/>
    <x v="7"/>
    <x v="1"/>
    <x v="0"/>
    <n v="199"/>
    <n v="9"/>
    <n v="1791"/>
  </r>
  <r>
    <s v="1302"/>
    <x v="417"/>
    <n v="20"/>
    <x v="8"/>
    <x v="4"/>
    <x v="3"/>
    <x v="1"/>
    <n v="289"/>
    <n v="0"/>
    <n v="0"/>
  </r>
  <r>
    <s v="1303"/>
    <x v="417"/>
    <n v="3"/>
    <x v="9"/>
    <x v="1"/>
    <x v="1"/>
    <x v="1"/>
    <n v="289"/>
    <n v="7"/>
    <n v="2023"/>
  </r>
  <r>
    <s v="1304"/>
    <x v="418"/>
    <n v="8"/>
    <x v="10"/>
    <x v="2"/>
    <x v="2"/>
    <x v="4"/>
    <n v="399"/>
    <n v="5"/>
    <n v="1995"/>
  </r>
  <r>
    <s v="1305"/>
    <x v="418"/>
    <n v="6"/>
    <x v="11"/>
    <x v="5"/>
    <x v="2"/>
    <x v="0"/>
    <n v="199"/>
    <n v="8"/>
    <n v="1592"/>
  </r>
  <r>
    <s v="1306"/>
    <x v="418"/>
    <n v="7"/>
    <x v="17"/>
    <x v="2"/>
    <x v="2"/>
    <x v="3"/>
    <n v="69"/>
    <n v="5"/>
    <n v="345"/>
  </r>
  <r>
    <s v="1307"/>
    <x v="418"/>
    <n v="3"/>
    <x v="9"/>
    <x v="7"/>
    <x v="1"/>
    <x v="4"/>
    <n v="399"/>
    <n v="8"/>
    <n v="3192"/>
  </r>
  <r>
    <s v="1308"/>
    <x v="419"/>
    <n v="4"/>
    <x v="12"/>
    <x v="1"/>
    <x v="1"/>
    <x v="4"/>
    <n v="399"/>
    <n v="2"/>
    <n v="798"/>
  </r>
  <r>
    <s v="1309"/>
    <x v="419"/>
    <n v="2"/>
    <x v="18"/>
    <x v="7"/>
    <x v="1"/>
    <x v="4"/>
    <n v="399"/>
    <n v="6"/>
    <n v="2394"/>
  </r>
  <r>
    <s v="1310"/>
    <x v="419"/>
    <n v="8"/>
    <x v="10"/>
    <x v="5"/>
    <x v="2"/>
    <x v="1"/>
    <n v="289"/>
    <n v="0"/>
    <n v="0"/>
  </r>
  <r>
    <s v="1311"/>
    <x v="420"/>
    <n v="4"/>
    <x v="12"/>
    <x v="7"/>
    <x v="1"/>
    <x v="3"/>
    <n v="69"/>
    <n v="4"/>
    <n v="276"/>
  </r>
  <r>
    <s v="1312"/>
    <x v="421"/>
    <n v="13"/>
    <x v="5"/>
    <x v="6"/>
    <x v="0"/>
    <x v="2"/>
    <n v="159"/>
    <n v="5"/>
    <n v="795"/>
  </r>
  <r>
    <s v="1313"/>
    <x v="421"/>
    <n v="8"/>
    <x v="10"/>
    <x v="2"/>
    <x v="2"/>
    <x v="2"/>
    <n v="159"/>
    <n v="8"/>
    <n v="1272"/>
  </r>
  <r>
    <s v="1314"/>
    <x v="421"/>
    <n v="11"/>
    <x v="0"/>
    <x v="0"/>
    <x v="0"/>
    <x v="0"/>
    <n v="199"/>
    <n v="9"/>
    <n v="1791"/>
  </r>
  <r>
    <s v="1315"/>
    <x v="421"/>
    <n v="12"/>
    <x v="16"/>
    <x v="6"/>
    <x v="0"/>
    <x v="3"/>
    <n v="69"/>
    <n v="8"/>
    <n v="552"/>
  </r>
  <r>
    <s v="1316"/>
    <x v="421"/>
    <n v="1"/>
    <x v="1"/>
    <x v="1"/>
    <x v="1"/>
    <x v="3"/>
    <n v="69"/>
    <n v="9"/>
    <n v="621"/>
  </r>
  <r>
    <s v="1317"/>
    <x v="421"/>
    <n v="3"/>
    <x v="9"/>
    <x v="1"/>
    <x v="1"/>
    <x v="1"/>
    <n v="289"/>
    <n v="3"/>
    <n v="867"/>
  </r>
  <r>
    <s v="1318"/>
    <x v="421"/>
    <n v="14"/>
    <x v="7"/>
    <x v="0"/>
    <x v="0"/>
    <x v="4"/>
    <n v="399"/>
    <n v="2"/>
    <n v="798"/>
  </r>
  <r>
    <s v="1319"/>
    <x v="422"/>
    <n v="11"/>
    <x v="0"/>
    <x v="6"/>
    <x v="0"/>
    <x v="0"/>
    <n v="199"/>
    <n v="9"/>
    <n v="1791"/>
  </r>
  <r>
    <s v="1320"/>
    <x v="422"/>
    <n v="8"/>
    <x v="10"/>
    <x v="2"/>
    <x v="2"/>
    <x v="3"/>
    <n v="69"/>
    <n v="4"/>
    <n v="276"/>
  </r>
  <r>
    <s v="1321"/>
    <x v="423"/>
    <n v="10"/>
    <x v="14"/>
    <x v="2"/>
    <x v="2"/>
    <x v="3"/>
    <n v="69"/>
    <n v="9"/>
    <n v="621"/>
  </r>
  <r>
    <s v="1322"/>
    <x v="423"/>
    <n v="19"/>
    <x v="13"/>
    <x v="3"/>
    <x v="3"/>
    <x v="4"/>
    <n v="399"/>
    <n v="9"/>
    <n v="3591"/>
  </r>
  <r>
    <s v="1323"/>
    <x v="423"/>
    <n v="12"/>
    <x v="16"/>
    <x v="0"/>
    <x v="0"/>
    <x v="1"/>
    <n v="289"/>
    <n v="1"/>
    <n v="289"/>
  </r>
  <r>
    <s v="1324"/>
    <x v="424"/>
    <n v="17"/>
    <x v="6"/>
    <x v="4"/>
    <x v="3"/>
    <x v="2"/>
    <n v="159"/>
    <n v="9"/>
    <n v="1431"/>
  </r>
  <r>
    <s v="1325"/>
    <x v="424"/>
    <n v="8"/>
    <x v="10"/>
    <x v="2"/>
    <x v="2"/>
    <x v="4"/>
    <n v="399"/>
    <n v="3"/>
    <n v="1197"/>
  </r>
  <r>
    <s v="1326"/>
    <x v="424"/>
    <n v="8"/>
    <x v="10"/>
    <x v="5"/>
    <x v="2"/>
    <x v="2"/>
    <n v="159"/>
    <n v="5"/>
    <n v="795"/>
  </r>
  <r>
    <s v="1327"/>
    <x v="424"/>
    <n v="3"/>
    <x v="9"/>
    <x v="1"/>
    <x v="1"/>
    <x v="0"/>
    <n v="199"/>
    <n v="6"/>
    <n v="1194"/>
  </r>
  <r>
    <s v="1328"/>
    <x v="425"/>
    <n v="1"/>
    <x v="1"/>
    <x v="7"/>
    <x v="1"/>
    <x v="2"/>
    <n v="159"/>
    <n v="6"/>
    <n v="954"/>
  </r>
  <r>
    <s v="1329"/>
    <x v="425"/>
    <n v="19"/>
    <x v="13"/>
    <x v="4"/>
    <x v="3"/>
    <x v="1"/>
    <n v="289"/>
    <n v="7"/>
    <n v="2023"/>
  </r>
  <r>
    <s v="1330"/>
    <x v="425"/>
    <n v="7"/>
    <x v="17"/>
    <x v="2"/>
    <x v="2"/>
    <x v="4"/>
    <n v="399"/>
    <n v="7"/>
    <n v="2793"/>
  </r>
  <r>
    <s v="1331"/>
    <x v="426"/>
    <n v="5"/>
    <x v="15"/>
    <x v="7"/>
    <x v="1"/>
    <x v="1"/>
    <n v="289"/>
    <n v="5"/>
    <n v="1445"/>
  </r>
  <r>
    <s v="1332"/>
    <x v="427"/>
    <n v="2"/>
    <x v="18"/>
    <x v="1"/>
    <x v="1"/>
    <x v="1"/>
    <n v="289"/>
    <n v="0"/>
    <n v="0"/>
  </r>
  <r>
    <s v="1333"/>
    <x v="428"/>
    <n v="16"/>
    <x v="4"/>
    <x v="4"/>
    <x v="3"/>
    <x v="0"/>
    <n v="199"/>
    <n v="5"/>
    <n v="995"/>
  </r>
  <r>
    <s v="1334"/>
    <x v="428"/>
    <n v="12"/>
    <x v="16"/>
    <x v="0"/>
    <x v="0"/>
    <x v="4"/>
    <n v="399"/>
    <n v="1"/>
    <n v="399"/>
  </r>
  <r>
    <s v="1335"/>
    <x v="429"/>
    <n v="18"/>
    <x v="3"/>
    <x v="3"/>
    <x v="3"/>
    <x v="3"/>
    <n v="69"/>
    <n v="2"/>
    <n v="138"/>
  </r>
  <r>
    <s v="1336"/>
    <x v="429"/>
    <n v="8"/>
    <x v="10"/>
    <x v="5"/>
    <x v="2"/>
    <x v="2"/>
    <n v="159"/>
    <n v="8"/>
    <n v="1272"/>
  </r>
  <r>
    <s v="1337"/>
    <x v="429"/>
    <n v="19"/>
    <x v="13"/>
    <x v="3"/>
    <x v="3"/>
    <x v="2"/>
    <n v="159"/>
    <n v="5"/>
    <n v="795"/>
  </r>
  <r>
    <s v="1338"/>
    <x v="430"/>
    <n v="9"/>
    <x v="2"/>
    <x v="5"/>
    <x v="2"/>
    <x v="4"/>
    <n v="399"/>
    <n v="0"/>
    <n v="0"/>
  </r>
  <r>
    <s v="1339"/>
    <x v="430"/>
    <n v="19"/>
    <x v="13"/>
    <x v="3"/>
    <x v="3"/>
    <x v="3"/>
    <n v="69"/>
    <n v="7"/>
    <n v="483"/>
  </r>
  <r>
    <s v="1340"/>
    <x v="430"/>
    <n v="2"/>
    <x v="18"/>
    <x v="1"/>
    <x v="1"/>
    <x v="0"/>
    <n v="199"/>
    <n v="7"/>
    <n v="1393"/>
  </r>
  <r>
    <s v="1341"/>
    <x v="430"/>
    <n v="12"/>
    <x v="16"/>
    <x v="0"/>
    <x v="0"/>
    <x v="2"/>
    <n v="159"/>
    <n v="0"/>
    <n v="0"/>
  </r>
  <r>
    <s v="1342"/>
    <x v="430"/>
    <n v="17"/>
    <x v="6"/>
    <x v="4"/>
    <x v="3"/>
    <x v="3"/>
    <n v="69"/>
    <n v="0"/>
    <n v="0"/>
  </r>
  <r>
    <s v="1343"/>
    <x v="430"/>
    <n v="4"/>
    <x v="12"/>
    <x v="7"/>
    <x v="1"/>
    <x v="0"/>
    <n v="199"/>
    <n v="1"/>
    <n v="199"/>
  </r>
  <r>
    <s v="1344"/>
    <x v="430"/>
    <n v="6"/>
    <x v="11"/>
    <x v="2"/>
    <x v="2"/>
    <x v="0"/>
    <n v="199"/>
    <n v="0"/>
    <n v="0"/>
  </r>
  <r>
    <s v="1345"/>
    <x v="430"/>
    <n v="8"/>
    <x v="10"/>
    <x v="5"/>
    <x v="2"/>
    <x v="2"/>
    <n v="159"/>
    <n v="2"/>
    <n v="318"/>
  </r>
  <r>
    <s v="1346"/>
    <x v="431"/>
    <n v="11"/>
    <x v="0"/>
    <x v="0"/>
    <x v="0"/>
    <x v="3"/>
    <n v="69"/>
    <n v="7"/>
    <n v="483"/>
  </r>
  <r>
    <s v="1347"/>
    <x v="432"/>
    <n v="14"/>
    <x v="7"/>
    <x v="0"/>
    <x v="0"/>
    <x v="2"/>
    <n v="159"/>
    <n v="1"/>
    <n v="159"/>
  </r>
  <r>
    <s v="1348"/>
    <x v="432"/>
    <n v="4"/>
    <x v="12"/>
    <x v="7"/>
    <x v="1"/>
    <x v="0"/>
    <n v="199"/>
    <n v="6"/>
    <n v="1194"/>
  </r>
  <r>
    <s v="1349"/>
    <x v="432"/>
    <n v="19"/>
    <x v="13"/>
    <x v="4"/>
    <x v="3"/>
    <x v="0"/>
    <n v="199"/>
    <n v="4"/>
    <n v="796"/>
  </r>
  <r>
    <s v="1350"/>
    <x v="432"/>
    <n v="8"/>
    <x v="10"/>
    <x v="2"/>
    <x v="2"/>
    <x v="0"/>
    <n v="199"/>
    <n v="7"/>
    <n v="1393"/>
  </r>
  <r>
    <s v="1351"/>
    <x v="433"/>
    <n v="8"/>
    <x v="10"/>
    <x v="5"/>
    <x v="2"/>
    <x v="1"/>
    <n v="289"/>
    <n v="9"/>
    <n v="2601"/>
  </r>
  <r>
    <s v="1352"/>
    <x v="433"/>
    <n v="15"/>
    <x v="19"/>
    <x v="6"/>
    <x v="0"/>
    <x v="0"/>
    <n v="199"/>
    <n v="2"/>
    <n v="398"/>
  </r>
  <r>
    <s v="1353"/>
    <x v="433"/>
    <n v="6"/>
    <x v="11"/>
    <x v="5"/>
    <x v="2"/>
    <x v="3"/>
    <n v="69"/>
    <n v="5"/>
    <n v="345"/>
  </r>
  <r>
    <s v="1354"/>
    <x v="433"/>
    <n v="19"/>
    <x v="13"/>
    <x v="3"/>
    <x v="3"/>
    <x v="4"/>
    <n v="399"/>
    <n v="3"/>
    <n v="1197"/>
  </r>
  <r>
    <s v="1355"/>
    <x v="434"/>
    <n v="16"/>
    <x v="4"/>
    <x v="3"/>
    <x v="3"/>
    <x v="1"/>
    <n v="289"/>
    <n v="6"/>
    <n v="1734"/>
  </r>
  <r>
    <s v="1356"/>
    <x v="434"/>
    <n v="7"/>
    <x v="17"/>
    <x v="2"/>
    <x v="2"/>
    <x v="3"/>
    <n v="69"/>
    <n v="1"/>
    <n v="69"/>
  </r>
  <r>
    <s v="1357"/>
    <x v="434"/>
    <n v="4"/>
    <x v="12"/>
    <x v="1"/>
    <x v="1"/>
    <x v="1"/>
    <n v="289"/>
    <n v="6"/>
    <n v="1734"/>
  </r>
  <r>
    <s v="1358"/>
    <x v="434"/>
    <n v="13"/>
    <x v="5"/>
    <x v="6"/>
    <x v="0"/>
    <x v="3"/>
    <n v="69"/>
    <n v="2"/>
    <n v="138"/>
  </r>
  <r>
    <s v="1359"/>
    <x v="434"/>
    <n v="4"/>
    <x v="12"/>
    <x v="1"/>
    <x v="1"/>
    <x v="1"/>
    <n v="289"/>
    <n v="2"/>
    <n v="578"/>
  </r>
  <r>
    <s v="1360"/>
    <x v="434"/>
    <n v="17"/>
    <x v="6"/>
    <x v="3"/>
    <x v="3"/>
    <x v="4"/>
    <n v="399"/>
    <n v="6"/>
    <n v="2394"/>
  </r>
  <r>
    <s v="1361"/>
    <x v="434"/>
    <n v="3"/>
    <x v="9"/>
    <x v="1"/>
    <x v="1"/>
    <x v="1"/>
    <n v="289"/>
    <n v="5"/>
    <n v="1445"/>
  </r>
  <r>
    <s v="1362"/>
    <x v="434"/>
    <n v="9"/>
    <x v="2"/>
    <x v="2"/>
    <x v="2"/>
    <x v="4"/>
    <n v="399"/>
    <n v="5"/>
    <n v="1995"/>
  </r>
  <r>
    <s v="1363"/>
    <x v="434"/>
    <n v="2"/>
    <x v="18"/>
    <x v="1"/>
    <x v="1"/>
    <x v="3"/>
    <n v="69"/>
    <n v="4"/>
    <n v="276"/>
  </r>
  <r>
    <s v="1364"/>
    <x v="434"/>
    <n v="15"/>
    <x v="19"/>
    <x v="0"/>
    <x v="0"/>
    <x v="2"/>
    <n v="159"/>
    <n v="9"/>
    <n v="1431"/>
  </r>
  <r>
    <s v="1365"/>
    <x v="434"/>
    <n v="14"/>
    <x v="7"/>
    <x v="0"/>
    <x v="0"/>
    <x v="0"/>
    <n v="199"/>
    <n v="1"/>
    <n v="199"/>
  </r>
  <r>
    <s v="1366"/>
    <x v="434"/>
    <n v="18"/>
    <x v="3"/>
    <x v="4"/>
    <x v="3"/>
    <x v="2"/>
    <n v="159"/>
    <n v="1"/>
    <n v="159"/>
  </r>
  <r>
    <s v="1367"/>
    <x v="434"/>
    <n v="8"/>
    <x v="10"/>
    <x v="2"/>
    <x v="2"/>
    <x v="0"/>
    <n v="199"/>
    <n v="5"/>
    <n v="995"/>
  </r>
  <r>
    <s v="1368"/>
    <x v="435"/>
    <n v="19"/>
    <x v="13"/>
    <x v="4"/>
    <x v="3"/>
    <x v="4"/>
    <n v="399"/>
    <n v="9"/>
    <n v="3591"/>
  </r>
  <r>
    <s v="1369"/>
    <x v="436"/>
    <n v="11"/>
    <x v="0"/>
    <x v="0"/>
    <x v="0"/>
    <x v="0"/>
    <n v="199"/>
    <n v="0"/>
    <n v="0"/>
  </r>
  <r>
    <s v="1370"/>
    <x v="436"/>
    <n v="19"/>
    <x v="13"/>
    <x v="3"/>
    <x v="3"/>
    <x v="4"/>
    <n v="399"/>
    <n v="2"/>
    <n v="798"/>
  </r>
  <r>
    <s v="1371"/>
    <x v="436"/>
    <n v="15"/>
    <x v="19"/>
    <x v="0"/>
    <x v="0"/>
    <x v="4"/>
    <n v="399"/>
    <n v="9"/>
    <n v="3591"/>
  </r>
  <r>
    <s v="1372"/>
    <x v="437"/>
    <n v="4"/>
    <x v="12"/>
    <x v="1"/>
    <x v="1"/>
    <x v="2"/>
    <n v="159"/>
    <n v="2"/>
    <n v="318"/>
  </r>
  <r>
    <s v="1373"/>
    <x v="438"/>
    <n v="1"/>
    <x v="1"/>
    <x v="7"/>
    <x v="1"/>
    <x v="0"/>
    <n v="199"/>
    <n v="4"/>
    <n v="796"/>
  </r>
  <r>
    <s v="1374"/>
    <x v="439"/>
    <n v="13"/>
    <x v="5"/>
    <x v="6"/>
    <x v="0"/>
    <x v="3"/>
    <n v="69"/>
    <n v="9"/>
    <n v="621"/>
  </r>
  <r>
    <s v="1375"/>
    <x v="440"/>
    <n v="4"/>
    <x v="12"/>
    <x v="7"/>
    <x v="1"/>
    <x v="2"/>
    <n v="159"/>
    <n v="5"/>
    <n v="795"/>
  </r>
  <r>
    <s v="1376"/>
    <x v="440"/>
    <n v="7"/>
    <x v="17"/>
    <x v="5"/>
    <x v="2"/>
    <x v="4"/>
    <n v="399"/>
    <n v="6"/>
    <n v="2394"/>
  </r>
  <r>
    <s v="1377"/>
    <x v="440"/>
    <n v="14"/>
    <x v="7"/>
    <x v="0"/>
    <x v="0"/>
    <x v="2"/>
    <n v="159"/>
    <n v="6"/>
    <n v="954"/>
  </r>
  <r>
    <s v="1378"/>
    <x v="440"/>
    <n v="14"/>
    <x v="7"/>
    <x v="0"/>
    <x v="0"/>
    <x v="4"/>
    <n v="399"/>
    <n v="7"/>
    <n v="2793"/>
  </r>
  <r>
    <s v="1379"/>
    <x v="440"/>
    <n v="14"/>
    <x v="7"/>
    <x v="0"/>
    <x v="0"/>
    <x v="1"/>
    <n v="289"/>
    <n v="6"/>
    <n v="1734"/>
  </r>
  <r>
    <s v="1380"/>
    <x v="440"/>
    <n v="11"/>
    <x v="0"/>
    <x v="6"/>
    <x v="0"/>
    <x v="2"/>
    <n v="159"/>
    <n v="4"/>
    <n v="636"/>
  </r>
  <r>
    <s v="1381"/>
    <x v="441"/>
    <n v="11"/>
    <x v="0"/>
    <x v="6"/>
    <x v="0"/>
    <x v="2"/>
    <n v="159"/>
    <n v="9"/>
    <n v="1431"/>
  </r>
  <r>
    <s v="1382"/>
    <x v="442"/>
    <n v="5"/>
    <x v="15"/>
    <x v="7"/>
    <x v="1"/>
    <x v="3"/>
    <n v="69"/>
    <n v="1"/>
    <n v="69"/>
  </r>
  <r>
    <s v="1383"/>
    <x v="442"/>
    <n v="14"/>
    <x v="7"/>
    <x v="6"/>
    <x v="0"/>
    <x v="4"/>
    <n v="399"/>
    <n v="8"/>
    <n v="3192"/>
  </r>
  <r>
    <s v="1384"/>
    <x v="442"/>
    <n v="15"/>
    <x v="19"/>
    <x v="0"/>
    <x v="0"/>
    <x v="0"/>
    <n v="199"/>
    <n v="9"/>
    <n v="1791"/>
  </r>
  <r>
    <s v="1385"/>
    <x v="442"/>
    <n v="17"/>
    <x v="6"/>
    <x v="3"/>
    <x v="3"/>
    <x v="4"/>
    <n v="399"/>
    <n v="5"/>
    <n v="1995"/>
  </r>
  <r>
    <s v="1386"/>
    <x v="442"/>
    <n v="2"/>
    <x v="18"/>
    <x v="7"/>
    <x v="1"/>
    <x v="0"/>
    <n v="199"/>
    <n v="8"/>
    <n v="1592"/>
  </r>
  <r>
    <s v="1387"/>
    <x v="442"/>
    <n v="18"/>
    <x v="3"/>
    <x v="3"/>
    <x v="3"/>
    <x v="2"/>
    <n v="159"/>
    <n v="8"/>
    <n v="1272"/>
  </r>
  <r>
    <s v="1388"/>
    <x v="442"/>
    <n v="9"/>
    <x v="2"/>
    <x v="5"/>
    <x v="2"/>
    <x v="4"/>
    <n v="399"/>
    <n v="9"/>
    <n v="3591"/>
  </r>
  <r>
    <s v="1389"/>
    <x v="442"/>
    <n v="1"/>
    <x v="1"/>
    <x v="1"/>
    <x v="1"/>
    <x v="3"/>
    <n v="69"/>
    <n v="9"/>
    <n v="621"/>
  </r>
  <r>
    <s v="1390"/>
    <x v="442"/>
    <n v="4"/>
    <x v="12"/>
    <x v="1"/>
    <x v="1"/>
    <x v="2"/>
    <n v="159"/>
    <n v="3"/>
    <n v="477"/>
  </r>
  <r>
    <s v="1391"/>
    <x v="442"/>
    <n v="10"/>
    <x v="14"/>
    <x v="5"/>
    <x v="2"/>
    <x v="4"/>
    <n v="399"/>
    <n v="0"/>
    <n v="0"/>
  </r>
  <r>
    <s v="1392"/>
    <x v="443"/>
    <n v="15"/>
    <x v="19"/>
    <x v="6"/>
    <x v="0"/>
    <x v="2"/>
    <n v="159"/>
    <n v="5"/>
    <n v="795"/>
  </r>
  <r>
    <s v="1393"/>
    <x v="443"/>
    <n v="18"/>
    <x v="3"/>
    <x v="4"/>
    <x v="3"/>
    <x v="3"/>
    <n v="69"/>
    <n v="3"/>
    <n v="207"/>
  </r>
  <r>
    <s v="1394"/>
    <x v="443"/>
    <n v="1"/>
    <x v="1"/>
    <x v="7"/>
    <x v="1"/>
    <x v="1"/>
    <n v="289"/>
    <n v="3"/>
    <n v="867"/>
  </r>
  <r>
    <s v="1395"/>
    <x v="444"/>
    <n v="4"/>
    <x v="12"/>
    <x v="1"/>
    <x v="1"/>
    <x v="0"/>
    <n v="199"/>
    <n v="3"/>
    <n v="597"/>
  </r>
  <r>
    <s v="1396"/>
    <x v="445"/>
    <n v="11"/>
    <x v="0"/>
    <x v="0"/>
    <x v="0"/>
    <x v="4"/>
    <n v="399"/>
    <n v="9"/>
    <n v="3591"/>
  </r>
  <r>
    <s v="1397"/>
    <x v="446"/>
    <n v="2"/>
    <x v="18"/>
    <x v="1"/>
    <x v="1"/>
    <x v="2"/>
    <n v="159"/>
    <n v="5"/>
    <n v="795"/>
  </r>
  <r>
    <s v="1398"/>
    <x v="446"/>
    <n v="17"/>
    <x v="6"/>
    <x v="3"/>
    <x v="3"/>
    <x v="1"/>
    <n v="289"/>
    <n v="2"/>
    <n v="578"/>
  </r>
  <r>
    <s v="1399"/>
    <x v="446"/>
    <n v="2"/>
    <x v="18"/>
    <x v="7"/>
    <x v="1"/>
    <x v="0"/>
    <n v="199"/>
    <n v="8"/>
    <n v="1592"/>
  </r>
  <r>
    <s v="1400"/>
    <x v="446"/>
    <n v="5"/>
    <x v="15"/>
    <x v="7"/>
    <x v="1"/>
    <x v="4"/>
    <n v="399"/>
    <n v="1"/>
    <n v="399"/>
  </r>
  <r>
    <s v="1401"/>
    <x v="446"/>
    <n v="15"/>
    <x v="19"/>
    <x v="6"/>
    <x v="0"/>
    <x v="1"/>
    <n v="289"/>
    <n v="6"/>
    <n v="1734"/>
  </r>
  <r>
    <s v="1402"/>
    <x v="446"/>
    <n v="8"/>
    <x v="10"/>
    <x v="5"/>
    <x v="2"/>
    <x v="3"/>
    <n v="69"/>
    <n v="8"/>
    <n v="552"/>
  </r>
  <r>
    <s v="1403"/>
    <x v="446"/>
    <n v="9"/>
    <x v="2"/>
    <x v="2"/>
    <x v="2"/>
    <x v="4"/>
    <n v="399"/>
    <n v="9"/>
    <n v="3591"/>
  </r>
  <r>
    <s v="1404"/>
    <x v="446"/>
    <n v="5"/>
    <x v="15"/>
    <x v="1"/>
    <x v="1"/>
    <x v="1"/>
    <n v="289"/>
    <n v="6"/>
    <n v="1734"/>
  </r>
  <r>
    <s v="1405"/>
    <x v="446"/>
    <n v="11"/>
    <x v="0"/>
    <x v="6"/>
    <x v="0"/>
    <x v="0"/>
    <n v="199"/>
    <n v="8"/>
    <n v="1592"/>
  </r>
  <r>
    <s v="1406"/>
    <x v="446"/>
    <n v="15"/>
    <x v="19"/>
    <x v="6"/>
    <x v="0"/>
    <x v="2"/>
    <n v="159"/>
    <n v="7"/>
    <n v="1113"/>
  </r>
  <r>
    <s v="1407"/>
    <x v="447"/>
    <n v="12"/>
    <x v="16"/>
    <x v="6"/>
    <x v="0"/>
    <x v="4"/>
    <n v="399"/>
    <n v="8"/>
    <n v="3192"/>
  </r>
  <r>
    <s v="1408"/>
    <x v="448"/>
    <n v="3"/>
    <x v="9"/>
    <x v="1"/>
    <x v="1"/>
    <x v="4"/>
    <n v="399"/>
    <n v="9"/>
    <n v="3591"/>
  </r>
  <r>
    <s v="1409"/>
    <x v="448"/>
    <n v="18"/>
    <x v="3"/>
    <x v="4"/>
    <x v="3"/>
    <x v="4"/>
    <n v="399"/>
    <n v="3"/>
    <n v="1197"/>
  </r>
  <r>
    <s v="1410"/>
    <x v="448"/>
    <n v="12"/>
    <x v="16"/>
    <x v="6"/>
    <x v="0"/>
    <x v="1"/>
    <n v="289"/>
    <n v="6"/>
    <n v="1734"/>
  </r>
  <r>
    <s v="1411"/>
    <x v="449"/>
    <n v="8"/>
    <x v="10"/>
    <x v="5"/>
    <x v="2"/>
    <x v="0"/>
    <n v="199"/>
    <n v="1"/>
    <n v="199"/>
  </r>
  <r>
    <s v="1412"/>
    <x v="449"/>
    <n v="19"/>
    <x v="13"/>
    <x v="4"/>
    <x v="3"/>
    <x v="1"/>
    <n v="289"/>
    <n v="3"/>
    <n v="867"/>
  </r>
  <r>
    <s v="1413"/>
    <x v="450"/>
    <n v="4"/>
    <x v="12"/>
    <x v="1"/>
    <x v="1"/>
    <x v="4"/>
    <n v="399"/>
    <n v="6"/>
    <n v="2394"/>
  </r>
  <r>
    <s v="1414"/>
    <x v="450"/>
    <n v="6"/>
    <x v="11"/>
    <x v="5"/>
    <x v="2"/>
    <x v="1"/>
    <n v="289"/>
    <n v="7"/>
    <n v="2023"/>
  </r>
  <r>
    <s v="1415"/>
    <x v="450"/>
    <n v="17"/>
    <x v="6"/>
    <x v="4"/>
    <x v="3"/>
    <x v="2"/>
    <n v="159"/>
    <n v="7"/>
    <n v="1113"/>
  </r>
  <r>
    <s v="1416"/>
    <x v="450"/>
    <n v="13"/>
    <x v="5"/>
    <x v="6"/>
    <x v="0"/>
    <x v="1"/>
    <n v="289"/>
    <n v="9"/>
    <n v="2601"/>
  </r>
  <r>
    <s v="1417"/>
    <x v="450"/>
    <n v="18"/>
    <x v="3"/>
    <x v="3"/>
    <x v="3"/>
    <x v="0"/>
    <n v="199"/>
    <n v="2"/>
    <n v="398"/>
  </r>
  <r>
    <s v="1418"/>
    <x v="451"/>
    <n v="1"/>
    <x v="1"/>
    <x v="7"/>
    <x v="1"/>
    <x v="1"/>
    <n v="289"/>
    <n v="9"/>
    <n v="2601"/>
  </r>
  <r>
    <s v="1419"/>
    <x v="452"/>
    <n v="18"/>
    <x v="3"/>
    <x v="4"/>
    <x v="3"/>
    <x v="2"/>
    <n v="159"/>
    <n v="0"/>
    <n v="0"/>
  </r>
  <r>
    <s v="1420"/>
    <x v="452"/>
    <n v="18"/>
    <x v="3"/>
    <x v="4"/>
    <x v="3"/>
    <x v="0"/>
    <n v="199"/>
    <n v="0"/>
    <n v="0"/>
  </r>
  <r>
    <s v="1421"/>
    <x v="452"/>
    <n v="2"/>
    <x v="18"/>
    <x v="1"/>
    <x v="1"/>
    <x v="0"/>
    <n v="199"/>
    <n v="0"/>
    <n v="0"/>
  </r>
  <r>
    <s v="1422"/>
    <x v="453"/>
    <n v="2"/>
    <x v="18"/>
    <x v="7"/>
    <x v="1"/>
    <x v="0"/>
    <n v="199"/>
    <n v="9"/>
    <n v="1791"/>
  </r>
  <r>
    <s v="1423"/>
    <x v="453"/>
    <n v="7"/>
    <x v="17"/>
    <x v="2"/>
    <x v="2"/>
    <x v="4"/>
    <n v="399"/>
    <n v="2"/>
    <n v="798"/>
  </r>
  <r>
    <s v="1424"/>
    <x v="454"/>
    <n v="19"/>
    <x v="13"/>
    <x v="4"/>
    <x v="3"/>
    <x v="1"/>
    <n v="289"/>
    <n v="8"/>
    <n v="2312"/>
  </r>
  <r>
    <s v="1425"/>
    <x v="454"/>
    <n v="19"/>
    <x v="13"/>
    <x v="4"/>
    <x v="3"/>
    <x v="2"/>
    <n v="159"/>
    <n v="6"/>
    <n v="954"/>
  </r>
  <r>
    <s v="1426"/>
    <x v="454"/>
    <n v="13"/>
    <x v="5"/>
    <x v="6"/>
    <x v="0"/>
    <x v="4"/>
    <n v="399"/>
    <n v="0"/>
    <n v="0"/>
  </r>
  <r>
    <s v="1427"/>
    <x v="454"/>
    <n v="10"/>
    <x v="14"/>
    <x v="5"/>
    <x v="2"/>
    <x v="4"/>
    <n v="399"/>
    <n v="8"/>
    <n v="3192"/>
  </r>
  <r>
    <s v="1428"/>
    <x v="454"/>
    <n v="5"/>
    <x v="15"/>
    <x v="7"/>
    <x v="1"/>
    <x v="0"/>
    <n v="199"/>
    <n v="9"/>
    <n v="1791"/>
  </r>
  <r>
    <s v="1429"/>
    <x v="455"/>
    <n v="1"/>
    <x v="1"/>
    <x v="7"/>
    <x v="1"/>
    <x v="4"/>
    <n v="399"/>
    <n v="4"/>
    <n v="1596"/>
  </r>
  <r>
    <s v="1430"/>
    <x v="455"/>
    <n v="10"/>
    <x v="14"/>
    <x v="2"/>
    <x v="2"/>
    <x v="0"/>
    <n v="199"/>
    <n v="6"/>
    <n v="1194"/>
  </r>
  <r>
    <s v="1431"/>
    <x v="456"/>
    <n v="8"/>
    <x v="10"/>
    <x v="2"/>
    <x v="2"/>
    <x v="4"/>
    <n v="399"/>
    <n v="0"/>
    <n v="0"/>
  </r>
  <r>
    <s v="1432"/>
    <x v="457"/>
    <n v="12"/>
    <x v="16"/>
    <x v="0"/>
    <x v="0"/>
    <x v="2"/>
    <n v="159"/>
    <n v="8"/>
    <n v="1272"/>
  </r>
  <r>
    <s v="1433"/>
    <x v="458"/>
    <n v="5"/>
    <x v="15"/>
    <x v="7"/>
    <x v="1"/>
    <x v="3"/>
    <n v="69"/>
    <n v="5"/>
    <n v="345"/>
  </r>
  <r>
    <s v="1434"/>
    <x v="458"/>
    <n v="8"/>
    <x v="10"/>
    <x v="2"/>
    <x v="2"/>
    <x v="2"/>
    <n v="159"/>
    <n v="4"/>
    <n v="636"/>
  </r>
  <r>
    <s v="1435"/>
    <x v="458"/>
    <n v="19"/>
    <x v="13"/>
    <x v="3"/>
    <x v="3"/>
    <x v="1"/>
    <n v="289"/>
    <n v="2"/>
    <n v="578"/>
  </r>
  <r>
    <s v="1436"/>
    <x v="458"/>
    <n v="20"/>
    <x v="8"/>
    <x v="3"/>
    <x v="3"/>
    <x v="3"/>
    <n v="69"/>
    <n v="9"/>
    <n v="621"/>
  </r>
  <r>
    <s v="1437"/>
    <x v="459"/>
    <n v="7"/>
    <x v="17"/>
    <x v="5"/>
    <x v="2"/>
    <x v="0"/>
    <n v="199"/>
    <n v="8"/>
    <n v="1592"/>
  </r>
  <r>
    <s v="1438"/>
    <x v="459"/>
    <n v="4"/>
    <x v="12"/>
    <x v="7"/>
    <x v="1"/>
    <x v="3"/>
    <n v="69"/>
    <n v="7"/>
    <n v="483"/>
  </r>
  <r>
    <s v="1439"/>
    <x v="459"/>
    <n v="16"/>
    <x v="4"/>
    <x v="4"/>
    <x v="3"/>
    <x v="0"/>
    <n v="199"/>
    <n v="9"/>
    <n v="1791"/>
  </r>
  <r>
    <s v="1440"/>
    <x v="459"/>
    <n v="18"/>
    <x v="3"/>
    <x v="4"/>
    <x v="3"/>
    <x v="0"/>
    <n v="199"/>
    <n v="2"/>
    <n v="398"/>
  </r>
  <r>
    <s v="1441"/>
    <x v="459"/>
    <n v="13"/>
    <x v="5"/>
    <x v="6"/>
    <x v="0"/>
    <x v="0"/>
    <n v="199"/>
    <n v="5"/>
    <n v="995"/>
  </r>
  <r>
    <s v="1442"/>
    <x v="459"/>
    <n v="15"/>
    <x v="19"/>
    <x v="0"/>
    <x v="0"/>
    <x v="3"/>
    <n v="69"/>
    <n v="1"/>
    <n v="69"/>
  </r>
  <r>
    <s v="1443"/>
    <x v="459"/>
    <n v="15"/>
    <x v="19"/>
    <x v="6"/>
    <x v="0"/>
    <x v="1"/>
    <n v="289"/>
    <n v="8"/>
    <n v="2312"/>
  </r>
  <r>
    <s v="1444"/>
    <x v="460"/>
    <n v="3"/>
    <x v="9"/>
    <x v="1"/>
    <x v="1"/>
    <x v="1"/>
    <n v="289"/>
    <n v="2"/>
    <n v="578"/>
  </r>
  <r>
    <s v="1445"/>
    <x v="460"/>
    <n v="1"/>
    <x v="1"/>
    <x v="7"/>
    <x v="1"/>
    <x v="0"/>
    <n v="199"/>
    <n v="3"/>
    <n v="597"/>
  </r>
  <r>
    <s v="1446"/>
    <x v="461"/>
    <n v="12"/>
    <x v="16"/>
    <x v="6"/>
    <x v="0"/>
    <x v="4"/>
    <n v="399"/>
    <n v="5"/>
    <n v="1995"/>
  </r>
  <r>
    <s v="1447"/>
    <x v="461"/>
    <n v="7"/>
    <x v="17"/>
    <x v="2"/>
    <x v="2"/>
    <x v="3"/>
    <n v="69"/>
    <n v="6"/>
    <n v="414"/>
  </r>
  <r>
    <s v="1448"/>
    <x v="461"/>
    <n v="15"/>
    <x v="19"/>
    <x v="0"/>
    <x v="0"/>
    <x v="2"/>
    <n v="159"/>
    <n v="7"/>
    <n v="1113"/>
  </r>
  <r>
    <s v="1449"/>
    <x v="461"/>
    <n v="20"/>
    <x v="8"/>
    <x v="4"/>
    <x v="3"/>
    <x v="2"/>
    <n v="159"/>
    <n v="9"/>
    <n v="1431"/>
  </r>
  <r>
    <s v="1450"/>
    <x v="461"/>
    <n v="4"/>
    <x v="12"/>
    <x v="7"/>
    <x v="1"/>
    <x v="0"/>
    <n v="199"/>
    <n v="5"/>
    <n v="995"/>
  </r>
  <r>
    <s v="1451"/>
    <x v="462"/>
    <n v="12"/>
    <x v="16"/>
    <x v="0"/>
    <x v="0"/>
    <x v="2"/>
    <n v="159"/>
    <n v="9"/>
    <n v="1431"/>
  </r>
  <r>
    <s v="1452"/>
    <x v="463"/>
    <n v="9"/>
    <x v="2"/>
    <x v="5"/>
    <x v="2"/>
    <x v="4"/>
    <n v="399"/>
    <n v="5"/>
    <n v="1995"/>
  </r>
  <r>
    <s v="1453"/>
    <x v="463"/>
    <n v="9"/>
    <x v="2"/>
    <x v="2"/>
    <x v="2"/>
    <x v="3"/>
    <n v="69"/>
    <n v="6"/>
    <n v="414"/>
  </r>
  <r>
    <s v="1454"/>
    <x v="463"/>
    <n v="7"/>
    <x v="17"/>
    <x v="5"/>
    <x v="2"/>
    <x v="1"/>
    <n v="289"/>
    <n v="3"/>
    <n v="867"/>
  </r>
  <r>
    <s v="1455"/>
    <x v="463"/>
    <n v="5"/>
    <x v="15"/>
    <x v="1"/>
    <x v="1"/>
    <x v="2"/>
    <n v="159"/>
    <n v="7"/>
    <n v="1113"/>
  </r>
  <r>
    <s v="1456"/>
    <x v="463"/>
    <n v="17"/>
    <x v="6"/>
    <x v="3"/>
    <x v="3"/>
    <x v="0"/>
    <n v="199"/>
    <n v="7"/>
    <n v="1393"/>
  </r>
  <r>
    <s v="1457"/>
    <x v="463"/>
    <n v="17"/>
    <x v="6"/>
    <x v="4"/>
    <x v="3"/>
    <x v="3"/>
    <n v="69"/>
    <n v="5"/>
    <n v="345"/>
  </r>
  <r>
    <s v="1458"/>
    <x v="464"/>
    <n v="15"/>
    <x v="19"/>
    <x v="0"/>
    <x v="0"/>
    <x v="3"/>
    <n v="69"/>
    <n v="0"/>
    <n v="0"/>
  </r>
  <r>
    <s v="1459"/>
    <x v="464"/>
    <n v="17"/>
    <x v="6"/>
    <x v="4"/>
    <x v="3"/>
    <x v="0"/>
    <n v="199"/>
    <n v="5"/>
    <n v="995"/>
  </r>
  <r>
    <s v="1460"/>
    <x v="465"/>
    <n v="13"/>
    <x v="5"/>
    <x v="0"/>
    <x v="0"/>
    <x v="0"/>
    <n v="199"/>
    <n v="9"/>
    <n v="1791"/>
  </r>
  <r>
    <s v="1461"/>
    <x v="465"/>
    <n v="16"/>
    <x v="4"/>
    <x v="3"/>
    <x v="3"/>
    <x v="2"/>
    <n v="159"/>
    <n v="8"/>
    <n v="1272"/>
  </r>
  <r>
    <s v="1462"/>
    <x v="466"/>
    <n v="19"/>
    <x v="13"/>
    <x v="4"/>
    <x v="3"/>
    <x v="1"/>
    <n v="289"/>
    <n v="3"/>
    <n v="867"/>
  </r>
  <r>
    <s v="1463"/>
    <x v="466"/>
    <n v="13"/>
    <x v="5"/>
    <x v="0"/>
    <x v="0"/>
    <x v="0"/>
    <n v="199"/>
    <n v="3"/>
    <n v="597"/>
  </r>
  <r>
    <s v="1464"/>
    <x v="466"/>
    <n v="5"/>
    <x v="15"/>
    <x v="7"/>
    <x v="1"/>
    <x v="1"/>
    <n v="289"/>
    <n v="5"/>
    <n v="1445"/>
  </r>
  <r>
    <s v="1465"/>
    <x v="467"/>
    <n v="13"/>
    <x v="5"/>
    <x v="6"/>
    <x v="0"/>
    <x v="4"/>
    <n v="399"/>
    <n v="0"/>
    <n v="0"/>
  </r>
  <r>
    <s v="1466"/>
    <x v="468"/>
    <n v="9"/>
    <x v="2"/>
    <x v="2"/>
    <x v="2"/>
    <x v="4"/>
    <n v="399"/>
    <n v="7"/>
    <n v="2793"/>
  </r>
  <r>
    <s v="1467"/>
    <x v="469"/>
    <n v="3"/>
    <x v="9"/>
    <x v="7"/>
    <x v="1"/>
    <x v="0"/>
    <n v="199"/>
    <n v="5"/>
    <n v="995"/>
  </r>
  <r>
    <s v="1468"/>
    <x v="469"/>
    <n v="6"/>
    <x v="11"/>
    <x v="2"/>
    <x v="2"/>
    <x v="4"/>
    <n v="399"/>
    <n v="0"/>
    <n v="0"/>
  </r>
  <r>
    <s v="1469"/>
    <x v="470"/>
    <n v="12"/>
    <x v="16"/>
    <x v="6"/>
    <x v="0"/>
    <x v="3"/>
    <n v="69"/>
    <n v="2"/>
    <n v="138"/>
  </r>
  <r>
    <s v="1470"/>
    <x v="471"/>
    <n v="1"/>
    <x v="1"/>
    <x v="1"/>
    <x v="1"/>
    <x v="3"/>
    <n v="69"/>
    <n v="0"/>
    <n v="0"/>
  </r>
  <r>
    <s v="1471"/>
    <x v="472"/>
    <n v="5"/>
    <x v="15"/>
    <x v="7"/>
    <x v="1"/>
    <x v="4"/>
    <n v="399"/>
    <n v="8"/>
    <n v="3192"/>
  </r>
  <r>
    <s v="1472"/>
    <x v="472"/>
    <n v="19"/>
    <x v="13"/>
    <x v="4"/>
    <x v="3"/>
    <x v="3"/>
    <n v="69"/>
    <n v="0"/>
    <n v="0"/>
  </r>
  <r>
    <s v="1473"/>
    <x v="472"/>
    <n v="12"/>
    <x v="16"/>
    <x v="0"/>
    <x v="0"/>
    <x v="1"/>
    <n v="289"/>
    <n v="5"/>
    <n v="1445"/>
  </r>
  <r>
    <s v="1474"/>
    <x v="472"/>
    <n v="15"/>
    <x v="19"/>
    <x v="0"/>
    <x v="0"/>
    <x v="2"/>
    <n v="159"/>
    <n v="8"/>
    <n v="1272"/>
  </r>
  <r>
    <s v="1475"/>
    <x v="472"/>
    <n v="13"/>
    <x v="5"/>
    <x v="0"/>
    <x v="0"/>
    <x v="4"/>
    <n v="399"/>
    <n v="5"/>
    <n v="1995"/>
  </r>
  <r>
    <s v="1476"/>
    <x v="473"/>
    <n v="19"/>
    <x v="13"/>
    <x v="3"/>
    <x v="3"/>
    <x v="2"/>
    <n v="159"/>
    <n v="9"/>
    <n v="1431"/>
  </r>
  <r>
    <s v="1477"/>
    <x v="473"/>
    <n v="4"/>
    <x v="12"/>
    <x v="1"/>
    <x v="1"/>
    <x v="4"/>
    <n v="399"/>
    <n v="7"/>
    <n v="2793"/>
  </r>
  <r>
    <s v="1478"/>
    <x v="473"/>
    <n v="4"/>
    <x v="12"/>
    <x v="7"/>
    <x v="1"/>
    <x v="4"/>
    <n v="399"/>
    <n v="9"/>
    <n v="3591"/>
  </r>
  <r>
    <s v="1479"/>
    <x v="473"/>
    <n v="10"/>
    <x v="14"/>
    <x v="2"/>
    <x v="2"/>
    <x v="4"/>
    <n v="399"/>
    <n v="4"/>
    <n v="1596"/>
  </r>
  <r>
    <s v="1480"/>
    <x v="474"/>
    <n v="6"/>
    <x v="11"/>
    <x v="2"/>
    <x v="2"/>
    <x v="4"/>
    <n v="399"/>
    <n v="6"/>
    <n v="2394"/>
  </r>
  <r>
    <s v="1481"/>
    <x v="474"/>
    <n v="18"/>
    <x v="3"/>
    <x v="4"/>
    <x v="3"/>
    <x v="2"/>
    <n v="159"/>
    <n v="8"/>
    <n v="1272"/>
  </r>
  <r>
    <s v="1482"/>
    <x v="474"/>
    <n v="4"/>
    <x v="12"/>
    <x v="1"/>
    <x v="1"/>
    <x v="3"/>
    <n v="69"/>
    <n v="0"/>
    <n v="0"/>
  </r>
  <r>
    <s v="1483"/>
    <x v="474"/>
    <n v="20"/>
    <x v="8"/>
    <x v="4"/>
    <x v="3"/>
    <x v="4"/>
    <n v="399"/>
    <n v="9"/>
    <n v="3591"/>
  </r>
  <r>
    <s v="1484"/>
    <x v="475"/>
    <n v="18"/>
    <x v="3"/>
    <x v="4"/>
    <x v="3"/>
    <x v="3"/>
    <n v="69"/>
    <n v="2"/>
    <n v="138"/>
  </r>
  <r>
    <s v="1485"/>
    <x v="475"/>
    <n v="6"/>
    <x v="11"/>
    <x v="5"/>
    <x v="2"/>
    <x v="1"/>
    <n v="289"/>
    <n v="5"/>
    <n v="1445"/>
  </r>
  <r>
    <s v="1486"/>
    <x v="476"/>
    <n v="1"/>
    <x v="1"/>
    <x v="7"/>
    <x v="1"/>
    <x v="3"/>
    <n v="69"/>
    <n v="5"/>
    <n v="345"/>
  </r>
  <r>
    <s v="1487"/>
    <x v="476"/>
    <n v="11"/>
    <x v="0"/>
    <x v="6"/>
    <x v="0"/>
    <x v="2"/>
    <n v="159"/>
    <n v="6"/>
    <n v="954"/>
  </r>
  <r>
    <s v="1488"/>
    <x v="477"/>
    <n v="12"/>
    <x v="16"/>
    <x v="6"/>
    <x v="0"/>
    <x v="0"/>
    <n v="199"/>
    <n v="8"/>
    <n v="1592"/>
  </r>
  <r>
    <s v="1489"/>
    <x v="477"/>
    <n v="6"/>
    <x v="11"/>
    <x v="5"/>
    <x v="2"/>
    <x v="3"/>
    <n v="69"/>
    <n v="4"/>
    <n v="276"/>
  </r>
  <r>
    <s v="1490"/>
    <x v="477"/>
    <n v="19"/>
    <x v="13"/>
    <x v="3"/>
    <x v="3"/>
    <x v="4"/>
    <n v="399"/>
    <n v="1"/>
    <n v="399"/>
  </r>
  <r>
    <s v="1491"/>
    <x v="477"/>
    <n v="5"/>
    <x v="15"/>
    <x v="1"/>
    <x v="1"/>
    <x v="4"/>
    <n v="399"/>
    <n v="8"/>
    <n v="3192"/>
  </r>
  <r>
    <s v="1492"/>
    <x v="477"/>
    <n v="11"/>
    <x v="0"/>
    <x v="6"/>
    <x v="0"/>
    <x v="4"/>
    <n v="399"/>
    <n v="6"/>
    <n v="2394"/>
  </r>
  <r>
    <s v="1493"/>
    <x v="477"/>
    <n v="8"/>
    <x v="10"/>
    <x v="5"/>
    <x v="2"/>
    <x v="4"/>
    <n v="399"/>
    <n v="2"/>
    <n v="798"/>
  </r>
  <r>
    <s v="1494"/>
    <x v="478"/>
    <n v="3"/>
    <x v="9"/>
    <x v="7"/>
    <x v="1"/>
    <x v="1"/>
    <n v="289"/>
    <n v="6"/>
    <n v="1734"/>
  </r>
  <r>
    <s v="1495"/>
    <x v="479"/>
    <n v="7"/>
    <x v="17"/>
    <x v="5"/>
    <x v="2"/>
    <x v="2"/>
    <n v="159"/>
    <n v="5"/>
    <n v="795"/>
  </r>
  <r>
    <s v="1496"/>
    <x v="479"/>
    <n v="10"/>
    <x v="14"/>
    <x v="2"/>
    <x v="2"/>
    <x v="4"/>
    <n v="399"/>
    <n v="5"/>
    <n v="1995"/>
  </r>
  <r>
    <s v="1497"/>
    <x v="480"/>
    <n v="13"/>
    <x v="5"/>
    <x v="6"/>
    <x v="0"/>
    <x v="0"/>
    <n v="199"/>
    <n v="5"/>
    <n v="995"/>
  </r>
  <r>
    <s v="1498"/>
    <x v="480"/>
    <n v="1"/>
    <x v="1"/>
    <x v="7"/>
    <x v="1"/>
    <x v="1"/>
    <n v="289"/>
    <n v="4"/>
    <n v="1156"/>
  </r>
  <r>
    <s v="1499"/>
    <x v="481"/>
    <n v="18"/>
    <x v="3"/>
    <x v="4"/>
    <x v="3"/>
    <x v="2"/>
    <n v="159"/>
    <n v="1"/>
    <n v="159"/>
  </r>
  <r>
    <s v="1500"/>
    <x v="481"/>
    <n v="18"/>
    <x v="3"/>
    <x v="4"/>
    <x v="3"/>
    <x v="1"/>
    <n v="289"/>
    <n v="8"/>
    <n v="2312"/>
  </r>
  <r>
    <s v="1501"/>
    <x v="482"/>
    <n v="8"/>
    <x v="10"/>
    <x v="2"/>
    <x v="2"/>
    <x v="3"/>
    <n v="69"/>
    <n v="8"/>
    <n v="552"/>
  </r>
  <r>
    <s v="1502"/>
    <x v="483"/>
    <n v="7"/>
    <x v="17"/>
    <x v="2"/>
    <x v="2"/>
    <x v="2"/>
    <n v="159"/>
    <n v="7"/>
    <n v="1113"/>
  </r>
  <r>
    <s v="1503"/>
    <x v="484"/>
    <n v="6"/>
    <x v="11"/>
    <x v="5"/>
    <x v="2"/>
    <x v="1"/>
    <n v="289"/>
    <n v="7"/>
    <n v="2023"/>
  </r>
  <r>
    <s v="1504"/>
    <x v="484"/>
    <n v="11"/>
    <x v="0"/>
    <x v="0"/>
    <x v="0"/>
    <x v="4"/>
    <n v="399"/>
    <n v="5"/>
    <n v="1995"/>
  </r>
  <r>
    <s v="1505"/>
    <x v="484"/>
    <n v="9"/>
    <x v="2"/>
    <x v="2"/>
    <x v="2"/>
    <x v="1"/>
    <n v="289"/>
    <n v="6"/>
    <n v="1734"/>
  </r>
  <r>
    <s v="1506"/>
    <x v="484"/>
    <n v="20"/>
    <x v="8"/>
    <x v="3"/>
    <x v="3"/>
    <x v="3"/>
    <n v="69"/>
    <n v="4"/>
    <n v="276"/>
  </r>
  <r>
    <s v="1507"/>
    <x v="485"/>
    <n v="1"/>
    <x v="1"/>
    <x v="7"/>
    <x v="1"/>
    <x v="1"/>
    <n v="289"/>
    <n v="6"/>
    <n v="1734"/>
  </r>
  <r>
    <s v="1508"/>
    <x v="485"/>
    <n v="2"/>
    <x v="18"/>
    <x v="1"/>
    <x v="1"/>
    <x v="0"/>
    <n v="199"/>
    <n v="4"/>
    <n v="796"/>
  </r>
  <r>
    <s v="1509"/>
    <x v="486"/>
    <n v="17"/>
    <x v="6"/>
    <x v="3"/>
    <x v="3"/>
    <x v="1"/>
    <n v="289"/>
    <n v="7"/>
    <n v="2023"/>
  </r>
  <r>
    <s v="1510"/>
    <x v="486"/>
    <n v="1"/>
    <x v="1"/>
    <x v="1"/>
    <x v="1"/>
    <x v="3"/>
    <n v="69"/>
    <n v="9"/>
    <n v="621"/>
  </r>
  <r>
    <s v="1511"/>
    <x v="487"/>
    <n v="16"/>
    <x v="4"/>
    <x v="4"/>
    <x v="3"/>
    <x v="4"/>
    <n v="399"/>
    <n v="3"/>
    <n v="1197"/>
  </r>
  <r>
    <s v="1512"/>
    <x v="487"/>
    <n v="12"/>
    <x v="16"/>
    <x v="6"/>
    <x v="0"/>
    <x v="1"/>
    <n v="289"/>
    <n v="1"/>
    <n v="289"/>
  </r>
  <r>
    <s v="1513"/>
    <x v="487"/>
    <n v="4"/>
    <x v="12"/>
    <x v="1"/>
    <x v="1"/>
    <x v="2"/>
    <n v="159"/>
    <n v="3"/>
    <n v="477"/>
  </r>
  <r>
    <s v="1514"/>
    <x v="487"/>
    <n v="11"/>
    <x v="0"/>
    <x v="0"/>
    <x v="0"/>
    <x v="0"/>
    <n v="199"/>
    <n v="2"/>
    <n v="398"/>
  </r>
  <r>
    <s v="1515"/>
    <x v="487"/>
    <n v="18"/>
    <x v="3"/>
    <x v="3"/>
    <x v="3"/>
    <x v="4"/>
    <n v="399"/>
    <n v="6"/>
    <n v="2394"/>
  </r>
  <r>
    <s v="1516"/>
    <x v="487"/>
    <n v="1"/>
    <x v="1"/>
    <x v="1"/>
    <x v="1"/>
    <x v="2"/>
    <n v="159"/>
    <n v="0"/>
    <n v="0"/>
  </r>
  <r>
    <s v="1517"/>
    <x v="487"/>
    <n v="17"/>
    <x v="6"/>
    <x v="4"/>
    <x v="3"/>
    <x v="3"/>
    <n v="69"/>
    <n v="5"/>
    <n v="345"/>
  </r>
  <r>
    <s v="1518"/>
    <x v="487"/>
    <n v="3"/>
    <x v="9"/>
    <x v="1"/>
    <x v="1"/>
    <x v="3"/>
    <n v="69"/>
    <n v="8"/>
    <n v="552"/>
  </r>
  <r>
    <s v="1519"/>
    <x v="488"/>
    <n v="14"/>
    <x v="7"/>
    <x v="6"/>
    <x v="0"/>
    <x v="3"/>
    <n v="69"/>
    <n v="9"/>
    <n v="621"/>
  </r>
  <r>
    <s v="1520"/>
    <x v="489"/>
    <n v="12"/>
    <x v="16"/>
    <x v="6"/>
    <x v="0"/>
    <x v="2"/>
    <n v="159"/>
    <n v="4"/>
    <n v="636"/>
  </r>
  <r>
    <s v="1521"/>
    <x v="489"/>
    <n v="19"/>
    <x v="13"/>
    <x v="3"/>
    <x v="3"/>
    <x v="4"/>
    <n v="399"/>
    <n v="5"/>
    <n v="1995"/>
  </r>
  <r>
    <s v="1522"/>
    <x v="490"/>
    <n v="15"/>
    <x v="19"/>
    <x v="6"/>
    <x v="0"/>
    <x v="3"/>
    <n v="69"/>
    <n v="9"/>
    <n v="621"/>
  </r>
  <r>
    <s v="1523"/>
    <x v="491"/>
    <n v="11"/>
    <x v="0"/>
    <x v="0"/>
    <x v="0"/>
    <x v="2"/>
    <n v="159"/>
    <n v="3"/>
    <n v="477"/>
  </r>
  <r>
    <s v="1524"/>
    <x v="491"/>
    <n v="14"/>
    <x v="7"/>
    <x v="6"/>
    <x v="0"/>
    <x v="2"/>
    <n v="159"/>
    <n v="1"/>
    <n v="159"/>
  </r>
  <r>
    <s v="1525"/>
    <x v="491"/>
    <n v="3"/>
    <x v="9"/>
    <x v="7"/>
    <x v="1"/>
    <x v="3"/>
    <n v="69"/>
    <n v="6"/>
    <n v="414"/>
  </r>
  <r>
    <s v="1526"/>
    <x v="491"/>
    <n v="4"/>
    <x v="12"/>
    <x v="7"/>
    <x v="1"/>
    <x v="1"/>
    <n v="289"/>
    <n v="5"/>
    <n v="1445"/>
  </r>
  <r>
    <s v="1527"/>
    <x v="491"/>
    <n v="16"/>
    <x v="4"/>
    <x v="3"/>
    <x v="3"/>
    <x v="2"/>
    <n v="159"/>
    <n v="7"/>
    <n v="1113"/>
  </r>
  <r>
    <s v="1528"/>
    <x v="491"/>
    <n v="13"/>
    <x v="5"/>
    <x v="6"/>
    <x v="0"/>
    <x v="2"/>
    <n v="159"/>
    <n v="3"/>
    <n v="477"/>
  </r>
  <r>
    <s v="1529"/>
    <x v="491"/>
    <n v="18"/>
    <x v="3"/>
    <x v="4"/>
    <x v="3"/>
    <x v="0"/>
    <n v="199"/>
    <n v="1"/>
    <n v="199"/>
  </r>
  <r>
    <s v="1530"/>
    <x v="491"/>
    <n v="15"/>
    <x v="19"/>
    <x v="0"/>
    <x v="0"/>
    <x v="4"/>
    <n v="399"/>
    <n v="0"/>
    <n v="0"/>
  </r>
  <r>
    <s v="1531"/>
    <x v="492"/>
    <n v="4"/>
    <x v="12"/>
    <x v="1"/>
    <x v="1"/>
    <x v="0"/>
    <n v="199"/>
    <n v="7"/>
    <n v="1393"/>
  </r>
  <r>
    <s v="1532"/>
    <x v="493"/>
    <n v="11"/>
    <x v="0"/>
    <x v="6"/>
    <x v="0"/>
    <x v="1"/>
    <n v="289"/>
    <n v="1"/>
    <n v="289"/>
  </r>
  <r>
    <s v="1533"/>
    <x v="493"/>
    <n v="18"/>
    <x v="3"/>
    <x v="4"/>
    <x v="3"/>
    <x v="3"/>
    <n v="69"/>
    <n v="4"/>
    <n v="276"/>
  </r>
  <r>
    <s v="1534"/>
    <x v="493"/>
    <n v="1"/>
    <x v="1"/>
    <x v="1"/>
    <x v="1"/>
    <x v="3"/>
    <n v="69"/>
    <n v="1"/>
    <n v="69"/>
  </r>
  <r>
    <s v="1535"/>
    <x v="493"/>
    <n v="7"/>
    <x v="17"/>
    <x v="2"/>
    <x v="2"/>
    <x v="3"/>
    <n v="69"/>
    <n v="5"/>
    <n v="345"/>
  </r>
  <r>
    <s v="1536"/>
    <x v="494"/>
    <n v="19"/>
    <x v="13"/>
    <x v="3"/>
    <x v="3"/>
    <x v="2"/>
    <n v="159"/>
    <n v="3"/>
    <n v="477"/>
  </r>
  <r>
    <s v="1537"/>
    <x v="494"/>
    <n v="17"/>
    <x v="6"/>
    <x v="3"/>
    <x v="3"/>
    <x v="4"/>
    <n v="399"/>
    <n v="1"/>
    <n v="399"/>
  </r>
  <r>
    <s v="1538"/>
    <x v="494"/>
    <n v="3"/>
    <x v="9"/>
    <x v="7"/>
    <x v="1"/>
    <x v="3"/>
    <n v="69"/>
    <n v="6"/>
    <n v="414"/>
  </r>
  <r>
    <s v="1539"/>
    <x v="495"/>
    <n v="15"/>
    <x v="19"/>
    <x v="6"/>
    <x v="0"/>
    <x v="0"/>
    <n v="199"/>
    <n v="7"/>
    <n v="1393"/>
  </r>
  <r>
    <s v="1540"/>
    <x v="496"/>
    <n v="9"/>
    <x v="2"/>
    <x v="5"/>
    <x v="2"/>
    <x v="2"/>
    <n v="159"/>
    <n v="6"/>
    <n v="954"/>
  </r>
  <r>
    <s v="1541"/>
    <x v="496"/>
    <n v="3"/>
    <x v="9"/>
    <x v="1"/>
    <x v="1"/>
    <x v="1"/>
    <n v="289"/>
    <n v="9"/>
    <n v="2601"/>
  </r>
  <r>
    <s v="1542"/>
    <x v="497"/>
    <n v="5"/>
    <x v="15"/>
    <x v="7"/>
    <x v="1"/>
    <x v="0"/>
    <n v="199"/>
    <n v="6"/>
    <n v="1194"/>
  </r>
  <r>
    <s v="1543"/>
    <x v="497"/>
    <n v="11"/>
    <x v="0"/>
    <x v="6"/>
    <x v="0"/>
    <x v="4"/>
    <n v="399"/>
    <n v="2"/>
    <n v="798"/>
  </r>
  <r>
    <s v="1544"/>
    <x v="497"/>
    <n v="19"/>
    <x v="13"/>
    <x v="4"/>
    <x v="3"/>
    <x v="0"/>
    <n v="199"/>
    <n v="5"/>
    <n v="995"/>
  </r>
  <r>
    <s v="1545"/>
    <x v="498"/>
    <n v="11"/>
    <x v="0"/>
    <x v="0"/>
    <x v="0"/>
    <x v="4"/>
    <n v="399"/>
    <n v="6"/>
    <n v="2394"/>
  </r>
  <r>
    <s v="1546"/>
    <x v="499"/>
    <n v="15"/>
    <x v="19"/>
    <x v="6"/>
    <x v="0"/>
    <x v="0"/>
    <n v="199"/>
    <n v="7"/>
    <n v="1393"/>
  </r>
  <r>
    <s v="1547"/>
    <x v="499"/>
    <n v="6"/>
    <x v="11"/>
    <x v="2"/>
    <x v="2"/>
    <x v="2"/>
    <n v="159"/>
    <n v="5"/>
    <n v="795"/>
  </r>
  <r>
    <s v="1548"/>
    <x v="499"/>
    <n v="14"/>
    <x v="7"/>
    <x v="0"/>
    <x v="0"/>
    <x v="2"/>
    <n v="159"/>
    <n v="8"/>
    <n v="1272"/>
  </r>
  <r>
    <s v="1549"/>
    <x v="500"/>
    <n v="3"/>
    <x v="9"/>
    <x v="1"/>
    <x v="1"/>
    <x v="1"/>
    <n v="289"/>
    <n v="4"/>
    <n v="1156"/>
  </r>
  <r>
    <s v="1550"/>
    <x v="501"/>
    <n v="15"/>
    <x v="19"/>
    <x v="0"/>
    <x v="0"/>
    <x v="0"/>
    <n v="199"/>
    <n v="3"/>
    <n v="597"/>
  </r>
  <r>
    <s v="1551"/>
    <x v="501"/>
    <n v="1"/>
    <x v="1"/>
    <x v="7"/>
    <x v="1"/>
    <x v="4"/>
    <n v="399"/>
    <n v="7"/>
    <n v="2793"/>
  </r>
  <r>
    <s v="1552"/>
    <x v="501"/>
    <n v="1"/>
    <x v="1"/>
    <x v="1"/>
    <x v="1"/>
    <x v="1"/>
    <n v="289"/>
    <n v="9"/>
    <n v="2601"/>
  </r>
  <r>
    <s v="1553"/>
    <x v="501"/>
    <n v="10"/>
    <x v="14"/>
    <x v="5"/>
    <x v="2"/>
    <x v="1"/>
    <n v="289"/>
    <n v="2"/>
    <n v="578"/>
  </r>
  <r>
    <s v="1554"/>
    <x v="501"/>
    <n v="13"/>
    <x v="5"/>
    <x v="6"/>
    <x v="0"/>
    <x v="3"/>
    <n v="69"/>
    <n v="0"/>
    <n v="0"/>
  </r>
  <r>
    <s v="1555"/>
    <x v="501"/>
    <n v="14"/>
    <x v="7"/>
    <x v="0"/>
    <x v="0"/>
    <x v="1"/>
    <n v="289"/>
    <n v="6"/>
    <n v="1734"/>
  </r>
  <r>
    <s v="1556"/>
    <x v="501"/>
    <n v="17"/>
    <x v="6"/>
    <x v="3"/>
    <x v="3"/>
    <x v="0"/>
    <n v="199"/>
    <n v="2"/>
    <n v="398"/>
  </r>
  <r>
    <s v="1557"/>
    <x v="501"/>
    <n v="1"/>
    <x v="1"/>
    <x v="7"/>
    <x v="1"/>
    <x v="3"/>
    <n v="69"/>
    <n v="7"/>
    <n v="483"/>
  </r>
  <r>
    <s v="1558"/>
    <x v="502"/>
    <n v="2"/>
    <x v="18"/>
    <x v="7"/>
    <x v="1"/>
    <x v="4"/>
    <n v="399"/>
    <n v="4"/>
    <n v="1596"/>
  </r>
  <r>
    <s v="1559"/>
    <x v="503"/>
    <n v="10"/>
    <x v="14"/>
    <x v="2"/>
    <x v="2"/>
    <x v="4"/>
    <n v="399"/>
    <n v="1"/>
    <n v="399"/>
  </r>
  <r>
    <s v="1560"/>
    <x v="503"/>
    <n v="20"/>
    <x v="8"/>
    <x v="3"/>
    <x v="3"/>
    <x v="0"/>
    <n v="199"/>
    <n v="2"/>
    <n v="398"/>
  </r>
  <r>
    <s v="1561"/>
    <x v="503"/>
    <n v="1"/>
    <x v="1"/>
    <x v="1"/>
    <x v="1"/>
    <x v="1"/>
    <n v="289"/>
    <n v="1"/>
    <n v="289"/>
  </r>
  <r>
    <s v="1562"/>
    <x v="504"/>
    <n v="1"/>
    <x v="1"/>
    <x v="1"/>
    <x v="1"/>
    <x v="2"/>
    <n v="159"/>
    <n v="4"/>
    <n v="636"/>
  </r>
  <r>
    <s v="1563"/>
    <x v="504"/>
    <n v="19"/>
    <x v="13"/>
    <x v="4"/>
    <x v="3"/>
    <x v="4"/>
    <n v="399"/>
    <n v="8"/>
    <n v="3192"/>
  </r>
  <r>
    <s v="1564"/>
    <x v="504"/>
    <n v="2"/>
    <x v="18"/>
    <x v="1"/>
    <x v="1"/>
    <x v="0"/>
    <n v="199"/>
    <n v="9"/>
    <n v="1791"/>
  </r>
  <r>
    <s v="1565"/>
    <x v="504"/>
    <n v="7"/>
    <x v="17"/>
    <x v="2"/>
    <x v="2"/>
    <x v="1"/>
    <n v="289"/>
    <n v="8"/>
    <n v="2312"/>
  </r>
  <r>
    <s v="1566"/>
    <x v="505"/>
    <n v="5"/>
    <x v="15"/>
    <x v="1"/>
    <x v="1"/>
    <x v="1"/>
    <n v="289"/>
    <n v="2"/>
    <n v="578"/>
  </r>
  <r>
    <s v="1567"/>
    <x v="505"/>
    <n v="17"/>
    <x v="6"/>
    <x v="4"/>
    <x v="3"/>
    <x v="3"/>
    <n v="69"/>
    <n v="2"/>
    <n v="138"/>
  </r>
  <r>
    <s v="1568"/>
    <x v="506"/>
    <n v="10"/>
    <x v="14"/>
    <x v="2"/>
    <x v="2"/>
    <x v="1"/>
    <n v="289"/>
    <n v="7"/>
    <n v="2023"/>
  </r>
  <r>
    <s v="1569"/>
    <x v="506"/>
    <n v="8"/>
    <x v="10"/>
    <x v="5"/>
    <x v="2"/>
    <x v="3"/>
    <n v="69"/>
    <n v="2"/>
    <n v="138"/>
  </r>
  <r>
    <s v="1570"/>
    <x v="506"/>
    <n v="14"/>
    <x v="7"/>
    <x v="0"/>
    <x v="0"/>
    <x v="3"/>
    <n v="69"/>
    <n v="9"/>
    <n v="621"/>
  </r>
  <r>
    <s v="1571"/>
    <x v="507"/>
    <n v="15"/>
    <x v="19"/>
    <x v="6"/>
    <x v="0"/>
    <x v="2"/>
    <n v="159"/>
    <n v="2"/>
    <n v="318"/>
  </r>
  <r>
    <s v="1572"/>
    <x v="508"/>
    <n v="14"/>
    <x v="7"/>
    <x v="6"/>
    <x v="0"/>
    <x v="4"/>
    <n v="399"/>
    <n v="4"/>
    <n v="1596"/>
  </r>
  <r>
    <s v="1573"/>
    <x v="509"/>
    <n v="5"/>
    <x v="15"/>
    <x v="1"/>
    <x v="1"/>
    <x v="2"/>
    <n v="159"/>
    <n v="3"/>
    <n v="477"/>
  </r>
  <r>
    <s v="1574"/>
    <x v="509"/>
    <n v="17"/>
    <x v="6"/>
    <x v="3"/>
    <x v="3"/>
    <x v="1"/>
    <n v="289"/>
    <n v="3"/>
    <n v="867"/>
  </r>
  <r>
    <s v="1575"/>
    <x v="509"/>
    <n v="5"/>
    <x v="15"/>
    <x v="7"/>
    <x v="1"/>
    <x v="2"/>
    <n v="159"/>
    <n v="2"/>
    <n v="318"/>
  </r>
  <r>
    <s v="1576"/>
    <x v="509"/>
    <n v="12"/>
    <x v="16"/>
    <x v="6"/>
    <x v="0"/>
    <x v="4"/>
    <n v="399"/>
    <n v="2"/>
    <n v="798"/>
  </r>
  <r>
    <s v="1577"/>
    <x v="509"/>
    <n v="13"/>
    <x v="5"/>
    <x v="6"/>
    <x v="0"/>
    <x v="0"/>
    <n v="199"/>
    <n v="0"/>
    <n v="0"/>
  </r>
  <r>
    <s v="1578"/>
    <x v="509"/>
    <n v="7"/>
    <x v="17"/>
    <x v="5"/>
    <x v="2"/>
    <x v="3"/>
    <n v="69"/>
    <n v="3"/>
    <n v="207"/>
  </r>
  <r>
    <s v="1579"/>
    <x v="509"/>
    <n v="1"/>
    <x v="1"/>
    <x v="7"/>
    <x v="1"/>
    <x v="0"/>
    <n v="199"/>
    <n v="1"/>
    <n v="199"/>
  </r>
  <r>
    <s v="1580"/>
    <x v="509"/>
    <n v="11"/>
    <x v="0"/>
    <x v="6"/>
    <x v="0"/>
    <x v="0"/>
    <n v="199"/>
    <n v="6"/>
    <n v="1194"/>
  </r>
  <r>
    <s v="1581"/>
    <x v="509"/>
    <n v="9"/>
    <x v="2"/>
    <x v="2"/>
    <x v="2"/>
    <x v="3"/>
    <n v="69"/>
    <n v="0"/>
    <n v="0"/>
  </r>
  <r>
    <s v="1582"/>
    <x v="509"/>
    <n v="16"/>
    <x v="4"/>
    <x v="3"/>
    <x v="3"/>
    <x v="1"/>
    <n v="289"/>
    <n v="1"/>
    <n v="289"/>
  </r>
  <r>
    <s v="1583"/>
    <x v="509"/>
    <n v="1"/>
    <x v="1"/>
    <x v="7"/>
    <x v="1"/>
    <x v="1"/>
    <n v="289"/>
    <n v="9"/>
    <n v="2601"/>
  </r>
  <r>
    <s v="1584"/>
    <x v="509"/>
    <n v="5"/>
    <x v="15"/>
    <x v="7"/>
    <x v="1"/>
    <x v="0"/>
    <n v="199"/>
    <n v="8"/>
    <n v="1592"/>
  </r>
  <r>
    <s v="1585"/>
    <x v="510"/>
    <n v="10"/>
    <x v="14"/>
    <x v="2"/>
    <x v="2"/>
    <x v="2"/>
    <n v="159"/>
    <n v="6"/>
    <n v="954"/>
  </r>
  <r>
    <s v="1586"/>
    <x v="510"/>
    <n v="4"/>
    <x v="12"/>
    <x v="1"/>
    <x v="1"/>
    <x v="1"/>
    <n v="289"/>
    <n v="2"/>
    <n v="578"/>
  </r>
  <r>
    <s v="1587"/>
    <x v="510"/>
    <n v="11"/>
    <x v="0"/>
    <x v="6"/>
    <x v="0"/>
    <x v="0"/>
    <n v="199"/>
    <n v="1"/>
    <n v="199"/>
  </r>
  <r>
    <s v="1588"/>
    <x v="510"/>
    <n v="17"/>
    <x v="6"/>
    <x v="4"/>
    <x v="3"/>
    <x v="2"/>
    <n v="159"/>
    <n v="9"/>
    <n v="1431"/>
  </r>
  <r>
    <s v="1589"/>
    <x v="510"/>
    <n v="7"/>
    <x v="17"/>
    <x v="5"/>
    <x v="2"/>
    <x v="3"/>
    <n v="69"/>
    <n v="3"/>
    <n v="207"/>
  </r>
  <r>
    <s v="1590"/>
    <x v="510"/>
    <n v="17"/>
    <x v="6"/>
    <x v="4"/>
    <x v="3"/>
    <x v="2"/>
    <n v="159"/>
    <n v="2"/>
    <n v="318"/>
  </r>
  <r>
    <s v="1591"/>
    <x v="510"/>
    <n v="16"/>
    <x v="4"/>
    <x v="4"/>
    <x v="3"/>
    <x v="3"/>
    <n v="69"/>
    <n v="5"/>
    <n v="345"/>
  </r>
  <r>
    <s v="1592"/>
    <x v="510"/>
    <n v="16"/>
    <x v="4"/>
    <x v="3"/>
    <x v="3"/>
    <x v="2"/>
    <n v="159"/>
    <n v="7"/>
    <n v="1113"/>
  </r>
  <r>
    <s v="1593"/>
    <x v="510"/>
    <n v="16"/>
    <x v="4"/>
    <x v="4"/>
    <x v="3"/>
    <x v="1"/>
    <n v="289"/>
    <n v="9"/>
    <n v="2601"/>
  </r>
  <r>
    <s v="1594"/>
    <x v="511"/>
    <n v="11"/>
    <x v="0"/>
    <x v="6"/>
    <x v="0"/>
    <x v="4"/>
    <n v="399"/>
    <n v="0"/>
    <n v="0"/>
  </r>
  <r>
    <s v="1595"/>
    <x v="511"/>
    <n v="19"/>
    <x v="13"/>
    <x v="3"/>
    <x v="3"/>
    <x v="0"/>
    <n v="199"/>
    <n v="0"/>
    <n v="0"/>
  </r>
  <r>
    <s v="1596"/>
    <x v="512"/>
    <n v="5"/>
    <x v="15"/>
    <x v="1"/>
    <x v="1"/>
    <x v="2"/>
    <n v="159"/>
    <n v="2"/>
    <n v="318"/>
  </r>
  <r>
    <s v="1597"/>
    <x v="512"/>
    <n v="16"/>
    <x v="4"/>
    <x v="3"/>
    <x v="3"/>
    <x v="0"/>
    <n v="199"/>
    <n v="8"/>
    <n v="1592"/>
  </r>
  <r>
    <s v="1598"/>
    <x v="512"/>
    <n v="19"/>
    <x v="13"/>
    <x v="4"/>
    <x v="3"/>
    <x v="2"/>
    <n v="159"/>
    <n v="3"/>
    <n v="477"/>
  </r>
  <r>
    <s v="1599"/>
    <x v="512"/>
    <n v="5"/>
    <x v="15"/>
    <x v="7"/>
    <x v="1"/>
    <x v="2"/>
    <n v="159"/>
    <n v="9"/>
    <n v="1431"/>
  </r>
  <r>
    <s v="1600"/>
    <x v="512"/>
    <n v="9"/>
    <x v="2"/>
    <x v="5"/>
    <x v="2"/>
    <x v="0"/>
    <n v="199"/>
    <n v="1"/>
    <n v="199"/>
  </r>
  <r>
    <s v="1601"/>
    <x v="513"/>
    <n v="17"/>
    <x v="6"/>
    <x v="3"/>
    <x v="3"/>
    <x v="4"/>
    <n v="399"/>
    <n v="2"/>
    <n v="798"/>
  </r>
  <r>
    <s v="1602"/>
    <x v="513"/>
    <n v="4"/>
    <x v="12"/>
    <x v="7"/>
    <x v="1"/>
    <x v="0"/>
    <n v="199"/>
    <n v="1"/>
    <n v="199"/>
  </r>
  <r>
    <s v="1603"/>
    <x v="513"/>
    <n v="18"/>
    <x v="3"/>
    <x v="3"/>
    <x v="3"/>
    <x v="0"/>
    <n v="199"/>
    <n v="8"/>
    <n v="1592"/>
  </r>
  <r>
    <s v="1604"/>
    <x v="513"/>
    <n v="13"/>
    <x v="5"/>
    <x v="6"/>
    <x v="0"/>
    <x v="0"/>
    <n v="199"/>
    <n v="7"/>
    <n v="1393"/>
  </r>
  <r>
    <s v="1605"/>
    <x v="513"/>
    <n v="6"/>
    <x v="11"/>
    <x v="5"/>
    <x v="2"/>
    <x v="2"/>
    <n v="159"/>
    <n v="5"/>
    <n v="795"/>
  </r>
  <r>
    <s v="1606"/>
    <x v="513"/>
    <n v="16"/>
    <x v="4"/>
    <x v="3"/>
    <x v="3"/>
    <x v="3"/>
    <n v="69"/>
    <n v="1"/>
    <n v="69"/>
  </r>
  <r>
    <s v="1607"/>
    <x v="514"/>
    <n v="5"/>
    <x v="15"/>
    <x v="1"/>
    <x v="1"/>
    <x v="1"/>
    <n v="289"/>
    <n v="3"/>
    <n v="867"/>
  </r>
  <r>
    <s v="1608"/>
    <x v="514"/>
    <n v="17"/>
    <x v="6"/>
    <x v="4"/>
    <x v="3"/>
    <x v="2"/>
    <n v="159"/>
    <n v="8"/>
    <n v="1272"/>
  </r>
  <r>
    <s v="1609"/>
    <x v="514"/>
    <n v="3"/>
    <x v="9"/>
    <x v="1"/>
    <x v="1"/>
    <x v="2"/>
    <n v="159"/>
    <n v="8"/>
    <n v="1272"/>
  </r>
  <r>
    <s v="1610"/>
    <x v="515"/>
    <n v="18"/>
    <x v="3"/>
    <x v="4"/>
    <x v="3"/>
    <x v="3"/>
    <n v="69"/>
    <n v="4"/>
    <n v="276"/>
  </r>
  <r>
    <s v="1611"/>
    <x v="516"/>
    <n v="2"/>
    <x v="18"/>
    <x v="7"/>
    <x v="1"/>
    <x v="2"/>
    <n v="159"/>
    <n v="1"/>
    <n v="159"/>
  </r>
  <r>
    <s v="1612"/>
    <x v="516"/>
    <n v="10"/>
    <x v="14"/>
    <x v="5"/>
    <x v="2"/>
    <x v="2"/>
    <n v="159"/>
    <n v="2"/>
    <n v="318"/>
  </r>
  <r>
    <s v="1613"/>
    <x v="516"/>
    <n v="17"/>
    <x v="6"/>
    <x v="4"/>
    <x v="3"/>
    <x v="1"/>
    <n v="289"/>
    <n v="0"/>
    <n v="0"/>
  </r>
  <r>
    <s v="1614"/>
    <x v="517"/>
    <n v="8"/>
    <x v="10"/>
    <x v="5"/>
    <x v="2"/>
    <x v="1"/>
    <n v="289"/>
    <n v="4"/>
    <n v="1156"/>
  </r>
  <r>
    <s v="1615"/>
    <x v="517"/>
    <n v="3"/>
    <x v="9"/>
    <x v="7"/>
    <x v="1"/>
    <x v="3"/>
    <n v="69"/>
    <n v="6"/>
    <n v="414"/>
  </r>
  <r>
    <s v="1616"/>
    <x v="517"/>
    <n v="10"/>
    <x v="14"/>
    <x v="5"/>
    <x v="2"/>
    <x v="3"/>
    <n v="69"/>
    <n v="4"/>
    <n v="276"/>
  </r>
  <r>
    <s v="1617"/>
    <x v="517"/>
    <n v="15"/>
    <x v="19"/>
    <x v="0"/>
    <x v="0"/>
    <x v="2"/>
    <n v="159"/>
    <n v="1"/>
    <n v="159"/>
  </r>
  <r>
    <s v="1618"/>
    <x v="518"/>
    <n v="19"/>
    <x v="13"/>
    <x v="4"/>
    <x v="3"/>
    <x v="3"/>
    <n v="69"/>
    <n v="1"/>
    <n v="69"/>
  </r>
  <r>
    <s v="1619"/>
    <x v="519"/>
    <n v="20"/>
    <x v="8"/>
    <x v="4"/>
    <x v="3"/>
    <x v="2"/>
    <n v="159"/>
    <n v="4"/>
    <n v="636"/>
  </r>
  <r>
    <s v="1620"/>
    <x v="520"/>
    <n v="9"/>
    <x v="2"/>
    <x v="5"/>
    <x v="2"/>
    <x v="4"/>
    <n v="399"/>
    <n v="0"/>
    <n v="0"/>
  </r>
  <r>
    <s v="1621"/>
    <x v="520"/>
    <n v="4"/>
    <x v="12"/>
    <x v="7"/>
    <x v="1"/>
    <x v="2"/>
    <n v="159"/>
    <n v="2"/>
    <n v="318"/>
  </r>
  <r>
    <s v="1622"/>
    <x v="520"/>
    <n v="11"/>
    <x v="0"/>
    <x v="0"/>
    <x v="0"/>
    <x v="1"/>
    <n v="289"/>
    <n v="2"/>
    <n v="578"/>
  </r>
  <r>
    <s v="1623"/>
    <x v="520"/>
    <n v="2"/>
    <x v="18"/>
    <x v="1"/>
    <x v="1"/>
    <x v="2"/>
    <n v="159"/>
    <n v="1"/>
    <n v="159"/>
  </r>
  <r>
    <s v="1624"/>
    <x v="521"/>
    <n v="6"/>
    <x v="11"/>
    <x v="5"/>
    <x v="2"/>
    <x v="1"/>
    <n v="289"/>
    <n v="1"/>
    <n v="289"/>
  </r>
  <r>
    <s v="1625"/>
    <x v="521"/>
    <n v="14"/>
    <x v="7"/>
    <x v="6"/>
    <x v="0"/>
    <x v="0"/>
    <n v="199"/>
    <n v="7"/>
    <n v="1393"/>
  </r>
  <r>
    <s v="1626"/>
    <x v="521"/>
    <n v="15"/>
    <x v="19"/>
    <x v="0"/>
    <x v="0"/>
    <x v="0"/>
    <n v="199"/>
    <n v="6"/>
    <n v="1194"/>
  </r>
  <r>
    <s v="1627"/>
    <x v="521"/>
    <n v="5"/>
    <x v="15"/>
    <x v="7"/>
    <x v="1"/>
    <x v="4"/>
    <n v="399"/>
    <n v="6"/>
    <n v="2394"/>
  </r>
  <r>
    <s v="1628"/>
    <x v="521"/>
    <n v="17"/>
    <x v="6"/>
    <x v="4"/>
    <x v="3"/>
    <x v="2"/>
    <n v="159"/>
    <n v="7"/>
    <n v="1113"/>
  </r>
  <r>
    <s v="1629"/>
    <x v="521"/>
    <n v="9"/>
    <x v="2"/>
    <x v="5"/>
    <x v="2"/>
    <x v="4"/>
    <n v="399"/>
    <n v="0"/>
    <n v="0"/>
  </r>
  <r>
    <s v="1630"/>
    <x v="521"/>
    <n v="4"/>
    <x v="12"/>
    <x v="1"/>
    <x v="1"/>
    <x v="2"/>
    <n v="159"/>
    <n v="4"/>
    <n v="636"/>
  </r>
  <r>
    <s v="1631"/>
    <x v="521"/>
    <n v="17"/>
    <x v="6"/>
    <x v="4"/>
    <x v="3"/>
    <x v="3"/>
    <n v="69"/>
    <n v="7"/>
    <n v="483"/>
  </r>
  <r>
    <s v="1632"/>
    <x v="521"/>
    <n v="1"/>
    <x v="1"/>
    <x v="7"/>
    <x v="1"/>
    <x v="4"/>
    <n v="399"/>
    <n v="0"/>
    <n v="0"/>
  </r>
  <r>
    <s v="1633"/>
    <x v="521"/>
    <n v="15"/>
    <x v="19"/>
    <x v="6"/>
    <x v="0"/>
    <x v="2"/>
    <n v="159"/>
    <n v="5"/>
    <n v="795"/>
  </r>
  <r>
    <s v="1634"/>
    <x v="521"/>
    <n v="2"/>
    <x v="18"/>
    <x v="1"/>
    <x v="1"/>
    <x v="2"/>
    <n v="159"/>
    <n v="8"/>
    <n v="1272"/>
  </r>
  <r>
    <s v="1635"/>
    <x v="521"/>
    <n v="3"/>
    <x v="9"/>
    <x v="1"/>
    <x v="1"/>
    <x v="1"/>
    <n v="289"/>
    <n v="9"/>
    <n v="2601"/>
  </r>
  <r>
    <s v="1636"/>
    <x v="522"/>
    <n v="2"/>
    <x v="18"/>
    <x v="7"/>
    <x v="1"/>
    <x v="3"/>
    <n v="69"/>
    <n v="3"/>
    <n v="207"/>
  </r>
  <r>
    <s v="1637"/>
    <x v="523"/>
    <n v="10"/>
    <x v="14"/>
    <x v="5"/>
    <x v="2"/>
    <x v="4"/>
    <n v="399"/>
    <n v="5"/>
    <n v="1995"/>
  </r>
  <r>
    <s v="1638"/>
    <x v="523"/>
    <n v="4"/>
    <x v="12"/>
    <x v="7"/>
    <x v="1"/>
    <x v="0"/>
    <n v="199"/>
    <n v="1"/>
    <n v="199"/>
  </r>
  <r>
    <s v="1639"/>
    <x v="523"/>
    <n v="20"/>
    <x v="8"/>
    <x v="3"/>
    <x v="3"/>
    <x v="4"/>
    <n v="399"/>
    <n v="6"/>
    <n v="2394"/>
  </r>
  <r>
    <s v="1640"/>
    <x v="523"/>
    <n v="19"/>
    <x v="13"/>
    <x v="3"/>
    <x v="3"/>
    <x v="3"/>
    <n v="69"/>
    <n v="5"/>
    <n v="345"/>
  </r>
  <r>
    <s v="1641"/>
    <x v="523"/>
    <n v="13"/>
    <x v="5"/>
    <x v="0"/>
    <x v="0"/>
    <x v="2"/>
    <n v="159"/>
    <n v="2"/>
    <n v="318"/>
  </r>
  <r>
    <s v="1642"/>
    <x v="523"/>
    <n v="17"/>
    <x v="6"/>
    <x v="3"/>
    <x v="3"/>
    <x v="4"/>
    <n v="399"/>
    <n v="9"/>
    <n v="3591"/>
  </r>
  <r>
    <s v="1643"/>
    <x v="523"/>
    <n v="7"/>
    <x v="17"/>
    <x v="5"/>
    <x v="2"/>
    <x v="0"/>
    <n v="199"/>
    <n v="9"/>
    <n v="1791"/>
  </r>
  <r>
    <s v="1644"/>
    <x v="524"/>
    <n v="4"/>
    <x v="12"/>
    <x v="1"/>
    <x v="1"/>
    <x v="4"/>
    <n v="399"/>
    <n v="6"/>
    <n v="2394"/>
  </r>
  <r>
    <s v="1645"/>
    <x v="524"/>
    <n v="11"/>
    <x v="0"/>
    <x v="0"/>
    <x v="0"/>
    <x v="4"/>
    <n v="399"/>
    <n v="3"/>
    <n v="1197"/>
  </r>
  <r>
    <s v="1646"/>
    <x v="525"/>
    <n v="11"/>
    <x v="0"/>
    <x v="0"/>
    <x v="0"/>
    <x v="0"/>
    <n v="199"/>
    <n v="4"/>
    <n v="796"/>
  </r>
  <r>
    <s v="1647"/>
    <x v="525"/>
    <n v="13"/>
    <x v="5"/>
    <x v="6"/>
    <x v="0"/>
    <x v="2"/>
    <n v="159"/>
    <n v="9"/>
    <n v="1431"/>
  </r>
  <r>
    <s v="1648"/>
    <x v="525"/>
    <n v="1"/>
    <x v="1"/>
    <x v="7"/>
    <x v="1"/>
    <x v="4"/>
    <n v="399"/>
    <n v="2"/>
    <n v="798"/>
  </r>
  <r>
    <s v="1649"/>
    <x v="526"/>
    <n v="15"/>
    <x v="19"/>
    <x v="0"/>
    <x v="0"/>
    <x v="2"/>
    <n v="159"/>
    <n v="0"/>
    <n v="0"/>
  </r>
  <r>
    <s v="1650"/>
    <x v="526"/>
    <n v="9"/>
    <x v="2"/>
    <x v="2"/>
    <x v="2"/>
    <x v="4"/>
    <n v="399"/>
    <n v="3"/>
    <n v="1197"/>
  </r>
  <r>
    <s v="1651"/>
    <x v="526"/>
    <n v="20"/>
    <x v="8"/>
    <x v="4"/>
    <x v="3"/>
    <x v="3"/>
    <n v="69"/>
    <n v="0"/>
    <n v="0"/>
  </r>
  <r>
    <s v="1652"/>
    <x v="526"/>
    <n v="9"/>
    <x v="2"/>
    <x v="5"/>
    <x v="2"/>
    <x v="0"/>
    <n v="199"/>
    <n v="5"/>
    <n v="995"/>
  </r>
  <r>
    <s v="1653"/>
    <x v="527"/>
    <n v="15"/>
    <x v="19"/>
    <x v="0"/>
    <x v="0"/>
    <x v="2"/>
    <n v="159"/>
    <n v="1"/>
    <n v="159"/>
  </r>
  <r>
    <s v="1654"/>
    <x v="528"/>
    <n v="3"/>
    <x v="9"/>
    <x v="1"/>
    <x v="1"/>
    <x v="4"/>
    <n v="399"/>
    <n v="5"/>
    <n v="1995"/>
  </r>
  <r>
    <s v="1655"/>
    <x v="529"/>
    <n v="17"/>
    <x v="6"/>
    <x v="4"/>
    <x v="3"/>
    <x v="0"/>
    <n v="199"/>
    <n v="8"/>
    <n v="1592"/>
  </r>
  <r>
    <s v="1656"/>
    <x v="529"/>
    <n v="16"/>
    <x v="4"/>
    <x v="4"/>
    <x v="3"/>
    <x v="1"/>
    <n v="289"/>
    <n v="9"/>
    <n v="2601"/>
  </r>
  <r>
    <s v="1657"/>
    <x v="529"/>
    <n v="10"/>
    <x v="14"/>
    <x v="5"/>
    <x v="2"/>
    <x v="4"/>
    <n v="399"/>
    <n v="8"/>
    <n v="3192"/>
  </r>
  <r>
    <s v="1658"/>
    <x v="529"/>
    <n v="3"/>
    <x v="9"/>
    <x v="1"/>
    <x v="1"/>
    <x v="4"/>
    <n v="399"/>
    <n v="8"/>
    <n v="3192"/>
  </r>
  <r>
    <s v="1659"/>
    <x v="529"/>
    <n v="13"/>
    <x v="5"/>
    <x v="6"/>
    <x v="0"/>
    <x v="3"/>
    <n v="69"/>
    <n v="4"/>
    <n v="276"/>
  </r>
  <r>
    <s v="1660"/>
    <x v="530"/>
    <n v="13"/>
    <x v="5"/>
    <x v="0"/>
    <x v="0"/>
    <x v="1"/>
    <n v="289"/>
    <n v="4"/>
    <n v="1156"/>
  </r>
  <r>
    <s v="1661"/>
    <x v="530"/>
    <n v="9"/>
    <x v="2"/>
    <x v="2"/>
    <x v="2"/>
    <x v="3"/>
    <n v="69"/>
    <n v="5"/>
    <n v="345"/>
  </r>
  <r>
    <s v="1662"/>
    <x v="530"/>
    <n v="20"/>
    <x v="8"/>
    <x v="4"/>
    <x v="3"/>
    <x v="3"/>
    <n v="69"/>
    <n v="8"/>
    <n v="552"/>
  </r>
  <r>
    <s v="1663"/>
    <x v="530"/>
    <n v="2"/>
    <x v="18"/>
    <x v="1"/>
    <x v="1"/>
    <x v="1"/>
    <n v="289"/>
    <n v="5"/>
    <n v="1445"/>
  </r>
  <r>
    <s v="1664"/>
    <x v="530"/>
    <n v="13"/>
    <x v="5"/>
    <x v="6"/>
    <x v="0"/>
    <x v="4"/>
    <n v="399"/>
    <n v="7"/>
    <n v="2793"/>
  </r>
  <r>
    <s v="1665"/>
    <x v="530"/>
    <n v="17"/>
    <x v="6"/>
    <x v="4"/>
    <x v="3"/>
    <x v="0"/>
    <n v="199"/>
    <n v="3"/>
    <n v="597"/>
  </r>
  <r>
    <s v="1666"/>
    <x v="531"/>
    <n v="20"/>
    <x v="8"/>
    <x v="4"/>
    <x v="3"/>
    <x v="0"/>
    <n v="199"/>
    <n v="7"/>
    <n v="1393"/>
  </r>
  <r>
    <s v="1667"/>
    <x v="531"/>
    <n v="8"/>
    <x v="10"/>
    <x v="5"/>
    <x v="2"/>
    <x v="4"/>
    <n v="399"/>
    <n v="2"/>
    <n v="798"/>
  </r>
  <r>
    <s v="1668"/>
    <x v="531"/>
    <n v="16"/>
    <x v="4"/>
    <x v="3"/>
    <x v="3"/>
    <x v="2"/>
    <n v="159"/>
    <n v="3"/>
    <n v="477"/>
  </r>
  <r>
    <s v="1669"/>
    <x v="531"/>
    <n v="18"/>
    <x v="3"/>
    <x v="4"/>
    <x v="3"/>
    <x v="3"/>
    <n v="69"/>
    <n v="8"/>
    <n v="552"/>
  </r>
  <r>
    <s v="1670"/>
    <x v="532"/>
    <n v="1"/>
    <x v="1"/>
    <x v="1"/>
    <x v="1"/>
    <x v="1"/>
    <n v="289"/>
    <n v="5"/>
    <n v="1445"/>
  </r>
  <r>
    <s v="1671"/>
    <x v="532"/>
    <n v="17"/>
    <x v="6"/>
    <x v="4"/>
    <x v="3"/>
    <x v="1"/>
    <n v="289"/>
    <n v="1"/>
    <n v="289"/>
  </r>
  <r>
    <s v="1672"/>
    <x v="532"/>
    <n v="4"/>
    <x v="12"/>
    <x v="7"/>
    <x v="1"/>
    <x v="3"/>
    <n v="69"/>
    <n v="8"/>
    <n v="552"/>
  </r>
  <r>
    <s v="1673"/>
    <x v="532"/>
    <n v="18"/>
    <x v="3"/>
    <x v="3"/>
    <x v="3"/>
    <x v="2"/>
    <n v="159"/>
    <n v="6"/>
    <n v="954"/>
  </r>
  <r>
    <s v="1674"/>
    <x v="533"/>
    <n v="17"/>
    <x v="6"/>
    <x v="4"/>
    <x v="3"/>
    <x v="4"/>
    <n v="399"/>
    <n v="3"/>
    <n v="1197"/>
  </r>
  <r>
    <s v="1675"/>
    <x v="534"/>
    <n v="13"/>
    <x v="5"/>
    <x v="0"/>
    <x v="0"/>
    <x v="0"/>
    <n v="199"/>
    <n v="0"/>
    <n v="0"/>
  </r>
  <r>
    <s v="1676"/>
    <x v="534"/>
    <n v="11"/>
    <x v="0"/>
    <x v="0"/>
    <x v="0"/>
    <x v="0"/>
    <n v="199"/>
    <n v="7"/>
    <n v="1393"/>
  </r>
  <r>
    <s v="1677"/>
    <x v="534"/>
    <n v="14"/>
    <x v="7"/>
    <x v="6"/>
    <x v="0"/>
    <x v="2"/>
    <n v="159"/>
    <n v="5"/>
    <n v="795"/>
  </r>
  <r>
    <s v="1678"/>
    <x v="535"/>
    <n v="6"/>
    <x v="11"/>
    <x v="2"/>
    <x v="2"/>
    <x v="2"/>
    <n v="159"/>
    <n v="2"/>
    <n v="318"/>
  </r>
  <r>
    <s v="1679"/>
    <x v="536"/>
    <n v="20"/>
    <x v="8"/>
    <x v="3"/>
    <x v="3"/>
    <x v="0"/>
    <n v="199"/>
    <n v="7"/>
    <n v="1393"/>
  </r>
  <r>
    <s v="1680"/>
    <x v="537"/>
    <n v="4"/>
    <x v="12"/>
    <x v="1"/>
    <x v="1"/>
    <x v="2"/>
    <n v="159"/>
    <n v="5"/>
    <n v="795"/>
  </r>
  <r>
    <s v="1681"/>
    <x v="537"/>
    <n v="6"/>
    <x v="11"/>
    <x v="5"/>
    <x v="2"/>
    <x v="3"/>
    <n v="69"/>
    <n v="5"/>
    <n v="345"/>
  </r>
  <r>
    <s v="1682"/>
    <x v="537"/>
    <n v="3"/>
    <x v="9"/>
    <x v="7"/>
    <x v="1"/>
    <x v="0"/>
    <n v="199"/>
    <n v="5"/>
    <n v="995"/>
  </r>
  <r>
    <s v="1683"/>
    <x v="537"/>
    <n v="9"/>
    <x v="2"/>
    <x v="5"/>
    <x v="2"/>
    <x v="2"/>
    <n v="159"/>
    <n v="4"/>
    <n v="636"/>
  </r>
  <r>
    <s v="1684"/>
    <x v="537"/>
    <n v="12"/>
    <x v="16"/>
    <x v="6"/>
    <x v="0"/>
    <x v="2"/>
    <n v="159"/>
    <n v="2"/>
    <n v="318"/>
  </r>
  <r>
    <s v="1685"/>
    <x v="537"/>
    <n v="3"/>
    <x v="9"/>
    <x v="1"/>
    <x v="1"/>
    <x v="2"/>
    <n v="159"/>
    <n v="8"/>
    <n v="1272"/>
  </r>
  <r>
    <s v="1686"/>
    <x v="538"/>
    <n v="15"/>
    <x v="19"/>
    <x v="0"/>
    <x v="0"/>
    <x v="2"/>
    <n v="159"/>
    <n v="4"/>
    <n v="636"/>
  </r>
  <r>
    <s v="1687"/>
    <x v="538"/>
    <n v="9"/>
    <x v="2"/>
    <x v="2"/>
    <x v="2"/>
    <x v="2"/>
    <n v="159"/>
    <n v="8"/>
    <n v="1272"/>
  </r>
  <r>
    <s v="1688"/>
    <x v="539"/>
    <n v="13"/>
    <x v="5"/>
    <x v="0"/>
    <x v="0"/>
    <x v="4"/>
    <n v="399"/>
    <n v="5"/>
    <n v="1995"/>
  </r>
  <r>
    <s v="1689"/>
    <x v="540"/>
    <n v="16"/>
    <x v="4"/>
    <x v="4"/>
    <x v="3"/>
    <x v="4"/>
    <n v="399"/>
    <n v="6"/>
    <n v="2394"/>
  </r>
  <r>
    <s v="1690"/>
    <x v="541"/>
    <n v="7"/>
    <x v="17"/>
    <x v="5"/>
    <x v="2"/>
    <x v="4"/>
    <n v="399"/>
    <n v="4"/>
    <n v="1596"/>
  </r>
  <r>
    <s v="1691"/>
    <x v="541"/>
    <n v="2"/>
    <x v="18"/>
    <x v="7"/>
    <x v="1"/>
    <x v="1"/>
    <n v="289"/>
    <n v="7"/>
    <n v="2023"/>
  </r>
  <r>
    <s v="1692"/>
    <x v="542"/>
    <n v="9"/>
    <x v="2"/>
    <x v="2"/>
    <x v="2"/>
    <x v="3"/>
    <n v="69"/>
    <n v="3"/>
    <n v="207"/>
  </r>
  <r>
    <s v="1693"/>
    <x v="543"/>
    <n v="20"/>
    <x v="8"/>
    <x v="4"/>
    <x v="3"/>
    <x v="1"/>
    <n v="289"/>
    <n v="8"/>
    <n v="2312"/>
  </r>
  <r>
    <s v="1694"/>
    <x v="544"/>
    <n v="9"/>
    <x v="2"/>
    <x v="2"/>
    <x v="2"/>
    <x v="4"/>
    <n v="399"/>
    <n v="5"/>
    <n v="1995"/>
  </r>
  <r>
    <s v="1695"/>
    <x v="544"/>
    <n v="8"/>
    <x v="10"/>
    <x v="5"/>
    <x v="2"/>
    <x v="0"/>
    <n v="199"/>
    <n v="3"/>
    <n v="597"/>
  </r>
  <r>
    <s v="1696"/>
    <x v="545"/>
    <n v="9"/>
    <x v="2"/>
    <x v="2"/>
    <x v="2"/>
    <x v="2"/>
    <n v="159"/>
    <n v="7"/>
    <n v="1113"/>
  </r>
  <r>
    <s v="1697"/>
    <x v="546"/>
    <n v="14"/>
    <x v="7"/>
    <x v="0"/>
    <x v="0"/>
    <x v="3"/>
    <n v="69"/>
    <n v="8"/>
    <n v="552"/>
  </r>
  <r>
    <s v="1698"/>
    <x v="547"/>
    <n v="8"/>
    <x v="10"/>
    <x v="5"/>
    <x v="2"/>
    <x v="0"/>
    <n v="199"/>
    <n v="3"/>
    <n v="597"/>
  </r>
  <r>
    <s v="1699"/>
    <x v="547"/>
    <n v="11"/>
    <x v="0"/>
    <x v="0"/>
    <x v="0"/>
    <x v="2"/>
    <n v="159"/>
    <n v="0"/>
    <n v="0"/>
  </r>
  <r>
    <s v="1700"/>
    <x v="548"/>
    <n v="12"/>
    <x v="16"/>
    <x v="0"/>
    <x v="0"/>
    <x v="1"/>
    <n v="289"/>
    <n v="5"/>
    <n v="1445"/>
  </r>
  <r>
    <s v="1701"/>
    <x v="549"/>
    <n v="16"/>
    <x v="4"/>
    <x v="4"/>
    <x v="3"/>
    <x v="4"/>
    <n v="399"/>
    <n v="4"/>
    <n v="1596"/>
  </r>
  <r>
    <s v="1702"/>
    <x v="550"/>
    <n v="8"/>
    <x v="10"/>
    <x v="2"/>
    <x v="2"/>
    <x v="0"/>
    <n v="199"/>
    <n v="5"/>
    <n v="995"/>
  </r>
  <r>
    <s v="1703"/>
    <x v="550"/>
    <n v="5"/>
    <x v="15"/>
    <x v="1"/>
    <x v="1"/>
    <x v="4"/>
    <n v="399"/>
    <n v="7"/>
    <n v="2793"/>
  </r>
  <r>
    <s v="1704"/>
    <x v="551"/>
    <n v="18"/>
    <x v="3"/>
    <x v="4"/>
    <x v="3"/>
    <x v="2"/>
    <n v="159"/>
    <n v="0"/>
    <n v="0"/>
  </r>
  <r>
    <s v="1705"/>
    <x v="552"/>
    <n v="9"/>
    <x v="2"/>
    <x v="2"/>
    <x v="2"/>
    <x v="0"/>
    <n v="199"/>
    <n v="2"/>
    <n v="398"/>
  </r>
  <r>
    <s v="1706"/>
    <x v="553"/>
    <n v="7"/>
    <x v="17"/>
    <x v="5"/>
    <x v="2"/>
    <x v="3"/>
    <n v="69"/>
    <n v="3"/>
    <n v="207"/>
  </r>
  <r>
    <s v="1707"/>
    <x v="554"/>
    <n v="19"/>
    <x v="13"/>
    <x v="4"/>
    <x v="3"/>
    <x v="2"/>
    <n v="159"/>
    <n v="0"/>
    <n v="0"/>
  </r>
  <r>
    <s v="1708"/>
    <x v="555"/>
    <n v="5"/>
    <x v="15"/>
    <x v="1"/>
    <x v="1"/>
    <x v="0"/>
    <n v="199"/>
    <n v="3"/>
    <n v="597"/>
  </r>
  <r>
    <s v="1709"/>
    <x v="555"/>
    <n v="8"/>
    <x v="10"/>
    <x v="5"/>
    <x v="2"/>
    <x v="0"/>
    <n v="199"/>
    <n v="6"/>
    <n v="1194"/>
  </r>
  <r>
    <s v="1710"/>
    <x v="555"/>
    <n v="14"/>
    <x v="7"/>
    <x v="0"/>
    <x v="0"/>
    <x v="4"/>
    <n v="399"/>
    <n v="0"/>
    <n v="0"/>
  </r>
  <r>
    <s v="1711"/>
    <x v="555"/>
    <n v="13"/>
    <x v="5"/>
    <x v="6"/>
    <x v="0"/>
    <x v="3"/>
    <n v="69"/>
    <n v="2"/>
    <n v="138"/>
  </r>
  <r>
    <s v="1712"/>
    <x v="556"/>
    <n v="5"/>
    <x v="15"/>
    <x v="1"/>
    <x v="1"/>
    <x v="2"/>
    <n v="159"/>
    <n v="7"/>
    <n v="1113"/>
  </r>
  <r>
    <s v="1713"/>
    <x v="556"/>
    <n v="19"/>
    <x v="13"/>
    <x v="3"/>
    <x v="3"/>
    <x v="4"/>
    <n v="399"/>
    <n v="9"/>
    <n v="3591"/>
  </r>
  <r>
    <s v="1714"/>
    <x v="557"/>
    <n v="13"/>
    <x v="5"/>
    <x v="0"/>
    <x v="0"/>
    <x v="0"/>
    <n v="199"/>
    <n v="3"/>
    <n v="597"/>
  </r>
  <r>
    <s v="1715"/>
    <x v="557"/>
    <n v="5"/>
    <x v="15"/>
    <x v="7"/>
    <x v="1"/>
    <x v="3"/>
    <n v="69"/>
    <n v="3"/>
    <n v="207"/>
  </r>
  <r>
    <s v="1716"/>
    <x v="557"/>
    <n v="14"/>
    <x v="7"/>
    <x v="0"/>
    <x v="0"/>
    <x v="4"/>
    <n v="399"/>
    <n v="1"/>
    <n v="399"/>
  </r>
  <r>
    <s v="1717"/>
    <x v="557"/>
    <n v="11"/>
    <x v="0"/>
    <x v="0"/>
    <x v="0"/>
    <x v="3"/>
    <n v="69"/>
    <n v="1"/>
    <n v="69"/>
  </r>
  <r>
    <s v="1718"/>
    <x v="557"/>
    <n v="7"/>
    <x v="17"/>
    <x v="2"/>
    <x v="2"/>
    <x v="2"/>
    <n v="159"/>
    <n v="8"/>
    <n v="1272"/>
  </r>
  <r>
    <s v="1719"/>
    <x v="557"/>
    <n v="5"/>
    <x v="15"/>
    <x v="7"/>
    <x v="1"/>
    <x v="1"/>
    <n v="289"/>
    <n v="0"/>
    <n v="0"/>
  </r>
  <r>
    <s v="1720"/>
    <x v="557"/>
    <n v="1"/>
    <x v="1"/>
    <x v="7"/>
    <x v="1"/>
    <x v="1"/>
    <n v="289"/>
    <n v="3"/>
    <n v="867"/>
  </r>
  <r>
    <s v="1721"/>
    <x v="558"/>
    <n v="6"/>
    <x v="11"/>
    <x v="5"/>
    <x v="2"/>
    <x v="0"/>
    <n v="199"/>
    <n v="1"/>
    <n v="199"/>
  </r>
  <r>
    <s v="1722"/>
    <x v="559"/>
    <n v="16"/>
    <x v="4"/>
    <x v="4"/>
    <x v="3"/>
    <x v="0"/>
    <n v="199"/>
    <n v="8"/>
    <n v="1592"/>
  </r>
  <r>
    <s v="1723"/>
    <x v="559"/>
    <n v="10"/>
    <x v="14"/>
    <x v="5"/>
    <x v="2"/>
    <x v="0"/>
    <n v="199"/>
    <n v="2"/>
    <n v="398"/>
  </r>
  <r>
    <s v="1724"/>
    <x v="559"/>
    <n v="20"/>
    <x v="8"/>
    <x v="3"/>
    <x v="3"/>
    <x v="2"/>
    <n v="159"/>
    <n v="1"/>
    <n v="159"/>
  </r>
  <r>
    <s v="1725"/>
    <x v="559"/>
    <n v="4"/>
    <x v="12"/>
    <x v="1"/>
    <x v="1"/>
    <x v="1"/>
    <n v="289"/>
    <n v="8"/>
    <n v="2312"/>
  </r>
  <r>
    <s v="1726"/>
    <x v="559"/>
    <n v="10"/>
    <x v="14"/>
    <x v="5"/>
    <x v="2"/>
    <x v="4"/>
    <n v="399"/>
    <n v="9"/>
    <n v="3591"/>
  </r>
  <r>
    <s v="1727"/>
    <x v="559"/>
    <n v="4"/>
    <x v="12"/>
    <x v="1"/>
    <x v="1"/>
    <x v="0"/>
    <n v="199"/>
    <n v="3"/>
    <n v="597"/>
  </r>
  <r>
    <s v="1728"/>
    <x v="560"/>
    <n v="16"/>
    <x v="4"/>
    <x v="3"/>
    <x v="3"/>
    <x v="2"/>
    <n v="159"/>
    <n v="3"/>
    <n v="477"/>
  </r>
  <r>
    <s v="1729"/>
    <x v="560"/>
    <n v="2"/>
    <x v="18"/>
    <x v="1"/>
    <x v="1"/>
    <x v="2"/>
    <n v="159"/>
    <n v="4"/>
    <n v="636"/>
  </r>
  <r>
    <s v="1730"/>
    <x v="560"/>
    <n v="18"/>
    <x v="3"/>
    <x v="4"/>
    <x v="3"/>
    <x v="4"/>
    <n v="399"/>
    <n v="5"/>
    <n v="1995"/>
  </r>
  <r>
    <s v="1731"/>
    <x v="561"/>
    <n v="9"/>
    <x v="2"/>
    <x v="5"/>
    <x v="2"/>
    <x v="4"/>
    <n v="399"/>
    <n v="0"/>
    <n v="0"/>
  </r>
  <r>
    <s v="1732"/>
    <x v="562"/>
    <n v="4"/>
    <x v="12"/>
    <x v="1"/>
    <x v="1"/>
    <x v="4"/>
    <n v="399"/>
    <n v="8"/>
    <n v="3192"/>
  </r>
  <r>
    <s v="1733"/>
    <x v="562"/>
    <n v="5"/>
    <x v="15"/>
    <x v="1"/>
    <x v="1"/>
    <x v="2"/>
    <n v="159"/>
    <n v="9"/>
    <n v="1431"/>
  </r>
  <r>
    <s v="1734"/>
    <x v="563"/>
    <n v="5"/>
    <x v="15"/>
    <x v="1"/>
    <x v="1"/>
    <x v="4"/>
    <n v="399"/>
    <n v="2"/>
    <n v="798"/>
  </r>
  <r>
    <s v="1735"/>
    <x v="563"/>
    <n v="12"/>
    <x v="16"/>
    <x v="6"/>
    <x v="0"/>
    <x v="4"/>
    <n v="399"/>
    <n v="7"/>
    <n v="2793"/>
  </r>
  <r>
    <s v="1736"/>
    <x v="563"/>
    <n v="7"/>
    <x v="17"/>
    <x v="5"/>
    <x v="2"/>
    <x v="1"/>
    <n v="289"/>
    <n v="7"/>
    <n v="2023"/>
  </r>
  <r>
    <s v="1737"/>
    <x v="563"/>
    <n v="1"/>
    <x v="1"/>
    <x v="7"/>
    <x v="1"/>
    <x v="3"/>
    <n v="69"/>
    <n v="3"/>
    <n v="207"/>
  </r>
  <r>
    <s v="1738"/>
    <x v="564"/>
    <n v="18"/>
    <x v="3"/>
    <x v="4"/>
    <x v="3"/>
    <x v="2"/>
    <n v="159"/>
    <n v="6"/>
    <n v="954"/>
  </r>
  <r>
    <s v="1739"/>
    <x v="565"/>
    <n v="3"/>
    <x v="9"/>
    <x v="7"/>
    <x v="1"/>
    <x v="3"/>
    <n v="69"/>
    <n v="3"/>
    <n v="207"/>
  </r>
  <r>
    <s v="1740"/>
    <x v="565"/>
    <n v="2"/>
    <x v="18"/>
    <x v="1"/>
    <x v="1"/>
    <x v="0"/>
    <n v="199"/>
    <n v="4"/>
    <n v="796"/>
  </r>
  <r>
    <s v="1741"/>
    <x v="565"/>
    <n v="17"/>
    <x v="6"/>
    <x v="3"/>
    <x v="3"/>
    <x v="1"/>
    <n v="289"/>
    <n v="2"/>
    <n v="578"/>
  </r>
  <r>
    <s v="1742"/>
    <x v="566"/>
    <n v="14"/>
    <x v="7"/>
    <x v="6"/>
    <x v="0"/>
    <x v="1"/>
    <n v="289"/>
    <n v="9"/>
    <n v="2601"/>
  </r>
  <r>
    <s v="1743"/>
    <x v="566"/>
    <n v="19"/>
    <x v="13"/>
    <x v="4"/>
    <x v="3"/>
    <x v="3"/>
    <n v="69"/>
    <n v="2"/>
    <n v="138"/>
  </r>
  <r>
    <s v="1744"/>
    <x v="566"/>
    <n v="9"/>
    <x v="2"/>
    <x v="2"/>
    <x v="2"/>
    <x v="3"/>
    <n v="69"/>
    <n v="4"/>
    <n v="276"/>
  </r>
  <r>
    <s v="1745"/>
    <x v="566"/>
    <n v="9"/>
    <x v="2"/>
    <x v="5"/>
    <x v="2"/>
    <x v="0"/>
    <n v="199"/>
    <n v="5"/>
    <n v="995"/>
  </r>
  <r>
    <s v="1746"/>
    <x v="567"/>
    <n v="9"/>
    <x v="2"/>
    <x v="5"/>
    <x v="2"/>
    <x v="3"/>
    <n v="69"/>
    <n v="4"/>
    <n v="276"/>
  </r>
  <r>
    <s v="1747"/>
    <x v="567"/>
    <n v="6"/>
    <x v="11"/>
    <x v="5"/>
    <x v="2"/>
    <x v="0"/>
    <n v="199"/>
    <n v="0"/>
    <n v="0"/>
  </r>
  <r>
    <s v="1748"/>
    <x v="567"/>
    <n v="11"/>
    <x v="0"/>
    <x v="6"/>
    <x v="0"/>
    <x v="3"/>
    <n v="69"/>
    <n v="0"/>
    <n v="0"/>
  </r>
  <r>
    <s v="1749"/>
    <x v="568"/>
    <n v="2"/>
    <x v="18"/>
    <x v="7"/>
    <x v="1"/>
    <x v="4"/>
    <n v="399"/>
    <n v="9"/>
    <n v="3591"/>
  </r>
  <r>
    <s v="1750"/>
    <x v="569"/>
    <n v="19"/>
    <x v="13"/>
    <x v="4"/>
    <x v="3"/>
    <x v="3"/>
    <n v="69"/>
    <n v="1"/>
    <n v="69"/>
  </r>
  <r>
    <s v="1751"/>
    <x v="570"/>
    <n v="15"/>
    <x v="19"/>
    <x v="0"/>
    <x v="0"/>
    <x v="3"/>
    <n v="69"/>
    <n v="4"/>
    <n v="276"/>
  </r>
  <r>
    <s v="1752"/>
    <x v="570"/>
    <n v="6"/>
    <x v="11"/>
    <x v="2"/>
    <x v="2"/>
    <x v="1"/>
    <n v="289"/>
    <n v="7"/>
    <n v="2023"/>
  </r>
  <r>
    <s v="1753"/>
    <x v="570"/>
    <n v="12"/>
    <x v="16"/>
    <x v="6"/>
    <x v="0"/>
    <x v="3"/>
    <n v="69"/>
    <n v="8"/>
    <n v="552"/>
  </r>
  <r>
    <s v="1754"/>
    <x v="570"/>
    <n v="2"/>
    <x v="18"/>
    <x v="7"/>
    <x v="1"/>
    <x v="3"/>
    <n v="69"/>
    <n v="9"/>
    <n v="621"/>
  </r>
  <r>
    <s v="1755"/>
    <x v="570"/>
    <n v="15"/>
    <x v="19"/>
    <x v="6"/>
    <x v="0"/>
    <x v="1"/>
    <n v="289"/>
    <n v="4"/>
    <n v="1156"/>
  </r>
  <r>
    <s v="1756"/>
    <x v="570"/>
    <n v="2"/>
    <x v="18"/>
    <x v="1"/>
    <x v="1"/>
    <x v="4"/>
    <n v="399"/>
    <n v="9"/>
    <n v="3591"/>
  </r>
  <r>
    <s v="1757"/>
    <x v="570"/>
    <n v="4"/>
    <x v="12"/>
    <x v="1"/>
    <x v="1"/>
    <x v="1"/>
    <n v="289"/>
    <n v="2"/>
    <n v="578"/>
  </r>
  <r>
    <s v="1758"/>
    <x v="570"/>
    <n v="5"/>
    <x v="15"/>
    <x v="7"/>
    <x v="1"/>
    <x v="3"/>
    <n v="69"/>
    <n v="9"/>
    <n v="621"/>
  </r>
  <r>
    <s v="1759"/>
    <x v="571"/>
    <n v="18"/>
    <x v="3"/>
    <x v="4"/>
    <x v="3"/>
    <x v="2"/>
    <n v="159"/>
    <n v="5"/>
    <n v="795"/>
  </r>
  <r>
    <s v="1760"/>
    <x v="572"/>
    <n v="18"/>
    <x v="3"/>
    <x v="3"/>
    <x v="3"/>
    <x v="0"/>
    <n v="199"/>
    <n v="0"/>
    <n v="0"/>
  </r>
  <r>
    <s v="1761"/>
    <x v="573"/>
    <n v="11"/>
    <x v="0"/>
    <x v="0"/>
    <x v="0"/>
    <x v="0"/>
    <n v="199"/>
    <n v="4"/>
    <n v="796"/>
  </r>
  <r>
    <s v="1762"/>
    <x v="573"/>
    <n v="19"/>
    <x v="13"/>
    <x v="3"/>
    <x v="3"/>
    <x v="3"/>
    <n v="69"/>
    <n v="8"/>
    <n v="552"/>
  </r>
  <r>
    <s v="1763"/>
    <x v="574"/>
    <n v="2"/>
    <x v="18"/>
    <x v="1"/>
    <x v="1"/>
    <x v="0"/>
    <n v="199"/>
    <n v="7"/>
    <n v="1393"/>
  </r>
  <r>
    <s v="1764"/>
    <x v="574"/>
    <n v="9"/>
    <x v="2"/>
    <x v="2"/>
    <x v="2"/>
    <x v="3"/>
    <n v="69"/>
    <n v="2"/>
    <n v="138"/>
  </r>
  <r>
    <s v="1765"/>
    <x v="575"/>
    <n v="9"/>
    <x v="2"/>
    <x v="5"/>
    <x v="2"/>
    <x v="0"/>
    <n v="199"/>
    <n v="3"/>
    <n v="597"/>
  </r>
  <r>
    <s v="1766"/>
    <x v="576"/>
    <n v="13"/>
    <x v="5"/>
    <x v="0"/>
    <x v="0"/>
    <x v="4"/>
    <n v="399"/>
    <n v="8"/>
    <n v="3192"/>
  </r>
  <r>
    <s v="1767"/>
    <x v="576"/>
    <n v="6"/>
    <x v="11"/>
    <x v="2"/>
    <x v="2"/>
    <x v="4"/>
    <n v="399"/>
    <n v="9"/>
    <n v="3591"/>
  </r>
  <r>
    <s v="1768"/>
    <x v="577"/>
    <n v="15"/>
    <x v="19"/>
    <x v="6"/>
    <x v="0"/>
    <x v="2"/>
    <n v="159"/>
    <n v="1"/>
    <n v="159"/>
  </r>
  <r>
    <s v="1769"/>
    <x v="578"/>
    <n v="6"/>
    <x v="11"/>
    <x v="5"/>
    <x v="2"/>
    <x v="4"/>
    <n v="399"/>
    <n v="2"/>
    <n v="798"/>
  </r>
  <r>
    <s v="1770"/>
    <x v="579"/>
    <n v="1"/>
    <x v="1"/>
    <x v="7"/>
    <x v="1"/>
    <x v="2"/>
    <n v="159"/>
    <n v="8"/>
    <n v="1272"/>
  </r>
  <r>
    <s v="1771"/>
    <x v="579"/>
    <n v="4"/>
    <x v="12"/>
    <x v="1"/>
    <x v="1"/>
    <x v="0"/>
    <n v="199"/>
    <n v="7"/>
    <n v="1393"/>
  </r>
  <r>
    <s v="1772"/>
    <x v="580"/>
    <n v="18"/>
    <x v="3"/>
    <x v="4"/>
    <x v="3"/>
    <x v="0"/>
    <n v="199"/>
    <n v="8"/>
    <n v="1592"/>
  </r>
  <r>
    <s v="1773"/>
    <x v="580"/>
    <n v="5"/>
    <x v="15"/>
    <x v="1"/>
    <x v="1"/>
    <x v="0"/>
    <n v="199"/>
    <n v="2"/>
    <n v="398"/>
  </r>
  <r>
    <s v="1774"/>
    <x v="580"/>
    <n v="8"/>
    <x v="10"/>
    <x v="5"/>
    <x v="2"/>
    <x v="0"/>
    <n v="199"/>
    <n v="1"/>
    <n v="199"/>
  </r>
  <r>
    <s v="1775"/>
    <x v="580"/>
    <n v="7"/>
    <x v="17"/>
    <x v="5"/>
    <x v="2"/>
    <x v="3"/>
    <n v="69"/>
    <n v="9"/>
    <n v="621"/>
  </r>
  <r>
    <s v="1776"/>
    <x v="581"/>
    <n v="2"/>
    <x v="18"/>
    <x v="1"/>
    <x v="1"/>
    <x v="1"/>
    <n v="289"/>
    <n v="8"/>
    <n v="2312"/>
  </r>
  <r>
    <s v="1777"/>
    <x v="582"/>
    <n v="7"/>
    <x v="17"/>
    <x v="2"/>
    <x v="2"/>
    <x v="4"/>
    <n v="399"/>
    <n v="6"/>
    <n v="2394"/>
  </r>
  <r>
    <s v="1778"/>
    <x v="583"/>
    <n v="2"/>
    <x v="18"/>
    <x v="1"/>
    <x v="1"/>
    <x v="2"/>
    <n v="159"/>
    <n v="6"/>
    <n v="954"/>
  </r>
  <r>
    <s v="1779"/>
    <x v="583"/>
    <n v="10"/>
    <x v="14"/>
    <x v="2"/>
    <x v="2"/>
    <x v="2"/>
    <n v="159"/>
    <n v="3"/>
    <n v="477"/>
  </r>
  <r>
    <s v="1780"/>
    <x v="583"/>
    <n v="18"/>
    <x v="3"/>
    <x v="4"/>
    <x v="3"/>
    <x v="1"/>
    <n v="289"/>
    <n v="0"/>
    <n v="0"/>
  </r>
  <r>
    <s v="1781"/>
    <x v="583"/>
    <n v="19"/>
    <x v="13"/>
    <x v="3"/>
    <x v="3"/>
    <x v="1"/>
    <n v="289"/>
    <n v="8"/>
    <n v="2312"/>
  </r>
  <r>
    <s v="1782"/>
    <x v="584"/>
    <n v="13"/>
    <x v="5"/>
    <x v="0"/>
    <x v="0"/>
    <x v="0"/>
    <n v="199"/>
    <n v="3"/>
    <n v="597"/>
  </r>
  <r>
    <s v="1783"/>
    <x v="584"/>
    <n v="5"/>
    <x v="15"/>
    <x v="1"/>
    <x v="1"/>
    <x v="4"/>
    <n v="399"/>
    <n v="1"/>
    <n v="399"/>
  </r>
  <r>
    <s v="1784"/>
    <x v="584"/>
    <n v="14"/>
    <x v="7"/>
    <x v="0"/>
    <x v="0"/>
    <x v="2"/>
    <n v="159"/>
    <n v="1"/>
    <n v="159"/>
  </r>
  <r>
    <s v="1785"/>
    <x v="584"/>
    <n v="9"/>
    <x v="2"/>
    <x v="5"/>
    <x v="2"/>
    <x v="3"/>
    <n v="69"/>
    <n v="0"/>
    <n v="0"/>
  </r>
  <r>
    <s v="1786"/>
    <x v="584"/>
    <n v="15"/>
    <x v="19"/>
    <x v="0"/>
    <x v="0"/>
    <x v="4"/>
    <n v="399"/>
    <n v="2"/>
    <n v="798"/>
  </r>
  <r>
    <s v="1787"/>
    <x v="585"/>
    <n v="15"/>
    <x v="19"/>
    <x v="6"/>
    <x v="0"/>
    <x v="1"/>
    <n v="289"/>
    <n v="8"/>
    <n v="2312"/>
  </r>
  <r>
    <s v="1788"/>
    <x v="585"/>
    <n v="11"/>
    <x v="0"/>
    <x v="6"/>
    <x v="0"/>
    <x v="4"/>
    <n v="399"/>
    <n v="5"/>
    <n v="1995"/>
  </r>
  <r>
    <s v="1789"/>
    <x v="586"/>
    <n v="4"/>
    <x v="12"/>
    <x v="7"/>
    <x v="1"/>
    <x v="0"/>
    <n v="199"/>
    <n v="9"/>
    <n v="1791"/>
  </r>
  <r>
    <s v="1790"/>
    <x v="586"/>
    <n v="14"/>
    <x v="7"/>
    <x v="6"/>
    <x v="0"/>
    <x v="2"/>
    <n v="159"/>
    <n v="8"/>
    <n v="1272"/>
  </r>
  <r>
    <s v="1791"/>
    <x v="587"/>
    <n v="17"/>
    <x v="6"/>
    <x v="3"/>
    <x v="3"/>
    <x v="4"/>
    <n v="399"/>
    <n v="8"/>
    <n v="3192"/>
  </r>
  <r>
    <s v="1792"/>
    <x v="587"/>
    <n v="3"/>
    <x v="9"/>
    <x v="1"/>
    <x v="1"/>
    <x v="4"/>
    <n v="399"/>
    <n v="2"/>
    <n v="798"/>
  </r>
  <r>
    <s v="1793"/>
    <x v="587"/>
    <n v="17"/>
    <x v="6"/>
    <x v="4"/>
    <x v="3"/>
    <x v="3"/>
    <n v="69"/>
    <n v="0"/>
    <n v="0"/>
  </r>
  <r>
    <s v="1794"/>
    <x v="587"/>
    <n v="2"/>
    <x v="18"/>
    <x v="7"/>
    <x v="1"/>
    <x v="3"/>
    <n v="69"/>
    <n v="9"/>
    <n v="621"/>
  </r>
  <r>
    <s v="1795"/>
    <x v="587"/>
    <n v="7"/>
    <x v="17"/>
    <x v="5"/>
    <x v="2"/>
    <x v="3"/>
    <n v="69"/>
    <n v="5"/>
    <n v="345"/>
  </r>
  <r>
    <s v="1796"/>
    <x v="588"/>
    <n v="2"/>
    <x v="18"/>
    <x v="7"/>
    <x v="1"/>
    <x v="1"/>
    <n v="289"/>
    <n v="5"/>
    <n v="1445"/>
  </r>
  <r>
    <s v="1797"/>
    <x v="588"/>
    <n v="10"/>
    <x v="14"/>
    <x v="2"/>
    <x v="2"/>
    <x v="0"/>
    <n v="199"/>
    <n v="2"/>
    <n v="398"/>
  </r>
  <r>
    <s v="1798"/>
    <x v="588"/>
    <n v="13"/>
    <x v="5"/>
    <x v="6"/>
    <x v="0"/>
    <x v="1"/>
    <n v="289"/>
    <n v="4"/>
    <n v="1156"/>
  </r>
  <r>
    <s v="1799"/>
    <x v="588"/>
    <n v="15"/>
    <x v="19"/>
    <x v="0"/>
    <x v="0"/>
    <x v="4"/>
    <n v="399"/>
    <n v="4"/>
    <n v="1596"/>
  </r>
  <r>
    <s v="1800"/>
    <x v="588"/>
    <n v="9"/>
    <x v="2"/>
    <x v="2"/>
    <x v="2"/>
    <x v="0"/>
    <n v="199"/>
    <n v="8"/>
    <n v="1592"/>
  </r>
  <r>
    <s v="1801"/>
    <x v="588"/>
    <n v="17"/>
    <x v="6"/>
    <x v="4"/>
    <x v="3"/>
    <x v="4"/>
    <n v="399"/>
    <n v="1"/>
    <n v="399"/>
  </r>
  <r>
    <s v="1802"/>
    <x v="588"/>
    <n v="6"/>
    <x v="11"/>
    <x v="5"/>
    <x v="2"/>
    <x v="0"/>
    <n v="199"/>
    <n v="6"/>
    <n v="1194"/>
  </r>
  <r>
    <s v="1803"/>
    <x v="588"/>
    <n v="18"/>
    <x v="3"/>
    <x v="3"/>
    <x v="3"/>
    <x v="4"/>
    <n v="399"/>
    <n v="5"/>
    <n v="1995"/>
  </r>
  <r>
    <s v="1804"/>
    <x v="588"/>
    <n v="8"/>
    <x v="10"/>
    <x v="5"/>
    <x v="2"/>
    <x v="0"/>
    <n v="199"/>
    <n v="6"/>
    <n v="1194"/>
  </r>
  <r>
    <s v="1805"/>
    <x v="588"/>
    <n v="13"/>
    <x v="5"/>
    <x v="6"/>
    <x v="0"/>
    <x v="2"/>
    <n v="159"/>
    <n v="3"/>
    <n v="477"/>
  </r>
  <r>
    <s v="1806"/>
    <x v="588"/>
    <n v="17"/>
    <x v="6"/>
    <x v="4"/>
    <x v="3"/>
    <x v="3"/>
    <n v="69"/>
    <n v="7"/>
    <n v="483"/>
  </r>
  <r>
    <s v="1807"/>
    <x v="588"/>
    <n v="4"/>
    <x v="12"/>
    <x v="7"/>
    <x v="1"/>
    <x v="3"/>
    <n v="69"/>
    <n v="3"/>
    <n v="207"/>
  </r>
  <r>
    <s v="1808"/>
    <x v="589"/>
    <n v="9"/>
    <x v="2"/>
    <x v="5"/>
    <x v="2"/>
    <x v="0"/>
    <n v="199"/>
    <n v="3"/>
    <n v="597"/>
  </r>
  <r>
    <s v="1809"/>
    <x v="590"/>
    <n v="8"/>
    <x v="10"/>
    <x v="2"/>
    <x v="2"/>
    <x v="3"/>
    <n v="69"/>
    <n v="5"/>
    <n v="345"/>
  </r>
  <r>
    <s v="1810"/>
    <x v="590"/>
    <n v="3"/>
    <x v="9"/>
    <x v="7"/>
    <x v="1"/>
    <x v="1"/>
    <n v="289"/>
    <n v="3"/>
    <n v="867"/>
  </r>
  <r>
    <s v="1811"/>
    <x v="591"/>
    <n v="15"/>
    <x v="19"/>
    <x v="6"/>
    <x v="0"/>
    <x v="3"/>
    <n v="69"/>
    <n v="4"/>
    <n v="276"/>
  </r>
  <r>
    <s v="1812"/>
    <x v="591"/>
    <n v="11"/>
    <x v="0"/>
    <x v="6"/>
    <x v="0"/>
    <x v="3"/>
    <n v="69"/>
    <n v="8"/>
    <n v="552"/>
  </r>
  <r>
    <s v="1813"/>
    <x v="591"/>
    <n v="6"/>
    <x v="11"/>
    <x v="2"/>
    <x v="2"/>
    <x v="2"/>
    <n v="159"/>
    <n v="6"/>
    <n v="954"/>
  </r>
  <r>
    <s v="1814"/>
    <x v="591"/>
    <n v="9"/>
    <x v="2"/>
    <x v="2"/>
    <x v="2"/>
    <x v="2"/>
    <n v="159"/>
    <n v="6"/>
    <n v="954"/>
  </r>
  <r>
    <s v="1815"/>
    <x v="592"/>
    <n v="5"/>
    <x v="15"/>
    <x v="7"/>
    <x v="1"/>
    <x v="0"/>
    <n v="199"/>
    <n v="2"/>
    <n v="398"/>
  </r>
  <r>
    <s v="1816"/>
    <x v="593"/>
    <n v="10"/>
    <x v="14"/>
    <x v="2"/>
    <x v="2"/>
    <x v="2"/>
    <n v="159"/>
    <n v="9"/>
    <n v="1431"/>
  </r>
  <r>
    <s v="1817"/>
    <x v="593"/>
    <n v="8"/>
    <x v="10"/>
    <x v="5"/>
    <x v="2"/>
    <x v="3"/>
    <n v="69"/>
    <n v="8"/>
    <n v="552"/>
  </r>
  <r>
    <s v="1818"/>
    <x v="593"/>
    <n v="5"/>
    <x v="15"/>
    <x v="1"/>
    <x v="1"/>
    <x v="0"/>
    <n v="199"/>
    <n v="4"/>
    <n v="796"/>
  </r>
  <r>
    <s v="1819"/>
    <x v="593"/>
    <n v="9"/>
    <x v="2"/>
    <x v="2"/>
    <x v="2"/>
    <x v="0"/>
    <n v="199"/>
    <n v="9"/>
    <n v="1791"/>
  </r>
  <r>
    <s v="1820"/>
    <x v="593"/>
    <n v="2"/>
    <x v="18"/>
    <x v="1"/>
    <x v="1"/>
    <x v="3"/>
    <n v="69"/>
    <n v="9"/>
    <n v="621"/>
  </r>
  <r>
    <s v="1821"/>
    <x v="593"/>
    <n v="7"/>
    <x v="17"/>
    <x v="5"/>
    <x v="2"/>
    <x v="0"/>
    <n v="199"/>
    <n v="6"/>
    <n v="1194"/>
  </r>
  <r>
    <s v="1822"/>
    <x v="594"/>
    <n v="17"/>
    <x v="6"/>
    <x v="3"/>
    <x v="3"/>
    <x v="1"/>
    <n v="289"/>
    <n v="7"/>
    <n v="2023"/>
  </r>
  <r>
    <s v="1823"/>
    <x v="594"/>
    <n v="9"/>
    <x v="2"/>
    <x v="2"/>
    <x v="2"/>
    <x v="0"/>
    <n v="199"/>
    <n v="3"/>
    <n v="597"/>
  </r>
  <r>
    <s v="1824"/>
    <x v="594"/>
    <n v="15"/>
    <x v="19"/>
    <x v="0"/>
    <x v="0"/>
    <x v="2"/>
    <n v="159"/>
    <n v="3"/>
    <n v="477"/>
  </r>
  <r>
    <s v="1825"/>
    <x v="595"/>
    <n v="11"/>
    <x v="0"/>
    <x v="0"/>
    <x v="0"/>
    <x v="0"/>
    <n v="199"/>
    <n v="5"/>
    <n v="995"/>
  </r>
  <r>
    <s v="1826"/>
    <x v="595"/>
    <n v="18"/>
    <x v="3"/>
    <x v="4"/>
    <x v="3"/>
    <x v="1"/>
    <n v="289"/>
    <n v="4"/>
    <n v="1156"/>
  </r>
  <r>
    <s v="1827"/>
    <x v="595"/>
    <n v="2"/>
    <x v="18"/>
    <x v="1"/>
    <x v="1"/>
    <x v="1"/>
    <n v="289"/>
    <n v="2"/>
    <n v="578"/>
  </r>
  <r>
    <s v="1828"/>
    <x v="595"/>
    <n v="18"/>
    <x v="3"/>
    <x v="4"/>
    <x v="3"/>
    <x v="3"/>
    <n v="69"/>
    <n v="6"/>
    <n v="414"/>
  </r>
  <r>
    <s v="1829"/>
    <x v="595"/>
    <n v="13"/>
    <x v="5"/>
    <x v="6"/>
    <x v="0"/>
    <x v="3"/>
    <n v="69"/>
    <n v="4"/>
    <n v="276"/>
  </r>
  <r>
    <s v="1830"/>
    <x v="596"/>
    <n v="5"/>
    <x v="15"/>
    <x v="1"/>
    <x v="1"/>
    <x v="1"/>
    <n v="289"/>
    <n v="2"/>
    <n v="578"/>
  </r>
  <r>
    <s v="1831"/>
    <x v="597"/>
    <n v="8"/>
    <x v="10"/>
    <x v="2"/>
    <x v="2"/>
    <x v="0"/>
    <n v="199"/>
    <n v="3"/>
    <n v="597"/>
  </r>
  <r>
    <s v="1832"/>
    <x v="597"/>
    <n v="14"/>
    <x v="7"/>
    <x v="6"/>
    <x v="0"/>
    <x v="2"/>
    <n v="159"/>
    <n v="1"/>
    <n v="159"/>
  </r>
  <r>
    <s v="1833"/>
    <x v="597"/>
    <n v="8"/>
    <x v="10"/>
    <x v="5"/>
    <x v="2"/>
    <x v="3"/>
    <n v="69"/>
    <n v="5"/>
    <n v="345"/>
  </r>
  <r>
    <s v="1834"/>
    <x v="597"/>
    <n v="5"/>
    <x v="15"/>
    <x v="7"/>
    <x v="1"/>
    <x v="0"/>
    <n v="199"/>
    <n v="7"/>
    <n v="1393"/>
  </r>
  <r>
    <s v="1835"/>
    <x v="597"/>
    <n v="5"/>
    <x v="15"/>
    <x v="7"/>
    <x v="1"/>
    <x v="1"/>
    <n v="289"/>
    <n v="3"/>
    <n v="867"/>
  </r>
  <r>
    <s v="1836"/>
    <x v="597"/>
    <n v="9"/>
    <x v="2"/>
    <x v="5"/>
    <x v="2"/>
    <x v="0"/>
    <n v="199"/>
    <n v="5"/>
    <n v="995"/>
  </r>
  <r>
    <s v="1837"/>
    <x v="598"/>
    <n v="6"/>
    <x v="11"/>
    <x v="2"/>
    <x v="2"/>
    <x v="3"/>
    <n v="69"/>
    <n v="3"/>
    <n v="207"/>
  </r>
  <r>
    <s v="1838"/>
    <x v="598"/>
    <n v="20"/>
    <x v="8"/>
    <x v="4"/>
    <x v="3"/>
    <x v="4"/>
    <n v="399"/>
    <n v="9"/>
    <n v="3591"/>
  </r>
  <r>
    <s v="1839"/>
    <x v="598"/>
    <n v="19"/>
    <x v="13"/>
    <x v="3"/>
    <x v="3"/>
    <x v="1"/>
    <n v="289"/>
    <n v="5"/>
    <n v="1445"/>
  </r>
  <r>
    <s v="1840"/>
    <x v="598"/>
    <n v="17"/>
    <x v="6"/>
    <x v="4"/>
    <x v="3"/>
    <x v="0"/>
    <n v="199"/>
    <n v="5"/>
    <n v="995"/>
  </r>
  <r>
    <s v="1841"/>
    <x v="598"/>
    <n v="3"/>
    <x v="9"/>
    <x v="7"/>
    <x v="1"/>
    <x v="0"/>
    <n v="199"/>
    <n v="4"/>
    <n v="796"/>
  </r>
  <r>
    <s v="1842"/>
    <x v="598"/>
    <n v="2"/>
    <x v="18"/>
    <x v="1"/>
    <x v="1"/>
    <x v="2"/>
    <n v="159"/>
    <n v="3"/>
    <n v="477"/>
  </r>
  <r>
    <s v="1843"/>
    <x v="598"/>
    <n v="20"/>
    <x v="8"/>
    <x v="3"/>
    <x v="3"/>
    <x v="0"/>
    <n v="199"/>
    <n v="1"/>
    <n v="199"/>
  </r>
  <r>
    <s v="1844"/>
    <x v="598"/>
    <n v="5"/>
    <x v="15"/>
    <x v="1"/>
    <x v="1"/>
    <x v="0"/>
    <n v="199"/>
    <n v="4"/>
    <n v="796"/>
  </r>
  <r>
    <s v="1845"/>
    <x v="598"/>
    <n v="5"/>
    <x v="15"/>
    <x v="7"/>
    <x v="1"/>
    <x v="2"/>
    <n v="159"/>
    <n v="2"/>
    <n v="318"/>
  </r>
  <r>
    <s v="1846"/>
    <x v="599"/>
    <n v="7"/>
    <x v="17"/>
    <x v="2"/>
    <x v="2"/>
    <x v="2"/>
    <n v="159"/>
    <n v="1"/>
    <n v="159"/>
  </r>
  <r>
    <s v="1847"/>
    <x v="599"/>
    <n v="2"/>
    <x v="18"/>
    <x v="1"/>
    <x v="1"/>
    <x v="2"/>
    <n v="159"/>
    <n v="6"/>
    <n v="954"/>
  </r>
  <r>
    <s v="1848"/>
    <x v="600"/>
    <n v="1"/>
    <x v="1"/>
    <x v="7"/>
    <x v="1"/>
    <x v="3"/>
    <n v="69"/>
    <n v="5"/>
    <n v="345"/>
  </r>
  <r>
    <s v="1849"/>
    <x v="600"/>
    <n v="4"/>
    <x v="12"/>
    <x v="1"/>
    <x v="1"/>
    <x v="4"/>
    <n v="399"/>
    <n v="7"/>
    <n v="2793"/>
  </r>
  <r>
    <s v="1850"/>
    <x v="601"/>
    <n v="4"/>
    <x v="12"/>
    <x v="7"/>
    <x v="1"/>
    <x v="2"/>
    <n v="159"/>
    <n v="1"/>
    <n v="159"/>
  </r>
  <r>
    <s v="1851"/>
    <x v="602"/>
    <n v="14"/>
    <x v="7"/>
    <x v="6"/>
    <x v="0"/>
    <x v="3"/>
    <n v="69"/>
    <n v="2"/>
    <n v="138"/>
  </r>
  <r>
    <s v="1852"/>
    <x v="603"/>
    <n v="11"/>
    <x v="0"/>
    <x v="0"/>
    <x v="0"/>
    <x v="3"/>
    <n v="69"/>
    <n v="9"/>
    <n v="621"/>
  </r>
  <r>
    <s v="1853"/>
    <x v="604"/>
    <n v="16"/>
    <x v="4"/>
    <x v="4"/>
    <x v="3"/>
    <x v="3"/>
    <n v="69"/>
    <n v="2"/>
    <n v="138"/>
  </r>
  <r>
    <s v="1854"/>
    <x v="605"/>
    <n v="16"/>
    <x v="4"/>
    <x v="3"/>
    <x v="3"/>
    <x v="2"/>
    <n v="159"/>
    <n v="8"/>
    <n v="1272"/>
  </r>
  <r>
    <s v="1855"/>
    <x v="605"/>
    <n v="4"/>
    <x v="12"/>
    <x v="7"/>
    <x v="1"/>
    <x v="2"/>
    <n v="159"/>
    <n v="0"/>
    <n v="0"/>
  </r>
  <r>
    <s v="1856"/>
    <x v="606"/>
    <n v="19"/>
    <x v="13"/>
    <x v="4"/>
    <x v="3"/>
    <x v="2"/>
    <n v="159"/>
    <n v="7"/>
    <n v="1113"/>
  </r>
  <r>
    <s v="1857"/>
    <x v="606"/>
    <n v="7"/>
    <x v="17"/>
    <x v="5"/>
    <x v="2"/>
    <x v="0"/>
    <n v="199"/>
    <n v="1"/>
    <n v="199"/>
  </r>
  <r>
    <s v="1858"/>
    <x v="606"/>
    <n v="17"/>
    <x v="6"/>
    <x v="4"/>
    <x v="3"/>
    <x v="4"/>
    <n v="399"/>
    <n v="1"/>
    <n v="399"/>
  </r>
  <r>
    <s v="1859"/>
    <x v="606"/>
    <n v="6"/>
    <x v="11"/>
    <x v="2"/>
    <x v="2"/>
    <x v="3"/>
    <n v="69"/>
    <n v="0"/>
    <n v="0"/>
  </r>
  <r>
    <s v="1860"/>
    <x v="606"/>
    <n v="14"/>
    <x v="7"/>
    <x v="6"/>
    <x v="0"/>
    <x v="4"/>
    <n v="399"/>
    <n v="4"/>
    <n v="1596"/>
  </r>
  <r>
    <s v="1861"/>
    <x v="606"/>
    <n v="20"/>
    <x v="8"/>
    <x v="3"/>
    <x v="3"/>
    <x v="4"/>
    <n v="399"/>
    <n v="8"/>
    <n v="3192"/>
  </r>
  <r>
    <s v="1862"/>
    <x v="606"/>
    <n v="10"/>
    <x v="14"/>
    <x v="2"/>
    <x v="2"/>
    <x v="1"/>
    <n v="289"/>
    <n v="3"/>
    <n v="867"/>
  </r>
  <r>
    <s v="1863"/>
    <x v="607"/>
    <n v="11"/>
    <x v="0"/>
    <x v="0"/>
    <x v="0"/>
    <x v="4"/>
    <n v="399"/>
    <n v="5"/>
    <n v="1995"/>
  </r>
  <r>
    <s v="1864"/>
    <x v="608"/>
    <n v="16"/>
    <x v="4"/>
    <x v="3"/>
    <x v="3"/>
    <x v="1"/>
    <n v="289"/>
    <n v="3"/>
    <n v="867"/>
  </r>
  <r>
    <s v="1865"/>
    <x v="608"/>
    <n v="11"/>
    <x v="0"/>
    <x v="6"/>
    <x v="0"/>
    <x v="4"/>
    <n v="399"/>
    <n v="4"/>
    <n v="1596"/>
  </r>
  <r>
    <s v="1866"/>
    <x v="608"/>
    <n v="7"/>
    <x v="17"/>
    <x v="5"/>
    <x v="2"/>
    <x v="3"/>
    <n v="69"/>
    <n v="6"/>
    <n v="414"/>
  </r>
  <r>
    <s v="1867"/>
    <x v="609"/>
    <n v="3"/>
    <x v="9"/>
    <x v="1"/>
    <x v="1"/>
    <x v="1"/>
    <n v="289"/>
    <n v="6"/>
    <n v="1734"/>
  </r>
  <r>
    <s v="1868"/>
    <x v="609"/>
    <n v="15"/>
    <x v="19"/>
    <x v="0"/>
    <x v="0"/>
    <x v="0"/>
    <n v="199"/>
    <n v="5"/>
    <n v="995"/>
  </r>
  <r>
    <s v="1869"/>
    <x v="610"/>
    <n v="7"/>
    <x v="17"/>
    <x v="2"/>
    <x v="2"/>
    <x v="4"/>
    <n v="399"/>
    <n v="1"/>
    <n v="399"/>
  </r>
  <r>
    <s v="1870"/>
    <x v="611"/>
    <n v="19"/>
    <x v="13"/>
    <x v="4"/>
    <x v="3"/>
    <x v="4"/>
    <n v="399"/>
    <n v="9"/>
    <n v="3591"/>
  </r>
  <r>
    <s v="1871"/>
    <x v="611"/>
    <n v="20"/>
    <x v="8"/>
    <x v="3"/>
    <x v="3"/>
    <x v="2"/>
    <n v="159"/>
    <n v="4"/>
    <n v="636"/>
  </r>
  <r>
    <s v="1872"/>
    <x v="612"/>
    <n v="10"/>
    <x v="14"/>
    <x v="5"/>
    <x v="2"/>
    <x v="3"/>
    <n v="69"/>
    <n v="7"/>
    <n v="483"/>
  </r>
  <r>
    <s v="1873"/>
    <x v="612"/>
    <n v="8"/>
    <x v="10"/>
    <x v="5"/>
    <x v="2"/>
    <x v="0"/>
    <n v="199"/>
    <n v="6"/>
    <n v="1194"/>
  </r>
  <r>
    <s v="1874"/>
    <x v="613"/>
    <n v="9"/>
    <x v="2"/>
    <x v="2"/>
    <x v="2"/>
    <x v="1"/>
    <n v="289"/>
    <n v="2"/>
    <n v="578"/>
  </r>
  <r>
    <s v="1875"/>
    <x v="613"/>
    <n v="3"/>
    <x v="9"/>
    <x v="7"/>
    <x v="1"/>
    <x v="2"/>
    <n v="159"/>
    <n v="9"/>
    <n v="1431"/>
  </r>
  <r>
    <s v="1876"/>
    <x v="613"/>
    <n v="16"/>
    <x v="4"/>
    <x v="3"/>
    <x v="3"/>
    <x v="0"/>
    <n v="199"/>
    <n v="8"/>
    <n v="1592"/>
  </r>
  <r>
    <s v="1877"/>
    <x v="613"/>
    <n v="1"/>
    <x v="1"/>
    <x v="1"/>
    <x v="1"/>
    <x v="4"/>
    <n v="399"/>
    <n v="3"/>
    <n v="1197"/>
  </r>
  <r>
    <s v="1878"/>
    <x v="613"/>
    <n v="9"/>
    <x v="2"/>
    <x v="2"/>
    <x v="2"/>
    <x v="3"/>
    <n v="69"/>
    <n v="1"/>
    <n v="69"/>
  </r>
  <r>
    <s v="1879"/>
    <x v="613"/>
    <n v="4"/>
    <x v="12"/>
    <x v="7"/>
    <x v="1"/>
    <x v="4"/>
    <n v="399"/>
    <n v="4"/>
    <n v="1596"/>
  </r>
  <r>
    <s v="1880"/>
    <x v="613"/>
    <n v="11"/>
    <x v="0"/>
    <x v="0"/>
    <x v="0"/>
    <x v="2"/>
    <n v="159"/>
    <n v="3"/>
    <n v="477"/>
  </r>
  <r>
    <s v="1881"/>
    <x v="614"/>
    <n v="9"/>
    <x v="2"/>
    <x v="2"/>
    <x v="2"/>
    <x v="3"/>
    <n v="69"/>
    <n v="8"/>
    <n v="552"/>
  </r>
  <r>
    <s v="1882"/>
    <x v="614"/>
    <n v="2"/>
    <x v="18"/>
    <x v="1"/>
    <x v="1"/>
    <x v="0"/>
    <n v="199"/>
    <n v="1"/>
    <n v="199"/>
  </r>
  <r>
    <s v="1883"/>
    <x v="615"/>
    <n v="8"/>
    <x v="10"/>
    <x v="5"/>
    <x v="2"/>
    <x v="3"/>
    <n v="69"/>
    <n v="4"/>
    <n v="276"/>
  </r>
  <r>
    <s v="1884"/>
    <x v="615"/>
    <n v="13"/>
    <x v="5"/>
    <x v="0"/>
    <x v="0"/>
    <x v="4"/>
    <n v="399"/>
    <n v="4"/>
    <n v="1596"/>
  </r>
  <r>
    <s v="1885"/>
    <x v="615"/>
    <n v="14"/>
    <x v="7"/>
    <x v="6"/>
    <x v="0"/>
    <x v="0"/>
    <n v="199"/>
    <n v="3"/>
    <n v="597"/>
  </r>
  <r>
    <s v="1886"/>
    <x v="615"/>
    <n v="10"/>
    <x v="14"/>
    <x v="5"/>
    <x v="2"/>
    <x v="1"/>
    <n v="289"/>
    <n v="2"/>
    <n v="578"/>
  </r>
  <r>
    <s v="1887"/>
    <x v="615"/>
    <n v="8"/>
    <x v="10"/>
    <x v="5"/>
    <x v="2"/>
    <x v="4"/>
    <n v="399"/>
    <n v="1"/>
    <n v="399"/>
  </r>
  <r>
    <s v="1888"/>
    <x v="615"/>
    <n v="3"/>
    <x v="9"/>
    <x v="1"/>
    <x v="1"/>
    <x v="3"/>
    <n v="69"/>
    <n v="7"/>
    <n v="483"/>
  </r>
  <r>
    <s v="1889"/>
    <x v="616"/>
    <n v="18"/>
    <x v="3"/>
    <x v="3"/>
    <x v="3"/>
    <x v="3"/>
    <n v="69"/>
    <n v="3"/>
    <n v="207"/>
  </r>
  <r>
    <s v="1890"/>
    <x v="617"/>
    <n v="10"/>
    <x v="14"/>
    <x v="5"/>
    <x v="2"/>
    <x v="0"/>
    <n v="199"/>
    <n v="5"/>
    <n v="995"/>
  </r>
  <r>
    <s v="1891"/>
    <x v="617"/>
    <n v="17"/>
    <x v="6"/>
    <x v="4"/>
    <x v="3"/>
    <x v="2"/>
    <n v="159"/>
    <n v="7"/>
    <n v="1113"/>
  </r>
  <r>
    <s v="1892"/>
    <x v="618"/>
    <n v="5"/>
    <x v="15"/>
    <x v="1"/>
    <x v="1"/>
    <x v="4"/>
    <n v="399"/>
    <n v="9"/>
    <n v="3591"/>
  </r>
  <r>
    <s v="1893"/>
    <x v="618"/>
    <n v="15"/>
    <x v="19"/>
    <x v="6"/>
    <x v="0"/>
    <x v="0"/>
    <n v="199"/>
    <n v="1"/>
    <n v="199"/>
  </r>
  <r>
    <s v="1894"/>
    <x v="619"/>
    <n v="8"/>
    <x v="10"/>
    <x v="5"/>
    <x v="2"/>
    <x v="2"/>
    <n v="159"/>
    <n v="0"/>
    <n v="0"/>
  </r>
  <r>
    <s v="1895"/>
    <x v="619"/>
    <n v="15"/>
    <x v="19"/>
    <x v="6"/>
    <x v="0"/>
    <x v="4"/>
    <n v="399"/>
    <n v="1"/>
    <n v="399"/>
  </r>
  <r>
    <s v="1896"/>
    <x v="619"/>
    <n v="20"/>
    <x v="8"/>
    <x v="4"/>
    <x v="3"/>
    <x v="1"/>
    <n v="289"/>
    <n v="0"/>
    <n v="0"/>
  </r>
  <r>
    <s v="1897"/>
    <x v="619"/>
    <n v="1"/>
    <x v="1"/>
    <x v="1"/>
    <x v="1"/>
    <x v="2"/>
    <n v="159"/>
    <n v="3"/>
    <n v="477"/>
  </r>
  <r>
    <s v="1898"/>
    <x v="620"/>
    <n v="3"/>
    <x v="9"/>
    <x v="7"/>
    <x v="1"/>
    <x v="0"/>
    <n v="199"/>
    <n v="1"/>
    <n v="199"/>
  </r>
  <r>
    <s v="1899"/>
    <x v="621"/>
    <n v="9"/>
    <x v="2"/>
    <x v="5"/>
    <x v="2"/>
    <x v="0"/>
    <n v="199"/>
    <n v="0"/>
    <n v="0"/>
  </r>
  <r>
    <s v="1900"/>
    <x v="622"/>
    <n v="2"/>
    <x v="18"/>
    <x v="1"/>
    <x v="1"/>
    <x v="0"/>
    <n v="199"/>
    <n v="6"/>
    <n v="1194"/>
  </r>
  <r>
    <s v="1901"/>
    <x v="623"/>
    <n v="18"/>
    <x v="3"/>
    <x v="4"/>
    <x v="3"/>
    <x v="4"/>
    <n v="399"/>
    <n v="3"/>
    <n v="1197"/>
  </r>
  <r>
    <s v="1902"/>
    <x v="623"/>
    <n v="14"/>
    <x v="7"/>
    <x v="0"/>
    <x v="0"/>
    <x v="4"/>
    <n v="399"/>
    <n v="8"/>
    <n v="3192"/>
  </r>
  <r>
    <s v="1903"/>
    <x v="623"/>
    <n v="15"/>
    <x v="19"/>
    <x v="6"/>
    <x v="0"/>
    <x v="4"/>
    <n v="399"/>
    <n v="0"/>
    <n v="0"/>
  </r>
  <r>
    <s v="1904"/>
    <x v="624"/>
    <n v="15"/>
    <x v="19"/>
    <x v="6"/>
    <x v="0"/>
    <x v="4"/>
    <n v="399"/>
    <n v="2"/>
    <n v="798"/>
  </r>
  <r>
    <s v="1905"/>
    <x v="624"/>
    <n v="14"/>
    <x v="7"/>
    <x v="6"/>
    <x v="0"/>
    <x v="3"/>
    <n v="69"/>
    <n v="5"/>
    <n v="345"/>
  </r>
  <r>
    <s v="1906"/>
    <x v="624"/>
    <n v="16"/>
    <x v="4"/>
    <x v="4"/>
    <x v="3"/>
    <x v="3"/>
    <n v="69"/>
    <n v="8"/>
    <n v="552"/>
  </r>
  <r>
    <s v="1907"/>
    <x v="624"/>
    <n v="1"/>
    <x v="1"/>
    <x v="1"/>
    <x v="1"/>
    <x v="3"/>
    <n v="69"/>
    <n v="2"/>
    <n v="138"/>
  </r>
  <r>
    <s v="1908"/>
    <x v="625"/>
    <n v="20"/>
    <x v="8"/>
    <x v="4"/>
    <x v="3"/>
    <x v="0"/>
    <n v="199"/>
    <n v="7"/>
    <n v="1393"/>
  </r>
  <r>
    <s v="1909"/>
    <x v="625"/>
    <n v="15"/>
    <x v="19"/>
    <x v="6"/>
    <x v="0"/>
    <x v="3"/>
    <n v="69"/>
    <n v="8"/>
    <n v="552"/>
  </r>
  <r>
    <s v="1910"/>
    <x v="625"/>
    <n v="14"/>
    <x v="7"/>
    <x v="0"/>
    <x v="0"/>
    <x v="2"/>
    <n v="159"/>
    <n v="7"/>
    <n v="1113"/>
  </r>
  <r>
    <s v="1911"/>
    <x v="625"/>
    <n v="1"/>
    <x v="1"/>
    <x v="7"/>
    <x v="1"/>
    <x v="4"/>
    <n v="399"/>
    <n v="6"/>
    <n v="2394"/>
  </r>
  <r>
    <s v="1912"/>
    <x v="626"/>
    <n v="6"/>
    <x v="11"/>
    <x v="2"/>
    <x v="2"/>
    <x v="1"/>
    <n v="289"/>
    <n v="7"/>
    <n v="2023"/>
  </r>
  <r>
    <s v="1913"/>
    <x v="626"/>
    <n v="16"/>
    <x v="4"/>
    <x v="3"/>
    <x v="3"/>
    <x v="3"/>
    <n v="69"/>
    <n v="5"/>
    <n v="345"/>
  </r>
  <r>
    <s v="1914"/>
    <x v="626"/>
    <n v="9"/>
    <x v="2"/>
    <x v="5"/>
    <x v="2"/>
    <x v="3"/>
    <n v="69"/>
    <n v="0"/>
    <n v="0"/>
  </r>
  <r>
    <s v="1915"/>
    <x v="626"/>
    <n v="11"/>
    <x v="0"/>
    <x v="0"/>
    <x v="0"/>
    <x v="0"/>
    <n v="199"/>
    <n v="9"/>
    <n v="1791"/>
  </r>
  <r>
    <s v="1916"/>
    <x v="627"/>
    <n v="5"/>
    <x v="15"/>
    <x v="1"/>
    <x v="1"/>
    <x v="4"/>
    <n v="399"/>
    <n v="4"/>
    <n v="1596"/>
  </r>
  <r>
    <s v="1917"/>
    <x v="627"/>
    <n v="4"/>
    <x v="12"/>
    <x v="1"/>
    <x v="1"/>
    <x v="1"/>
    <n v="289"/>
    <n v="8"/>
    <n v="2312"/>
  </r>
  <r>
    <s v="1918"/>
    <x v="627"/>
    <n v="1"/>
    <x v="1"/>
    <x v="1"/>
    <x v="1"/>
    <x v="4"/>
    <n v="399"/>
    <n v="1"/>
    <n v="399"/>
  </r>
  <r>
    <s v="1919"/>
    <x v="627"/>
    <n v="11"/>
    <x v="0"/>
    <x v="6"/>
    <x v="0"/>
    <x v="0"/>
    <n v="199"/>
    <n v="4"/>
    <n v="796"/>
  </r>
  <r>
    <s v="1920"/>
    <x v="627"/>
    <n v="10"/>
    <x v="14"/>
    <x v="5"/>
    <x v="2"/>
    <x v="2"/>
    <n v="159"/>
    <n v="9"/>
    <n v="1431"/>
  </r>
  <r>
    <s v="1921"/>
    <x v="627"/>
    <n v="17"/>
    <x v="6"/>
    <x v="3"/>
    <x v="3"/>
    <x v="4"/>
    <n v="399"/>
    <n v="1"/>
    <n v="399"/>
  </r>
  <r>
    <s v="1922"/>
    <x v="627"/>
    <n v="8"/>
    <x v="10"/>
    <x v="2"/>
    <x v="2"/>
    <x v="4"/>
    <n v="399"/>
    <n v="3"/>
    <n v="1197"/>
  </r>
  <r>
    <s v="1923"/>
    <x v="627"/>
    <n v="12"/>
    <x v="16"/>
    <x v="6"/>
    <x v="0"/>
    <x v="2"/>
    <n v="159"/>
    <n v="8"/>
    <n v="1272"/>
  </r>
  <r>
    <s v="1924"/>
    <x v="627"/>
    <n v="6"/>
    <x v="11"/>
    <x v="2"/>
    <x v="2"/>
    <x v="0"/>
    <n v="199"/>
    <n v="0"/>
    <n v="0"/>
  </r>
  <r>
    <s v="1925"/>
    <x v="628"/>
    <n v="19"/>
    <x v="13"/>
    <x v="3"/>
    <x v="3"/>
    <x v="1"/>
    <n v="289"/>
    <n v="1"/>
    <n v="289"/>
  </r>
  <r>
    <s v="1926"/>
    <x v="629"/>
    <n v="1"/>
    <x v="1"/>
    <x v="1"/>
    <x v="1"/>
    <x v="0"/>
    <n v="199"/>
    <n v="3"/>
    <n v="597"/>
  </r>
  <r>
    <s v="1927"/>
    <x v="629"/>
    <n v="6"/>
    <x v="11"/>
    <x v="5"/>
    <x v="2"/>
    <x v="1"/>
    <n v="289"/>
    <n v="2"/>
    <n v="578"/>
  </r>
  <r>
    <s v="1928"/>
    <x v="629"/>
    <n v="13"/>
    <x v="5"/>
    <x v="6"/>
    <x v="0"/>
    <x v="4"/>
    <n v="399"/>
    <n v="6"/>
    <n v="2394"/>
  </r>
  <r>
    <s v="1929"/>
    <x v="629"/>
    <n v="9"/>
    <x v="2"/>
    <x v="5"/>
    <x v="2"/>
    <x v="0"/>
    <n v="199"/>
    <n v="3"/>
    <n v="597"/>
  </r>
  <r>
    <s v="1930"/>
    <x v="630"/>
    <n v="4"/>
    <x v="12"/>
    <x v="1"/>
    <x v="1"/>
    <x v="4"/>
    <n v="399"/>
    <n v="7"/>
    <n v="2793"/>
  </r>
  <r>
    <s v="1931"/>
    <x v="630"/>
    <n v="2"/>
    <x v="18"/>
    <x v="1"/>
    <x v="1"/>
    <x v="4"/>
    <n v="399"/>
    <n v="0"/>
    <n v="0"/>
  </r>
  <r>
    <s v="1932"/>
    <x v="631"/>
    <n v="7"/>
    <x v="17"/>
    <x v="2"/>
    <x v="2"/>
    <x v="2"/>
    <n v="159"/>
    <n v="5"/>
    <n v="795"/>
  </r>
  <r>
    <s v="1933"/>
    <x v="631"/>
    <n v="2"/>
    <x v="18"/>
    <x v="7"/>
    <x v="1"/>
    <x v="2"/>
    <n v="159"/>
    <n v="7"/>
    <n v="1113"/>
  </r>
  <r>
    <s v="1934"/>
    <x v="632"/>
    <n v="6"/>
    <x v="11"/>
    <x v="5"/>
    <x v="2"/>
    <x v="1"/>
    <n v="289"/>
    <n v="8"/>
    <n v="2312"/>
  </r>
  <r>
    <s v="1935"/>
    <x v="632"/>
    <n v="12"/>
    <x v="16"/>
    <x v="0"/>
    <x v="0"/>
    <x v="1"/>
    <n v="289"/>
    <n v="5"/>
    <n v="1445"/>
  </r>
  <r>
    <s v="1936"/>
    <x v="633"/>
    <n v="17"/>
    <x v="6"/>
    <x v="4"/>
    <x v="3"/>
    <x v="1"/>
    <n v="289"/>
    <n v="6"/>
    <n v="1734"/>
  </r>
  <r>
    <s v="1937"/>
    <x v="634"/>
    <n v="15"/>
    <x v="19"/>
    <x v="0"/>
    <x v="0"/>
    <x v="1"/>
    <n v="289"/>
    <n v="2"/>
    <n v="578"/>
  </r>
  <r>
    <s v="1938"/>
    <x v="634"/>
    <n v="13"/>
    <x v="5"/>
    <x v="6"/>
    <x v="0"/>
    <x v="1"/>
    <n v="289"/>
    <n v="5"/>
    <n v="1445"/>
  </r>
  <r>
    <s v="1939"/>
    <x v="634"/>
    <n v="13"/>
    <x v="5"/>
    <x v="6"/>
    <x v="0"/>
    <x v="4"/>
    <n v="399"/>
    <n v="6"/>
    <n v="2394"/>
  </r>
  <r>
    <s v="1940"/>
    <x v="635"/>
    <n v="12"/>
    <x v="16"/>
    <x v="0"/>
    <x v="0"/>
    <x v="2"/>
    <n v="159"/>
    <n v="1"/>
    <n v="159"/>
  </r>
  <r>
    <s v="1941"/>
    <x v="635"/>
    <n v="11"/>
    <x v="0"/>
    <x v="6"/>
    <x v="0"/>
    <x v="3"/>
    <n v="69"/>
    <n v="3"/>
    <n v="207"/>
  </r>
  <r>
    <s v="1942"/>
    <x v="635"/>
    <n v="4"/>
    <x v="12"/>
    <x v="1"/>
    <x v="1"/>
    <x v="0"/>
    <n v="199"/>
    <n v="0"/>
    <n v="0"/>
  </r>
  <r>
    <s v="1943"/>
    <x v="636"/>
    <n v="18"/>
    <x v="3"/>
    <x v="3"/>
    <x v="3"/>
    <x v="3"/>
    <n v="69"/>
    <n v="3"/>
    <n v="207"/>
  </r>
  <r>
    <s v="1944"/>
    <x v="636"/>
    <n v="12"/>
    <x v="16"/>
    <x v="6"/>
    <x v="0"/>
    <x v="0"/>
    <n v="199"/>
    <n v="2"/>
    <n v="398"/>
  </r>
  <r>
    <s v="1945"/>
    <x v="636"/>
    <n v="19"/>
    <x v="13"/>
    <x v="3"/>
    <x v="3"/>
    <x v="1"/>
    <n v="289"/>
    <n v="0"/>
    <n v="0"/>
  </r>
  <r>
    <s v="1946"/>
    <x v="636"/>
    <n v="16"/>
    <x v="4"/>
    <x v="4"/>
    <x v="3"/>
    <x v="0"/>
    <n v="199"/>
    <n v="4"/>
    <n v="796"/>
  </r>
  <r>
    <s v="1947"/>
    <x v="636"/>
    <n v="19"/>
    <x v="13"/>
    <x v="4"/>
    <x v="3"/>
    <x v="0"/>
    <n v="199"/>
    <n v="2"/>
    <n v="398"/>
  </r>
  <r>
    <s v="1948"/>
    <x v="636"/>
    <n v="1"/>
    <x v="1"/>
    <x v="1"/>
    <x v="1"/>
    <x v="1"/>
    <n v="289"/>
    <n v="8"/>
    <n v="2312"/>
  </r>
  <r>
    <s v="1949"/>
    <x v="636"/>
    <n v="9"/>
    <x v="2"/>
    <x v="2"/>
    <x v="2"/>
    <x v="4"/>
    <n v="399"/>
    <n v="4"/>
    <n v="1596"/>
  </r>
  <r>
    <s v="1950"/>
    <x v="637"/>
    <n v="9"/>
    <x v="2"/>
    <x v="5"/>
    <x v="2"/>
    <x v="3"/>
    <n v="69"/>
    <n v="7"/>
    <n v="483"/>
  </r>
  <r>
    <s v="1951"/>
    <x v="638"/>
    <n v="20"/>
    <x v="8"/>
    <x v="3"/>
    <x v="3"/>
    <x v="2"/>
    <n v="159"/>
    <n v="1"/>
    <n v="159"/>
  </r>
  <r>
    <s v="1952"/>
    <x v="638"/>
    <n v="8"/>
    <x v="10"/>
    <x v="2"/>
    <x v="2"/>
    <x v="1"/>
    <n v="289"/>
    <n v="5"/>
    <n v="1445"/>
  </r>
  <r>
    <s v="1953"/>
    <x v="638"/>
    <n v="18"/>
    <x v="3"/>
    <x v="4"/>
    <x v="3"/>
    <x v="3"/>
    <n v="69"/>
    <n v="0"/>
    <n v="0"/>
  </r>
  <r>
    <s v="1954"/>
    <x v="638"/>
    <n v="2"/>
    <x v="18"/>
    <x v="1"/>
    <x v="1"/>
    <x v="4"/>
    <n v="399"/>
    <n v="2"/>
    <n v="798"/>
  </r>
  <r>
    <s v="1955"/>
    <x v="639"/>
    <n v="10"/>
    <x v="14"/>
    <x v="2"/>
    <x v="2"/>
    <x v="0"/>
    <n v="199"/>
    <n v="7"/>
    <n v="1393"/>
  </r>
  <r>
    <s v="1956"/>
    <x v="639"/>
    <n v="13"/>
    <x v="5"/>
    <x v="6"/>
    <x v="0"/>
    <x v="2"/>
    <n v="159"/>
    <n v="5"/>
    <n v="795"/>
  </r>
  <r>
    <s v="1957"/>
    <x v="639"/>
    <n v="17"/>
    <x v="6"/>
    <x v="3"/>
    <x v="3"/>
    <x v="1"/>
    <n v="289"/>
    <n v="6"/>
    <n v="1734"/>
  </r>
  <r>
    <s v="1958"/>
    <x v="640"/>
    <n v="8"/>
    <x v="10"/>
    <x v="5"/>
    <x v="2"/>
    <x v="4"/>
    <n v="399"/>
    <n v="3"/>
    <n v="1197"/>
  </r>
  <r>
    <s v="1959"/>
    <x v="640"/>
    <n v="12"/>
    <x v="16"/>
    <x v="0"/>
    <x v="0"/>
    <x v="3"/>
    <n v="69"/>
    <n v="7"/>
    <n v="483"/>
  </r>
  <r>
    <s v="1960"/>
    <x v="641"/>
    <n v="19"/>
    <x v="13"/>
    <x v="4"/>
    <x v="3"/>
    <x v="2"/>
    <n v="159"/>
    <n v="3"/>
    <n v="477"/>
  </r>
  <r>
    <s v="1961"/>
    <x v="641"/>
    <n v="9"/>
    <x v="2"/>
    <x v="2"/>
    <x v="2"/>
    <x v="1"/>
    <n v="289"/>
    <n v="8"/>
    <n v="2312"/>
  </r>
  <r>
    <s v="1962"/>
    <x v="641"/>
    <n v="20"/>
    <x v="8"/>
    <x v="3"/>
    <x v="3"/>
    <x v="4"/>
    <n v="399"/>
    <n v="3"/>
    <n v="1197"/>
  </r>
  <r>
    <s v="1963"/>
    <x v="642"/>
    <n v="20"/>
    <x v="8"/>
    <x v="4"/>
    <x v="3"/>
    <x v="1"/>
    <n v="289"/>
    <n v="1"/>
    <n v="289"/>
  </r>
  <r>
    <s v="1964"/>
    <x v="642"/>
    <n v="4"/>
    <x v="12"/>
    <x v="1"/>
    <x v="1"/>
    <x v="1"/>
    <n v="289"/>
    <n v="3"/>
    <n v="867"/>
  </r>
  <r>
    <s v="1965"/>
    <x v="642"/>
    <n v="4"/>
    <x v="12"/>
    <x v="7"/>
    <x v="1"/>
    <x v="0"/>
    <n v="199"/>
    <n v="2"/>
    <n v="398"/>
  </r>
  <r>
    <s v="1966"/>
    <x v="642"/>
    <n v="15"/>
    <x v="19"/>
    <x v="0"/>
    <x v="0"/>
    <x v="4"/>
    <n v="399"/>
    <n v="0"/>
    <n v="0"/>
  </r>
  <r>
    <s v="1967"/>
    <x v="642"/>
    <n v="20"/>
    <x v="8"/>
    <x v="4"/>
    <x v="3"/>
    <x v="4"/>
    <n v="399"/>
    <n v="9"/>
    <n v="3591"/>
  </r>
  <r>
    <s v="1968"/>
    <x v="642"/>
    <n v="1"/>
    <x v="1"/>
    <x v="7"/>
    <x v="1"/>
    <x v="3"/>
    <n v="69"/>
    <n v="2"/>
    <n v="138"/>
  </r>
  <r>
    <s v="1969"/>
    <x v="642"/>
    <n v="3"/>
    <x v="9"/>
    <x v="7"/>
    <x v="1"/>
    <x v="0"/>
    <n v="199"/>
    <n v="1"/>
    <n v="199"/>
  </r>
  <r>
    <s v="1970"/>
    <x v="642"/>
    <n v="11"/>
    <x v="0"/>
    <x v="6"/>
    <x v="0"/>
    <x v="4"/>
    <n v="399"/>
    <n v="2"/>
    <n v="798"/>
  </r>
  <r>
    <s v="1971"/>
    <x v="642"/>
    <n v="17"/>
    <x v="6"/>
    <x v="3"/>
    <x v="3"/>
    <x v="3"/>
    <n v="69"/>
    <n v="6"/>
    <n v="414"/>
  </r>
  <r>
    <s v="1972"/>
    <x v="642"/>
    <n v="8"/>
    <x v="10"/>
    <x v="2"/>
    <x v="2"/>
    <x v="3"/>
    <n v="69"/>
    <n v="0"/>
    <n v="0"/>
  </r>
  <r>
    <s v="1973"/>
    <x v="642"/>
    <n v="12"/>
    <x v="16"/>
    <x v="0"/>
    <x v="0"/>
    <x v="4"/>
    <n v="399"/>
    <n v="6"/>
    <n v="2394"/>
  </r>
  <r>
    <s v="1974"/>
    <x v="643"/>
    <n v="19"/>
    <x v="13"/>
    <x v="3"/>
    <x v="3"/>
    <x v="1"/>
    <n v="289"/>
    <n v="1"/>
    <n v="289"/>
  </r>
  <r>
    <s v="1975"/>
    <x v="644"/>
    <n v="6"/>
    <x v="11"/>
    <x v="2"/>
    <x v="2"/>
    <x v="2"/>
    <n v="159"/>
    <n v="4"/>
    <n v="636"/>
  </r>
  <r>
    <s v="1976"/>
    <x v="644"/>
    <n v="15"/>
    <x v="19"/>
    <x v="0"/>
    <x v="0"/>
    <x v="2"/>
    <n v="159"/>
    <n v="1"/>
    <n v="159"/>
  </r>
  <r>
    <s v="1977"/>
    <x v="645"/>
    <n v="10"/>
    <x v="14"/>
    <x v="2"/>
    <x v="2"/>
    <x v="2"/>
    <n v="159"/>
    <n v="6"/>
    <n v="954"/>
  </r>
  <r>
    <s v="1978"/>
    <x v="645"/>
    <n v="14"/>
    <x v="7"/>
    <x v="6"/>
    <x v="0"/>
    <x v="0"/>
    <n v="199"/>
    <n v="0"/>
    <n v="0"/>
  </r>
  <r>
    <s v="1979"/>
    <x v="646"/>
    <n v="11"/>
    <x v="0"/>
    <x v="6"/>
    <x v="0"/>
    <x v="2"/>
    <n v="159"/>
    <n v="0"/>
    <n v="0"/>
  </r>
  <r>
    <s v="1980"/>
    <x v="646"/>
    <n v="17"/>
    <x v="6"/>
    <x v="3"/>
    <x v="3"/>
    <x v="3"/>
    <n v="69"/>
    <n v="4"/>
    <n v="276"/>
  </r>
  <r>
    <s v="1981"/>
    <x v="646"/>
    <n v="12"/>
    <x v="16"/>
    <x v="0"/>
    <x v="0"/>
    <x v="1"/>
    <n v="289"/>
    <n v="0"/>
    <n v="0"/>
  </r>
  <r>
    <s v="1982"/>
    <x v="646"/>
    <n v="15"/>
    <x v="19"/>
    <x v="6"/>
    <x v="0"/>
    <x v="3"/>
    <n v="69"/>
    <n v="1"/>
    <n v="69"/>
  </r>
  <r>
    <s v="1983"/>
    <x v="647"/>
    <n v="3"/>
    <x v="9"/>
    <x v="7"/>
    <x v="1"/>
    <x v="4"/>
    <n v="399"/>
    <n v="1"/>
    <n v="399"/>
  </r>
  <r>
    <s v="1984"/>
    <x v="648"/>
    <n v="20"/>
    <x v="8"/>
    <x v="3"/>
    <x v="3"/>
    <x v="0"/>
    <n v="199"/>
    <n v="1"/>
    <n v="199"/>
  </r>
  <r>
    <s v="1985"/>
    <x v="649"/>
    <n v="13"/>
    <x v="5"/>
    <x v="0"/>
    <x v="0"/>
    <x v="4"/>
    <n v="399"/>
    <n v="3"/>
    <n v="1197"/>
  </r>
  <r>
    <s v="1986"/>
    <x v="649"/>
    <n v="1"/>
    <x v="1"/>
    <x v="1"/>
    <x v="1"/>
    <x v="3"/>
    <n v="69"/>
    <n v="8"/>
    <n v="552"/>
  </r>
  <r>
    <s v="1987"/>
    <x v="650"/>
    <n v="9"/>
    <x v="2"/>
    <x v="2"/>
    <x v="2"/>
    <x v="1"/>
    <n v="289"/>
    <n v="0"/>
    <n v="0"/>
  </r>
  <r>
    <s v="1988"/>
    <x v="650"/>
    <n v="2"/>
    <x v="18"/>
    <x v="7"/>
    <x v="1"/>
    <x v="0"/>
    <n v="199"/>
    <n v="5"/>
    <n v="995"/>
  </r>
  <r>
    <s v="1989"/>
    <x v="650"/>
    <n v="12"/>
    <x v="16"/>
    <x v="6"/>
    <x v="0"/>
    <x v="1"/>
    <n v="289"/>
    <n v="3"/>
    <n v="867"/>
  </r>
  <r>
    <s v="1990"/>
    <x v="650"/>
    <n v="11"/>
    <x v="0"/>
    <x v="0"/>
    <x v="0"/>
    <x v="0"/>
    <n v="199"/>
    <n v="4"/>
    <n v="796"/>
  </r>
  <r>
    <s v="1991"/>
    <x v="651"/>
    <n v="3"/>
    <x v="9"/>
    <x v="1"/>
    <x v="1"/>
    <x v="0"/>
    <n v="199"/>
    <n v="7"/>
    <n v="1393"/>
  </r>
  <r>
    <s v="1992"/>
    <x v="652"/>
    <n v="5"/>
    <x v="15"/>
    <x v="1"/>
    <x v="1"/>
    <x v="2"/>
    <n v="159"/>
    <n v="7"/>
    <n v="1113"/>
  </r>
  <r>
    <s v="1993"/>
    <x v="653"/>
    <n v="15"/>
    <x v="19"/>
    <x v="6"/>
    <x v="0"/>
    <x v="0"/>
    <n v="199"/>
    <n v="1"/>
    <n v="199"/>
  </r>
  <r>
    <s v="1994"/>
    <x v="653"/>
    <n v="3"/>
    <x v="9"/>
    <x v="1"/>
    <x v="1"/>
    <x v="3"/>
    <n v="69"/>
    <n v="3"/>
    <n v="207"/>
  </r>
  <r>
    <s v="1995"/>
    <x v="653"/>
    <n v="1"/>
    <x v="1"/>
    <x v="1"/>
    <x v="1"/>
    <x v="0"/>
    <n v="199"/>
    <n v="8"/>
    <n v="1592"/>
  </r>
  <r>
    <s v="1996"/>
    <x v="653"/>
    <n v="9"/>
    <x v="2"/>
    <x v="5"/>
    <x v="2"/>
    <x v="3"/>
    <n v="69"/>
    <n v="8"/>
    <n v="552"/>
  </r>
  <r>
    <s v="1997"/>
    <x v="653"/>
    <n v="5"/>
    <x v="15"/>
    <x v="7"/>
    <x v="1"/>
    <x v="3"/>
    <n v="69"/>
    <n v="6"/>
    <n v="414"/>
  </r>
  <r>
    <s v="1998"/>
    <x v="653"/>
    <n v="3"/>
    <x v="9"/>
    <x v="7"/>
    <x v="1"/>
    <x v="4"/>
    <n v="399"/>
    <n v="6"/>
    <n v="2394"/>
  </r>
  <r>
    <s v="1999"/>
    <x v="653"/>
    <n v="6"/>
    <x v="11"/>
    <x v="5"/>
    <x v="2"/>
    <x v="1"/>
    <n v="289"/>
    <n v="1"/>
    <n v="289"/>
  </r>
  <r>
    <s v="2000"/>
    <x v="653"/>
    <n v="14"/>
    <x v="7"/>
    <x v="0"/>
    <x v="0"/>
    <x v="0"/>
    <n v="199"/>
    <n v="4"/>
    <n v="7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86E125-A231-4F94-A930-AF746939254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1:V4" firstHeaderRow="1" firstDataRow="2" firstDataCol="1"/>
  <pivotFields count="12">
    <pivotField showAll="0"/>
    <pivotField numFmtId="14" showAll="0">
      <items count="15">
        <item x="0"/>
        <item x="1"/>
        <item x="2"/>
        <item x="3"/>
        <item x="4"/>
        <item x="5"/>
        <item x="6"/>
        <item x="7"/>
        <item x="8"/>
        <item x="9"/>
        <item x="10"/>
        <item x="11"/>
        <item x="12"/>
        <item x="13"/>
        <item t="default"/>
      </items>
    </pivotField>
    <pivotField showAll="0"/>
    <pivotField axis="axisCol" showAll="0">
      <items count="21">
        <item x="1"/>
        <item x="18"/>
        <item x="9"/>
        <item x="12"/>
        <item x="15"/>
        <item x="11"/>
        <item x="17"/>
        <item x="10"/>
        <item x="2"/>
        <item x="14"/>
        <item x="0"/>
        <item x="16"/>
        <item x="5"/>
        <item x="7"/>
        <item x="19"/>
        <item x="4"/>
        <item x="6"/>
        <item x="3"/>
        <item x="13"/>
        <item x="8"/>
        <item t="default"/>
      </items>
    </pivotField>
    <pivotField showAll="0"/>
    <pivotField showAll="0"/>
    <pivotField showAll="0"/>
    <pivotField showAll="0"/>
    <pivotField showAll="0"/>
    <pivotField dataField="1" showAll="0"/>
    <pivotField showAll="0">
      <items count="7">
        <item sd="0" x="0"/>
        <item sd="0" x="1"/>
        <item sd="0" x="2"/>
        <item sd="0" x="3"/>
        <item sd="0" x="4"/>
        <item sd="0" x="5"/>
        <item t="default"/>
      </items>
    </pivotField>
    <pivotField axis="axisRow" showAll="0">
      <items count="5">
        <item h="1" sd="0" x="0"/>
        <item sd="0" x="1"/>
        <item h="1" sd="0" x="2"/>
        <item h="1" sd="0" x="3"/>
        <item t="default"/>
      </items>
    </pivotField>
  </pivotFields>
  <rowFields count="1">
    <field x="11"/>
  </rowFields>
  <rowItems count="2">
    <i>
      <x v="1"/>
    </i>
    <i t="grand">
      <x/>
    </i>
  </rowItems>
  <colFields count="1">
    <field x="3"/>
  </colFields>
  <colItems count="21">
    <i>
      <x/>
    </i>
    <i>
      <x v="1"/>
    </i>
    <i>
      <x v="2"/>
    </i>
    <i>
      <x v="3"/>
    </i>
    <i>
      <x v="4"/>
    </i>
    <i>
      <x v="5"/>
    </i>
    <i>
      <x v="6"/>
    </i>
    <i>
      <x v="7"/>
    </i>
    <i>
      <x v="8"/>
    </i>
    <i>
      <x v="9"/>
    </i>
    <i>
      <x v="10"/>
    </i>
    <i>
      <x v="11"/>
    </i>
    <i>
      <x v="12"/>
    </i>
    <i>
      <x v="13"/>
    </i>
    <i>
      <x v="14"/>
    </i>
    <i>
      <x v="15"/>
    </i>
    <i>
      <x v="16"/>
    </i>
    <i>
      <x v="17"/>
    </i>
    <i>
      <x v="18"/>
    </i>
    <i>
      <x v="19"/>
    </i>
    <i t="grand">
      <x/>
    </i>
  </colItems>
  <dataFields count="1">
    <dataField name="Sum of Revenue" fld="9" baseField="0" baseItem="0"/>
  </dataFields>
  <chartFormats count="6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0" format="15" series="1">
      <pivotArea type="data" outline="0" fieldPosition="0">
        <references count="2">
          <reference field="4294967294" count="1" selected="0">
            <x v="0"/>
          </reference>
          <reference field="3" count="1" selected="0">
            <x v="15"/>
          </reference>
        </references>
      </pivotArea>
    </chartFormat>
    <chartFormat chart="0" format="16" series="1">
      <pivotArea type="data" outline="0" fieldPosition="0">
        <references count="2">
          <reference field="4294967294" count="1" selected="0">
            <x v="0"/>
          </reference>
          <reference field="3" count="1" selected="0">
            <x v="16"/>
          </reference>
        </references>
      </pivotArea>
    </chartFormat>
    <chartFormat chart="0" format="17" series="1">
      <pivotArea type="data" outline="0" fieldPosition="0">
        <references count="2">
          <reference field="4294967294" count="1" selected="0">
            <x v="0"/>
          </reference>
          <reference field="3" count="1" selected="0">
            <x v="17"/>
          </reference>
        </references>
      </pivotArea>
    </chartFormat>
    <chartFormat chart="0" format="18" series="1">
      <pivotArea type="data" outline="0" fieldPosition="0">
        <references count="2">
          <reference field="4294967294" count="1" selected="0">
            <x v="0"/>
          </reference>
          <reference field="3" count="1" selected="0">
            <x v="18"/>
          </reference>
        </references>
      </pivotArea>
    </chartFormat>
    <chartFormat chart="0" format="19" series="1">
      <pivotArea type="data" outline="0" fieldPosition="0">
        <references count="2">
          <reference field="4294967294" count="1" selected="0">
            <x v="0"/>
          </reference>
          <reference field="3" count="1" selected="0">
            <x v="19"/>
          </reference>
        </references>
      </pivotArea>
    </chartFormat>
    <chartFormat chart="3" format="23" series="1">
      <pivotArea type="data" outline="0" fieldPosition="0">
        <references count="1">
          <reference field="4294967294" count="1" selected="0">
            <x v="0"/>
          </reference>
        </references>
      </pivotArea>
    </chartFormat>
    <chartFormat chart="3" format="24" series="1">
      <pivotArea type="data" outline="0" fieldPosition="0">
        <references count="2">
          <reference field="4294967294" count="1" selected="0">
            <x v="0"/>
          </reference>
          <reference field="3" count="1" selected="0">
            <x v="1"/>
          </reference>
        </references>
      </pivotArea>
    </chartFormat>
    <chartFormat chart="3" format="25" series="1">
      <pivotArea type="data" outline="0" fieldPosition="0">
        <references count="2">
          <reference field="4294967294" count="1" selected="0">
            <x v="0"/>
          </reference>
          <reference field="3" count="1" selected="0">
            <x v="2"/>
          </reference>
        </references>
      </pivotArea>
    </chartFormat>
    <chartFormat chart="3" format="26" series="1">
      <pivotArea type="data" outline="0" fieldPosition="0">
        <references count="2">
          <reference field="4294967294" count="1" selected="0">
            <x v="0"/>
          </reference>
          <reference field="3" count="1" selected="0">
            <x v="3"/>
          </reference>
        </references>
      </pivotArea>
    </chartFormat>
    <chartFormat chart="3" format="27" series="1">
      <pivotArea type="data" outline="0" fieldPosition="0">
        <references count="2">
          <reference field="4294967294" count="1" selected="0">
            <x v="0"/>
          </reference>
          <reference field="3" count="1" selected="0">
            <x v="4"/>
          </reference>
        </references>
      </pivotArea>
    </chartFormat>
    <chartFormat chart="3" format="28" series="1">
      <pivotArea type="data" outline="0" fieldPosition="0">
        <references count="2">
          <reference field="4294967294" count="1" selected="0">
            <x v="0"/>
          </reference>
          <reference field="3" count="1" selected="0">
            <x v="5"/>
          </reference>
        </references>
      </pivotArea>
    </chartFormat>
    <chartFormat chart="3" format="29" series="1">
      <pivotArea type="data" outline="0" fieldPosition="0">
        <references count="2">
          <reference field="4294967294" count="1" selected="0">
            <x v="0"/>
          </reference>
          <reference field="3" count="1" selected="0">
            <x v="6"/>
          </reference>
        </references>
      </pivotArea>
    </chartFormat>
    <chartFormat chart="3" format="30" series="1">
      <pivotArea type="data" outline="0" fieldPosition="0">
        <references count="2">
          <reference field="4294967294" count="1" selected="0">
            <x v="0"/>
          </reference>
          <reference field="3" count="1" selected="0">
            <x v="7"/>
          </reference>
        </references>
      </pivotArea>
    </chartFormat>
    <chartFormat chart="3" format="31" series="1">
      <pivotArea type="data" outline="0" fieldPosition="0">
        <references count="2">
          <reference field="4294967294" count="1" selected="0">
            <x v="0"/>
          </reference>
          <reference field="3" count="1" selected="0">
            <x v="8"/>
          </reference>
        </references>
      </pivotArea>
    </chartFormat>
    <chartFormat chart="3" format="32" series="1">
      <pivotArea type="data" outline="0" fieldPosition="0">
        <references count="2">
          <reference field="4294967294" count="1" selected="0">
            <x v="0"/>
          </reference>
          <reference field="3" count="1" selected="0">
            <x v="9"/>
          </reference>
        </references>
      </pivotArea>
    </chartFormat>
    <chartFormat chart="3" format="33" series="1">
      <pivotArea type="data" outline="0" fieldPosition="0">
        <references count="2">
          <reference field="4294967294" count="1" selected="0">
            <x v="0"/>
          </reference>
          <reference field="3" count="1" selected="0">
            <x v="10"/>
          </reference>
        </references>
      </pivotArea>
    </chartFormat>
    <chartFormat chart="3" format="34" series="1">
      <pivotArea type="data" outline="0" fieldPosition="0">
        <references count="2">
          <reference field="4294967294" count="1" selected="0">
            <x v="0"/>
          </reference>
          <reference field="3" count="1" selected="0">
            <x v="11"/>
          </reference>
        </references>
      </pivotArea>
    </chartFormat>
    <chartFormat chart="3" format="35" series="1">
      <pivotArea type="data" outline="0" fieldPosition="0">
        <references count="2">
          <reference field="4294967294" count="1" selected="0">
            <x v="0"/>
          </reference>
          <reference field="3" count="1" selected="0">
            <x v="12"/>
          </reference>
        </references>
      </pivotArea>
    </chartFormat>
    <chartFormat chart="3" format="36" series="1">
      <pivotArea type="data" outline="0" fieldPosition="0">
        <references count="2">
          <reference field="4294967294" count="1" selected="0">
            <x v="0"/>
          </reference>
          <reference field="3" count="1" selected="0">
            <x v="13"/>
          </reference>
        </references>
      </pivotArea>
    </chartFormat>
    <chartFormat chart="3" format="37" series="1">
      <pivotArea type="data" outline="0" fieldPosition="0">
        <references count="2">
          <reference field="4294967294" count="1" selected="0">
            <x v="0"/>
          </reference>
          <reference field="3" count="1" selected="0">
            <x v="14"/>
          </reference>
        </references>
      </pivotArea>
    </chartFormat>
    <chartFormat chart="3" format="38" series="1">
      <pivotArea type="data" outline="0" fieldPosition="0">
        <references count="2">
          <reference field="4294967294" count="1" selected="0">
            <x v="0"/>
          </reference>
          <reference field="3" count="1" selected="0">
            <x v="15"/>
          </reference>
        </references>
      </pivotArea>
    </chartFormat>
    <chartFormat chart="3" format="39" series="1">
      <pivotArea type="data" outline="0" fieldPosition="0">
        <references count="2">
          <reference field="4294967294" count="1" selected="0">
            <x v="0"/>
          </reference>
          <reference field="3" count="1" selected="0">
            <x v="16"/>
          </reference>
        </references>
      </pivotArea>
    </chartFormat>
    <chartFormat chart="3" format="40" series="1">
      <pivotArea type="data" outline="0" fieldPosition="0">
        <references count="2">
          <reference field="4294967294" count="1" selected="0">
            <x v="0"/>
          </reference>
          <reference field="3" count="1" selected="0">
            <x v="17"/>
          </reference>
        </references>
      </pivotArea>
    </chartFormat>
    <chartFormat chart="3" format="41" series="1">
      <pivotArea type="data" outline="0" fieldPosition="0">
        <references count="2">
          <reference field="4294967294" count="1" selected="0">
            <x v="0"/>
          </reference>
          <reference field="3" count="1" selected="0">
            <x v="18"/>
          </reference>
        </references>
      </pivotArea>
    </chartFormat>
    <chartFormat chart="3" format="42" series="1">
      <pivotArea type="data" outline="0" fieldPosition="0">
        <references count="2">
          <reference field="4294967294" count="1" selected="0">
            <x v="0"/>
          </reference>
          <reference field="3" count="1" selected="0">
            <x v="19"/>
          </reference>
        </references>
      </pivotArea>
    </chartFormat>
    <chartFormat chart="4" format="22" series="1">
      <pivotArea type="data" outline="0" fieldPosition="0">
        <references count="2">
          <reference field="4294967294" count="1" selected="0">
            <x v="0"/>
          </reference>
          <reference field="3" count="1" selected="0">
            <x v="0"/>
          </reference>
        </references>
      </pivotArea>
    </chartFormat>
    <chartFormat chart="4" format="23" series="1">
      <pivotArea type="data" outline="0" fieldPosition="0">
        <references count="2">
          <reference field="4294967294" count="1" selected="0">
            <x v="0"/>
          </reference>
          <reference field="3" count="1" selected="0">
            <x v="1"/>
          </reference>
        </references>
      </pivotArea>
    </chartFormat>
    <chartFormat chart="4" format="24" series="1">
      <pivotArea type="data" outline="0" fieldPosition="0">
        <references count="2">
          <reference field="4294967294" count="1" selected="0">
            <x v="0"/>
          </reference>
          <reference field="3" count="1" selected="0">
            <x v="2"/>
          </reference>
        </references>
      </pivotArea>
    </chartFormat>
    <chartFormat chart="4" format="25" series="1">
      <pivotArea type="data" outline="0" fieldPosition="0">
        <references count="2">
          <reference field="4294967294" count="1" selected="0">
            <x v="0"/>
          </reference>
          <reference field="3" count="1" selected="0">
            <x v="3"/>
          </reference>
        </references>
      </pivotArea>
    </chartFormat>
    <chartFormat chart="4" format="26" series="1">
      <pivotArea type="data" outline="0" fieldPosition="0">
        <references count="2">
          <reference field="4294967294" count="1" selected="0">
            <x v="0"/>
          </reference>
          <reference field="3" count="1" selected="0">
            <x v="4"/>
          </reference>
        </references>
      </pivotArea>
    </chartFormat>
    <chartFormat chart="4" format="27" series="1">
      <pivotArea type="data" outline="0" fieldPosition="0">
        <references count="2">
          <reference field="4294967294" count="1" selected="0">
            <x v="0"/>
          </reference>
          <reference field="3" count="1" selected="0">
            <x v="5"/>
          </reference>
        </references>
      </pivotArea>
    </chartFormat>
    <chartFormat chart="4" format="28" series="1">
      <pivotArea type="data" outline="0" fieldPosition="0">
        <references count="2">
          <reference field="4294967294" count="1" selected="0">
            <x v="0"/>
          </reference>
          <reference field="3" count="1" selected="0">
            <x v="6"/>
          </reference>
        </references>
      </pivotArea>
    </chartFormat>
    <chartFormat chart="4" format="29" series="1">
      <pivotArea type="data" outline="0" fieldPosition="0">
        <references count="2">
          <reference field="4294967294" count="1" selected="0">
            <x v="0"/>
          </reference>
          <reference field="3" count="1" selected="0">
            <x v="7"/>
          </reference>
        </references>
      </pivotArea>
    </chartFormat>
    <chartFormat chart="4" format="30" series="1">
      <pivotArea type="data" outline="0" fieldPosition="0">
        <references count="2">
          <reference field="4294967294" count="1" selected="0">
            <x v="0"/>
          </reference>
          <reference field="3" count="1" selected="0">
            <x v="8"/>
          </reference>
        </references>
      </pivotArea>
    </chartFormat>
    <chartFormat chart="4" format="31" series="1">
      <pivotArea type="data" outline="0" fieldPosition="0">
        <references count="2">
          <reference field="4294967294" count="1" selected="0">
            <x v="0"/>
          </reference>
          <reference field="3" count="1" selected="0">
            <x v="9"/>
          </reference>
        </references>
      </pivotArea>
    </chartFormat>
    <chartFormat chart="4" format="32" series="1">
      <pivotArea type="data" outline="0" fieldPosition="0">
        <references count="2">
          <reference field="4294967294" count="1" selected="0">
            <x v="0"/>
          </reference>
          <reference field="3" count="1" selected="0">
            <x v="10"/>
          </reference>
        </references>
      </pivotArea>
    </chartFormat>
    <chartFormat chart="4" format="33" series="1">
      <pivotArea type="data" outline="0" fieldPosition="0">
        <references count="2">
          <reference field="4294967294" count="1" selected="0">
            <x v="0"/>
          </reference>
          <reference field="3" count="1" selected="0">
            <x v="11"/>
          </reference>
        </references>
      </pivotArea>
    </chartFormat>
    <chartFormat chart="4" format="34" series="1">
      <pivotArea type="data" outline="0" fieldPosition="0">
        <references count="2">
          <reference field="4294967294" count="1" selected="0">
            <x v="0"/>
          </reference>
          <reference field="3" count="1" selected="0">
            <x v="12"/>
          </reference>
        </references>
      </pivotArea>
    </chartFormat>
    <chartFormat chart="4" format="35" series="1">
      <pivotArea type="data" outline="0" fieldPosition="0">
        <references count="2">
          <reference field="4294967294" count="1" selected="0">
            <x v="0"/>
          </reference>
          <reference field="3" count="1" selected="0">
            <x v="13"/>
          </reference>
        </references>
      </pivotArea>
    </chartFormat>
    <chartFormat chart="4" format="36" series="1">
      <pivotArea type="data" outline="0" fieldPosition="0">
        <references count="2">
          <reference field="4294967294" count="1" selected="0">
            <x v="0"/>
          </reference>
          <reference field="3" count="1" selected="0">
            <x v="14"/>
          </reference>
        </references>
      </pivotArea>
    </chartFormat>
    <chartFormat chart="4" format="37" series="1">
      <pivotArea type="data" outline="0" fieldPosition="0">
        <references count="2">
          <reference field="4294967294" count="1" selected="0">
            <x v="0"/>
          </reference>
          <reference field="3" count="1" selected="0">
            <x v="15"/>
          </reference>
        </references>
      </pivotArea>
    </chartFormat>
    <chartFormat chart="4" format="38" series="1">
      <pivotArea type="data" outline="0" fieldPosition="0">
        <references count="2">
          <reference field="4294967294" count="1" selected="0">
            <x v="0"/>
          </reference>
          <reference field="3" count="1" selected="0">
            <x v="16"/>
          </reference>
        </references>
      </pivotArea>
    </chartFormat>
    <chartFormat chart="4" format="39" series="1">
      <pivotArea type="data" outline="0" fieldPosition="0">
        <references count="2">
          <reference field="4294967294" count="1" selected="0">
            <x v="0"/>
          </reference>
          <reference field="3" count="1" selected="0">
            <x v="17"/>
          </reference>
        </references>
      </pivotArea>
    </chartFormat>
    <chartFormat chart="4" format="40" series="1">
      <pivotArea type="data" outline="0" fieldPosition="0">
        <references count="2">
          <reference field="4294967294" count="1" selected="0">
            <x v="0"/>
          </reference>
          <reference field="3" count="1" selected="0">
            <x v="18"/>
          </reference>
        </references>
      </pivotArea>
    </chartFormat>
    <chartFormat chart="4" format="41" series="1">
      <pivotArea type="data" outline="0" fieldPosition="0">
        <references count="2">
          <reference field="4294967294" count="1" selected="0">
            <x v="0"/>
          </reference>
          <reference field="3" count="1" selected="0">
            <x v="19"/>
          </reference>
        </references>
      </pivotArea>
    </chartFormat>
    <chartFormat chart="3" format="43" series="1">
      <pivotArea type="data" outline="0" fieldPosition="0">
        <references count="2">
          <reference field="4294967294" count="1" selected="0">
            <x v="0"/>
          </reference>
          <reference field="3" count="1" selected="0">
            <x v="0"/>
          </reference>
        </references>
      </pivotArea>
    </chartFormat>
    <chartFormat chart="0" format="2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FB60E1-1F0C-46A3-BBE3-443548FCA9EF}"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15" firstHeaderRow="1" firstDataRow="1" firstDataCol="1"/>
  <pivotFields count="12">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items count="5">
        <item x="3"/>
        <item x="2"/>
        <item x="0"/>
        <item x="1"/>
        <item t="default"/>
      </items>
    </pivotField>
    <pivotField showAll="0"/>
    <pivotField showAll="0"/>
    <pivotField showAll="0"/>
    <pivotField dataField="1" showAll="0"/>
    <pivotField showAll="0">
      <items count="7">
        <item sd="0" x="0"/>
        <item sd="0" x="1"/>
        <item sd="0" x="2"/>
        <item sd="0" x="3"/>
        <item sd="0" x="4"/>
        <item sd="0" x="5"/>
        <item t="default"/>
      </items>
    </pivotField>
    <pivotField axis="axisRow" showAll="0">
      <items count="5">
        <item h="1" sd="0" x="0"/>
        <item x="1"/>
        <item h="1" x="2"/>
        <item h="1" sd="0" x="3"/>
        <item t="default"/>
      </items>
    </pivotField>
  </pivotFields>
  <rowFields count="2">
    <field x="11"/>
    <field x="1"/>
  </rowFields>
  <rowItems count="14">
    <i>
      <x v="1"/>
    </i>
    <i r="1">
      <x v="1"/>
    </i>
    <i r="1">
      <x v="2"/>
    </i>
    <i r="1">
      <x v="3"/>
    </i>
    <i r="1">
      <x v="4"/>
    </i>
    <i r="1">
      <x v="5"/>
    </i>
    <i r="1">
      <x v="6"/>
    </i>
    <i r="1">
      <x v="7"/>
    </i>
    <i r="1">
      <x v="8"/>
    </i>
    <i r="1">
      <x v="9"/>
    </i>
    <i r="1">
      <x v="10"/>
    </i>
    <i r="1">
      <x v="11"/>
    </i>
    <i r="1">
      <x v="12"/>
    </i>
    <i t="grand">
      <x/>
    </i>
  </rowItems>
  <colItems count="1">
    <i/>
  </colItems>
  <dataFields count="1">
    <dataField name="Sum of Revenue"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5D468F-C8A5-48BC-A6B4-9ADDF2ADAFF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F3:O6" firstHeaderRow="1" firstDataRow="2" firstDataCol="1" rowPageCount="1" colPageCount="1"/>
  <pivotFields count="12">
    <pivotField showAll="0"/>
    <pivotField numFmtId="14" showAll="0"/>
    <pivotField showAll="0"/>
    <pivotField showAll="0"/>
    <pivotField axis="axisCol" showAll="0">
      <items count="9">
        <item x="4"/>
        <item x="1"/>
        <item x="6"/>
        <item x="7"/>
        <item x="2"/>
        <item x="5"/>
        <item x="0"/>
        <item x="3"/>
        <item t="default"/>
      </items>
    </pivotField>
    <pivotField axis="axisPage" showAll="0">
      <items count="5">
        <item x="3"/>
        <item x="2"/>
        <item x="0"/>
        <item x="1"/>
        <item t="default"/>
      </items>
    </pivotField>
    <pivotField showAll="0"/>
    <pivotField showAll="0"/>
    <pivotField showAll="0"/>
    <pivotField dataField="1" showAll="0"/>
    <pivotField showAll="0" defaultSubtotal="0"/>
    <pivotField axis="axisRow" showAll="0" defaultSubtotal="0">
      <items count="4">
        <item h="1" x="0"/>
        <item x="1"/>
        <item h="1" x="2"/>
        <item h="1" x="3"/>
      </items>
    </pivotField>
  </pivotFields>
  <rowFields count="1">
    <field x="11"/>
  </rowFields>
  <rowItems count="2">
    <i>
      <x v="1"/>
    </i>
    <i t="grand">
      <x/>
    </i>
  </rowItems>
  <colFields count="1">
    <field x="4"/>
  </colFields>
  <colItems count="9">
    <i>
      <x/>
    </i>
    <i>
      <x v="1"/>
    </i>
    <i>
      <x v="2"/>
    </i>
    <i>
      <x v="3"/>
    </i>
    <i>
      <x v="4"/>
    </i>
    <i>
      <x v="5"/>
    </i>
    <i>
      <x v="6"/>
    </i>
    <i>
      <x v="7"/>
    </i>
    <i t="grand">
      <x/>
    </i>
  </colItems>
  <pageFields count="1">
    <pageField fld="5" hier="-1"/>
  </pageFields>
  <dataFields count="1">
    <dataField name="Sum of Revenue" fld="9" baseField="0" baseItem="0"/>
  </dataFields>
  <chartFormats count="1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0" format="8" series="1">
      <pivotArea type="data" outline="0" fieldPosition="0">
        <references count="2">
          <reference field="4294967294" count="1" selected="0">
            <x v="0"/>
          </reference>
          <reference field="4" count="1" selected="0">
            <x v="0"/>
          </reference>
        </references>
      </pivotArea>
    </chartFormat>
    <chartFormat chart="2" format="17" series="1">
      <pivotArea type="data" outline="0" fieldPosition="0">
        <references count="2">
          <reference field="4294967294" count="1" selected="0">
            <x v="0"/>
          </reference>
          <reference field="4" count="1" selected="0">
            <x v="0"/>
          </reference>
        </references>
      </pivotArea>
    </chartFormat>
    <chartFormat chart="2" format="18" series="1">
      <pivotArea type="data" outline="0" fieldPosition="0">
        <references count="2">
          <reference field="4294967294" count="1" selected="0">
            <x v="0"/>
          </reference>
          <reference field="4" count="1" selected="0">
            <x v="1"/>
          </reference>
        </references>
      </pivotArea>
    </chartFormat>
    <chartFormat chart="2" format="19" series="1">
      <pivotArea type="data" outline="0" fieldPosition="0">
        <references count="2">
          <reference field="4294967294" count="1" selected="0">
            <x v="0"/>
          </reference>
          <reference field="4" count="1" selected="0">
            <x v="2"/>
          </reference>
        </references>
      </pivotArea>
    </chartFormat>
    <chartFormat chart="2" format="20" series="1">
      <pivotArea type="data" outline="0" fieldPosition="0">
        <references count="2">
          <reference field="4294967294" count="1" selected="0">
            <x v="0"/>
          </reference>
          <reference field="4" count="1" selected="0">
            <x v="3"/>
          </reference>
        </references>
      </pivotArea>
    </chartFormat>
    <chartFormat chart="2" format="21" series="1">
      <pivotArea type="data" outline="0" fieldPosition="0">
        <references count="2">
          <reference field="4294967294" count="1" selected="0">
            <x v="0"/>
          </reference>
          <reference field="4" count="1" selected="0">
            <x v="4"/>
          </reference>
        </references>
      </pivotArea>
    </chartFormat>
    <chartFormat chart="2" format="22" series="1">
      <pivotArea type="data" outline="0" fieldPosition="0">
        <references count="2">
          <reference field="4294967294" count="1" selected="0">
            <x v="0"/>
          </reference>
          <reference field="4" count="1" selected="0">
            <x v="5"/>
          </reference>
        </references>
      </pivotArea>
    </chartFormat>
    <chartFormat chart="2" format="23" series="1">
      <pivotArea type="data" outline="0" fieldPosition="0">
        <references count="2">
          <reference field="4294967294" count="1" selected="0">
            <x v="0"/>
          </reference>
          <reference field="4" count="1" selected="0">
            <x v="6"/>
          </reference>
        </references>
      </pivotArea>
    </chartFormat>
    <chartFormat chart="2" format="24"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A4E598-974A-4647-8959-5427F25670B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13" firstHeaderRow="1" firstDataRow="1" firstDataCol="1"/>
  <pivotFields count="12">
    <pivotField showAll="0"/>
    <pivotField numFmtId="14" showAll="0"/>
    <pivotField showAll="0"/>
    <pivotField showAll="0"/>
    <pivotField showAll="0"/>
    <pivotField axis="axisRow" showAll="0">
      <items count="5">
        <item h="1" x="3"/>
        <item h="1" x="2"/>
        <item h="1" x="0"/>
        <item x="1"/>
        <item t="default"/>
      </items>
    </pivotField>
    <pivotField axis="axisRow" showAll="0">
      <items count="6">
        <item x="4"/>
        <item x="0"/>
        <item x="3"/>
        <item x="2"/>
        <item x="1"/>
        <item t="default"/>
      </items>
    </pivotField>
    <pivotField showAll="0"/>
    <pivotField showAll="0"/>
    <pivotField dataField="1" showAll="0"/>
    <pivotField showAll="0" defaultSubtotal="0"/>
    <pivotField axis="axisRow" showAll="0" defaultSubtotal="0">
      <items count="4">
        <item h="1" x="0"/>
        <item x="1"/>
        <item h="1" x="2"/>
        <item h="1" x="3"/>
      </items>
    </pivotField>
  </pivotFields>
  <rowFields count="3">
    <field x="5"/>
    <field x="6"/>
    <field x="11"/>
  </rowFields>
  <rowItems count="12">
    <i>
      <x v="3"/>
    </i>
    <i r="1">
      <x/>
    </i>
    <i r="2">
      <x v="1"/>
    </i>
    <i r="1">
      <x v="1"/>
    </i>
    <i r="2">
      <x v="1"/>
    </i>
    <i r="1">
      <x v="2"/>
    </i>
    <i r="2">
      <x v="1"/>
    </i>
    <i r="1">
      <x v="3"/>
    </i>
    <i r="2">
      <x v="1"/>
    </i>
    <i r="1">
      <x v="4"/>
    </i>
    <i r="2">
      <x v="1"/>
    </i>
    <i t="grand">
      <x/>
    </i>
  </rowItems>
  <colItems count="1">
    <i/>
  </colItems>
  <dataFields count="1">
    <dataField name="Sum of Revenue" fld="9" baseField="0" baseItem="0"/>
  </dataFields>
  <chartFormats count="21">
    <chartFormat chart="0" format="0" series="1">
      <pivotArea type="data" outline="0" fieldPosition="0">
        <references count="1">
          <reference field="4294967294"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3">
          <reference field="4294967294" count="1" selected="0">
            <x v="0"/>
          </reference>
          <reference field="6" count="1" selected="0">
            <x v="0"/>
          </reference>
          <reference field="11" count="1" selected="0">
            <x v="1"/>
          </reference>
        </references>
      </pivotArea>
    </chartFormat>
    <chartFormat chart="2" format="14">
      <pivotArea type="data" outline="0" fieldPosition="0">
        <references count="3">
          <reference field="4294967294" count="1" selected="0">
            <x v="0"/>
          </reference>
          <reference field="6" count="1" selected="0">
            <x v="0"/>
          </reference>
          <reference field="11" count="1" selected="0">
            <x v="2"/>
          </reference>
        </references>
      </pivotArea>
    </chartFormat>
    <chartFormat chart="2" format="15">
      <pivotArea type="data" outline="0" fieldPosition="0">
        <references count="3">
          <reference field="4294967294" count="1" selected="0">
            <x v="0"/>
          </reference>
          <reference field="6" count="1" selected="0">
            <x v="1"/>
          </reference>
          <reference field="11" count="1" selected="0">
            <x v="1"/>
          </reference>
        </references>
      </pivotArea>
    </chartFormat>
    <chartFormat chart="2" format="16">
      <pivotArea type="data" outline="0" fieldPosition="0">
        <references count="3">
          <reference field="4294967294" count="1" selected="0">
            <x v="0"/>
          </reference>
          <reference field="6" count="1" selected="0">
            <x v="1"/>
          </reference>
          <reference field="11" count="1" selected="0">
            <x v="2"/>
          </reference>
        </references>
      </pivotArea>
    </chartFormat>
    <chartFormat chart="2" format="17">
      <pivotArea type="data" outline="0" fieldPosition="0">
        <references count="3">
          <reference field="4294967294" count="1" selected="0">
            <x v="0"/>
          </reference>
          <reference field="6" count="1" selected="0">
            <x v="2"/>
          </reference>
          <reference field="11" count="1" selected="0">
            <x v="1"/>
          </reference>
        </references>
      </pivotArea>
    </chartFormat>
    <chartFormat chart="2" format="18">
      <pivotArea type="data" outline="0" fieldPosition="0">
        <references count="3">
          <reference field="4294967294" count="1" selected="0">
            <x v="0"/>
          </reference>
          <reference field="6" count="1" selected="0">
            <x v="2"/>
          </reference>
          <reference field="11" count="1" selected="0">
            <x v="2"/>
          </reference>
        </references>
      </pivotArea>
    </chartFormat>
    <chartFormat chart="2" format="19">
      <pivotArea type="data" outline="0" fieldPosition="0">
        <references count="3">
          <reference field="4294967294" count="1" selected="0">
            <x v="0"/>
          </reference>
          <reference field="6" count="1" selected="0">
            <x v="3"/>
          </reference>
          <reference field="11" count="1" selected="0">
            <x v="1"/>
          </reference>
        </references>
      </pivotArea>
    </chartFormat>
    <chartFormat chart="2" format="20">
      <pivotArea type="data" outline="0" fieldPosition="0">
        <references count="3">
          <reference field="4294967294" count="1" selected="0">
            <x v="0"/>
          </reference>
          <reference field="6" count="1" selected="0">
            <x v="3"/>
          </reference>
          <reference field="11" count="1" selected="0">
            <x v="2"/>
          </reference>
        </references>
      </pivotArea>
    </chartFormat>
    <chartFormat chart="2" format="21">
      <pivotArea type="data" outline="0" fieldPosition="0">
        <references count="3">
          <reference field="4294967294" count="1" selected="0">
            <x v="0"/>
          </reference>
          <reference field="6" count="1" selected="0">
            <x v="4"/>
          </reference>
          <reference field="11" count="1" selected="0">
            <x v="1"/>
          </reference>
        </references>
      </pivotArea>
    </chartFormat>
    <chartFormat chart="2" format="22">
      <pivotArea type="data" outline="0" fieldPosition="0">
        <references count="3">
          <reference field="4294967294" count="1" selected="0">
            <x v="0"/>
          </reference>
          <reference field="6" count="1" selected="0">
            <x v="4"/>
          </reference>
          <reference field="11" count="1" selected="0">
            <x v="2"/>
          </reference>
        </references>
      </pivotArea>
    </chartFormat>
    <chartFormat chart="2" format="23">
      <pivotArea type="data" outline="0" fieldPosition="0">
        <references count="4">
          <reference field="4294967294" count="1" selected="0">
            <x v="0"/>
          </reference>
          <reference field="5" count="1" selected="0">
            <x v="3"/>
          </reference>
          <reference field="6" count="1" selected="0">
            <x v="1"/>
          </reference>
          <reference field="11" count="1" selected="0">
            <x v="1"/>
          </reference>
        </references>
      </pivotArea>
    </chartFormat>
    <chartFormat chart="2" format="24">
      <pivotArea type="data" outline="0" fieldPosition="0">
        <references count="4">
          <reference field="4294967294" count="1" selected="0">
            <x v="0"/>
          </reference>
          <reference field="5" count="1" selected="0">
            <x v="3"/>
          </reference>
          <reference field="6" count="1" selected="0">
            <x v="2"/>
          </reference>
          <reference field="11" count="1" selected="0">
            <x v="1"/>
          </reference>
        </references>
      </pivotArea>
    </chartFormat>
    <chartFormat chart="2" format="25">
      <pivotArea type="data" outline="0" fieldPosition="0">
        <references count="4">
          <reference field="4294967294" count="1" selected="0">
            <x v="0"/>
          </reference>
          <reference field="5" count="1" selected="0">
            <x v="3"/>
          </reference>
          <reference field="6" count="1" selected="0">
            <x v="3"/>
          </reference>
          <reference field="11" count="1" selected="0">
            <x v="1"/>
          </reference>
        </references>
      </pivotArea>
    </chartFormat>
    <chartFormat chart="2" format="26">
      <pivotArea type="data" outline="0" fieldPosition="0">
        <references count="4">
          <reference field="4294967294" count="1" selected="0">
            <x v="0"/>
          </reference>
          <reference field="5" count="1" selected="0">
            <x v="3"/>
          </reference>
          <reference field="6" count="1" selected="0">
            <x v="4"/>
          </reference>
          <reference field="11" count="1" selected="0">
            <x v="1"/>
          </reference>
        </references>
      </pivotArea>
    </chartFormat>
    <chartFormat chart="0" format="1">
      <pivotArea type="data" outline="0" fieldPosition="0">
        <references count="4">
          <reference field="4294967294" count="1" selected="0">
            <x v="0"/>
          </reference>
          <reference field="5" count="1" selected="0">
            <x v="3"/>
          </reference>
          <reference field="6" count="1" selected="0">
            <x v="0"/>
          </reference>
          <reference field="11" count="1" selected="0">
            <x v="1"/>
          </reference>
        </references>
      </pivotArea>
    </chartFormat>
    <chartFormat chart="0" format="2">
      <pivotArea type="data" outline="0" fieldPosition="0">
        <references count="4">
          <reference field="4294967294" count="1" selected="0">
            <x v="0"/>
          </reference>
          <reference field="5" count="1" selected="0">
            <x v="3"/>
          </reference>
          <reference field="6" count="1" selected="0">
            <x v="1"/>
          </reference>
          <reference field="11" count="1" selected="0">
            <x v="1"/>
          </reference>
        </references>
      </pivotArea>
    </chartFormat>
    <chartFormat chart="0" format="3">
      <pivotArea type="data" outline="0" fieldPosition="0">
        <references count="4">
          <reference field="4294967294" count="1" selected="0">
            <x v="0"/>
          </reference>
          <reference field="5" count="1" selected="0">
            <x v="3"/>
          </reference>
          <reference field="6" count="1" selected="0">
            <x v="2"/>
          </reference>
          <reference field="11" count="1" selected="0">
            <x v="1"/>
          </reference>
        </references>
      </pivotArea>
    </chartFormat>
    <chartFormat chart="0" format="4">
      <pivotArea type="data" outline="0" fieldPosition="0">
        <references count="4">
          <reference field="4294967294" count="1" selected="0">
            <x v="0"/>
          </reference>
          <reference field="5" count="1" selected="0">
            <x v="3"/>
          </reference>
          <reference field="6" count="1" selected="0">
            <x v="3"/>
          </reference>
          <reference field="11" count="1" selected="0">
            <x v="1"/>
          </reference>
        </references>
      </pivotArea>
    </chartFormat>
    <chartFormat chart="0" format="5">
      <pivotArea type="data" outline="0" fieldPosition="0">
        <references count="4">
          <reference field="4294967294" count="1" selected="0">
            <x v="0"/>
          </reference>
          <reference field="5" count="1" selected="0">
            <x v="3"/>
          </reference>
          <reference field="6" count="1" selected="0">
            <x v="4"/>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9EE2D4-658E-4E4E-827B-B375BDEBBF42}"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5" firstHeaderRow="1" firstDataRow="2" firstDataCol="1"/>
  <pivotFields count="12">
    <pivotField showAll="0"/>
    <pivotField numFmtId="14" showAll="0"/>
    <pivotField showAll="0"/>
    <pivotField showAll="0"/>
    <pivotField showAll="0"/>
    <pivotField axis="axisCol" showAll="0">
      <items count="5">
        <item h="1" x="3"/>
        <item h="1" x="2"/>
        <item h="1" x="0"/>
        <item x="1"/>
        <item t="default"/>
      </items>
    </pivotField>
    <pivotField showAll="0"/>
    <pivotField showAll="0"/>
    <pivotField showAll="0"/>
    <pivotField dataField="1" showAll="0"/>
    <pivotField showAll="0" defaultSubtotal="0"/>
    <pivotField showAll="0" defaultSubtotal="0"/>
  </pivotFields>
  <rowItems count="1">
    <i/>
  </rowItems>
  <colFields count="1">
    <field x="5"/>
  </colFields>
  <colItems count="2">
    <i>
      <x v="3"/>
    </i>
    <i t="grand">
      <x/>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A85C0167-217D-4BE2-9384-5675E0B29EE0}" sourceName="Years">
  <pivotTables>
    <pivotTable tabId="6" name="PivotTable1"/>
    <pivotTable tabId="5" name="PivotTable3"/>
    <pivotTable tabId="4" name="PivotTable3"/>
    <pivotTable tabId="3" name="PivotTable1"/>
  </pivotTables>
  <data>
    <tabular pivotCacheId="2022276200">
      <items count="4">
        <i x="1" s="1"/>
        <i x="2"/>
        <i x="0" nd="1"/>
        <i x="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A52FDBC-64BD-4519-BCE2-2AEE0442029E}" sourceName="Region">
  <pivotTables>
    <pivotTable tabId="6" name="PivotTable1"/>
    <pivotTable tabId="8" name="PivotTable6"/>
  </pivotTables>
  <data>
    <tabular pivotCacheId="2022276200">
      <items count="4">
        <i x="3"/>
        <i x="2"/>
        <i x="0"/>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3F5DB8A-FC6C-4AAD-BE1F-061163594D20}" cache="Slicer_Years" caption="Years" style="SlicerStyleDark1 2" rowHeight="262466"/>
  <slicer name="Region" xr10:uid="{B23C529C-075B-4F5F-9649-886DB3204394}" cache="Slicer_Region" caption="Region" columnCount="2" style="SlicerStyleDark1 2" rowHeight="26246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05A75-CD48-9741-AC40-10CB641EEA42}">
  <dimension ref="A1:J2001"/>
  <sheetViews>
    <sheetView topLeftCell="C1982" workbookViewId="0">
      <selection sqref="A1:J2001"/>
    </sheetView>
  </sheetViews>
  <sheetFormatPr defaultColWidth="10.6640625" defaultRowHeight="15.5" x14ac:dyDescent="0.35"/>
  <cols>
    <col min="4" max="5" width="16.5" customWidth="1"/>
    <col min="6" max="6" width="12.83203125" customWidth="1"/>
  </cols>
  <sheetData>
    <row r="1" spans="1:10" x14ac:dyDescent="0.35">
      <c r="A1" s="1" t="s">
        <v>0</v>
      </c>
      <c r="B1" s="2" t="s">
        <v>1</v>
      </c>
      <c r="C1" s="2" t="s">
        <v>2</v>
      </c>
      <c r="D1" s="2" t="s">
        <v>3</v>
      </c>
      <c r="E1" s="2" t="s">
        <v>4</v>
      </c>
      <c r="F1" s="2" t="s">
        <v>5</v>
      </c>
      <c r="G1" s="2" t="s">
        <v>6</v>
      </c>
      <c r="H1" s="2" t="s">
        <v>7</v>
      </c>
      <c r="I1" s="2" t="s">
        <v>8</v>
      </c>
      <c r="J1" s="2" t="s">
        <v>9</v>
      </c>
    </row>
    <row r="2" spans="1:10" x14ac:dyDescent="0.35">
      <c r="A2" s="3" t="s">
        <v>10</v>
      </c>
      <c r="B2" s="4">
        <v>43101</v>
      </c>
      <c r="C2">
        <v>11</v>
      </c>
      <c r="D2" t="s">
        <v>11</v>
      </c>
      <c r="E2" t="s">
        <v>12</v>
      </c>
      <c r="F2" t="s">
        <v>13</v>
      </c>
      <c r="G2" t="s">
        <v>14</v>
      </c>
      <c r="H2">
        <v>199</v>
      </c>
      <c r="I2">
        <v>3</v>
      </c>
      <c r="J2">
        <v>597</v>
      </c>
    </row>
    <row r="3" spans="1:10" x14ac:dyDescent="0.35">
      <c r="A3" s="3" t="s">
        <v>15</v>
      </c>
      <c r="B3" s="4">
        <v>43102</v>
      </c>
      <c r="C3">
        <v>1</v>
      </c>
      <c r="D3" t="s">
        <v>16</v>
      </c>
      <c r="E3" t="s">
        <v>17</v>
      </c>
      <c r="F3" t="s">
        <v>18</v>
      </c>
      <c r="G3" t="s">
        <v>19</v>
      </c>
      <c r="H3">
        <v>289</v>
      </c>
      <c r="I3">
        <v>7</v>
      </c>
      <c r="J3">
        <v>2023</v>
      </c>
    </row>
    <row r="4" spans="1:10" x14ac:dyDescent="0.35">
      <c r="A4" s="3" t="s">
        <v>20</v>
      </c>
      <c r="B4" s="4">
        <v>43103</v>
      </c>
      <c r="C4">
        <v>9</v>
      </c>
      <c r="D4" t="s">
        <v>21</v>
      </c>
      <c r="E4" t="s">
        <v>22</v>
      </c>
      <c r="F4" t="s">
        <v>23</v>
      </c>
      <c r="G4" t="s">
        <v>24</v>
      </c>
      <c r="H4">
        <v>159</v>
      </c>
      <c r="I4">
        <v>3</v>
      </c>
      <c r="J4">
        <v>477</v>
      </c>
    </row>
    <row r="5" spans="1:10" x14ac:dyDescent="0.35">
      <c r="A5" s="3" t="s">
        <v>25</v>
      </c>
      <c r="B5" s="4">
        <v>43103</v>
      </c>
      <c r="C5">
        <v>18</v>
      </c>
      <c r="D5" t="s">
        <v>26</v>
      </c>
      <c r="E5" t="s">
        <v>27</v>
      </c>
      <c r="F5" t="s">
        <v>28</v>
      </c>
      <c r="G5" t="s">
        <v>19</v>
      </c>
      <c r="H5">
        <v>289</v>
      </c>
      <c r="I5">
        <v>3</v>
      </c>
      <c r="J5">
        <v>867</v>
      </c>
    </row>
    <row r="6" spans="1:10" x14ac:dyDescent="0.35">
      <c r="A6" s="3" t="s">
        <v>29</v>
      </c>
      <c r="B6" s="4">
        <v>43104</v>
      </c>
      <c r="C6">
        <v>16</v>
      </c>
      <c r="D6" t="s">
        <v>30</v>
      </c>
      <c r="E6" t="s">
        <v>27</v>
      </c>
      <c r="F6" t="s">
        <v>28</v>
      </c>
      <c r="G6" t="s">
        <v>31</v>
      </c>
      <c r="H6">
        <v>69</v>
      </c>
      <c r="I6">
        <v>4</v>
      </c>
      <c r="J6">
        <v>276</v>
      </c>
    </row>
    <row r="7" spans="1:10" x14ac:dyDescent="0.35">
      <c r="A7" s="3" t="s">
        <v>32</v>
      </c>
      <c r="B7" s="4">
        <v>43104</v>
      </c>
      <c r="C7">
        <v>13</v>
      </c>
      <c r="D7" t="s">
        <v>33</v>
      </c>
      <c r="E7" t="s">
        <v>12</v>
      </c>
      <c r="F7" t="s">
        <v>13</v>
      </c>
      <c r="G7" t="s">
        <v>14</v>
      </c>
      <c r="H7">
        <v>199</v>
      </c>
      <c r="I7">
        <v>2</v>
      </c>
      <c r="J7">
        <v>398</v>
      </c>
    </row>
    <row r="8" spans="1:10" x14ac:dyDescent="0.35">
      <c r="A8" s="3" t="s">
        <v>34</v>
      </c>
      <c r="B8" s="4">
        <v>43104</v>
      </c>
      <c r="C8">
        <v>17</v>
      </c>
      <c r="D8" t="s">
        <v>35</v>
      </c>
      <c r="E8" t="s">
        <v>36</v>
      </c>
      <c r="F8" t="s">
        <v>28</v>
      </c>
      <c r="G8" t="s">
        <v>19</v>
      </c>
      <c r="H8">
        <v>289</v>
      </c>
      <c r="I8">
        <v>9</v>
      </c>
      <c r="J8">
        <v>2601</v>
      </c>
    </row>
    <row r="9" spans="1:10" x14ac:dyDescent="0.35">
      <c r="A9" s="3" t="s">
        <v>37</v>
      </c>
      <c r="B9" s="4">
        <v>43105</v>
      </c>
      <c r="C9">
        <v>14</v>
      </c>
      <c r="D9" t="s">
        <v>38</v>
      </c>
      <c r="E9" t="s">
        <v>12</v>
      </c>
      <c r="F9" t="s">
        <v>13</v>
      </c>
      <c r="G9" t="s">
        <v>14</v>
      </c>
      <c r="H9">
        <v>199</v>
      </c>
      <c r="I9">
        <v>5</v>
      </c>
      <c r="J9">
        <v>995</v>
      </c>
    </row>
    <row r="10" spans="1:10" x14ac:dyDescent="0.35">
      <c r="A10" s="3" t="s">
        <v>39</v>
      </c>
      <c r="B10" s="4">
        <v>43105</v>
      </c>
      <c r="C10">
        <v>20</v>
      </c>
      <c r="D10" t="s">
        <v>40</v>
      </c>
      <c r="E10" t="s">
        <v>36</v>
      </c>
      <c r="F10" t="s">
        <v>28</v>
      </c>
      <c r="G10" t="s">
        <v>41</v>
      </c>
      <c r="H10">
        <v>399</v>
      </c>
      <c r="I10">
        <v>5</v>
      </c>
      <c r="J10">
        <v>1995</v>
      </c>
    </row>
    <row r="11" spans="1:10" x14ac:dyDescent="0.35">
      <c r="A11" s="3" t="s">
        <v>42</v>
      </c>
      <c r="B11" s="4">
        <v>43105</v>
      </c>
      <c r="C11">
        <v>3</v>
      </c>
      <c r="D11" t="s">
        <v>43</v>
      </c>
      <c r="E11" t="s">
        <v>17</v>
      </c>
      <c r="F11" t="s">
        <v>18</v>
      </c>
      <c r="G11" t="s">
        <v>14</v>
      </c>
      <c r="H11">
        <v>199</v>
      </c>
      <c r="I11">
        <v>0</v>
      </c>
      <c r="J11">
        <v>0</v>
      </c>
    </row>
    <row r="12" spans="1:10" x14ac:dyDescent="0.35">
      <c r="A12" s="3" t="s">
        <v>44</v>
      </c>
      <c r="B12" s="4">
        <v>43105</v>
      </c>
      <c r="C12">
        <v>8</v>
      </c>
      <c r="D12" t="s">
        <v>45</v>
      </c>
      <c r="E12" t="s">
        <v>46</v>
      </c>
      <c r="F12" t="s">
        <v>23</v>
      </c>
      <c r="G12" t="s">
        <v>19</v>
      </c>
      <c r="H12">
        <v>289</v>
      </c>
      <c r="I12">
        <v>9</v>
      </c>
      <c r="J12">
        <v>2601</v>
      </c>
    </row>
    <row r="13" spans="1:10" x14ac:dyDescent="0.35">
      <c r="A13" s="3" t="s">
        <v>47</v>
      </c>
      <c r="B13" s="4">
        <v>43105</v>
      </c>
      <c r="C13">
        <v>6</v>
      </c>
      <c r="D13" t="s">
        <v>48</v>
      </c>
      <c r="E13" t="s">
        <v>46</v>
      </c>
      <c r="F13" t="s">
        <v>23</v>
      </c>
      <c r="G13" t="s">
        <v>41</v>
      </c>
      <c r="H13">
        <v>399</v>
      </c>
      <c r="I13">
        <v>6</v>
      </c>
      <c r="J13">
        <v>2394</v>
      </c>
    </row>
    <row r="14" spans="1:10" x14ac:dyDescent="0.35">
      <c r="A14" s="3" t="s">
        <v>49</v>
      </c>
      <c r="B14" s="4">
        <v>43105</v>
      </c>
      <c r="C14">
        <v>9</v>
      </c>
      <c r="D14" t="s">
        <v>21</v>
      </c>
      <c r="E14" t="s">
        <v>22</v>
      </c>
      <c r="F14" t="s">
        <v>23</v>
      </c>
      <c r="G14" t="s">
        <v>14</v>
      </c>
      <c r="H14">
        <v>199</v>
      </c>
      <c r="I14">
        <v>6</v>
      </c>
      <c r="J14">
        <v>1194</v>
      </c>
    </row>
    <row r="15" spans="1:10" x14ac:dyDescent="0.35">
      <c r="A15" s="3" t="s">
        <v>50</v>
      </c>
      <c r="B15" s="4">
        <v>43105</v>
      </c>
      <c r="C15">
        <v>4</v>
      </c>
      <c r="D15" t="s">
        <v>51</v>
      </c>
      <c r="E15" t="s">
        <v>17</v>
      </c>
      <c r="F15" t="s">
        <v>18</v>
      </c>
      <c r="G15" t="s">
        <v>41</v>
      </c>
      <c r="H15">
        <v>399</v>
      </c>
      <c r="I15">
        <v>4</v>
      </c>
      <c r="J15">
        <v>1596</v>
      </c>
    </row>
    <row r="16" spans="1:10" x14ac:dyDescent="0.35">
      <c r="A16" s="3" t="s">
        <v>52</v>
      </c>
      <c r="B16" s="4">
        <v>43105</v>
      </c>
      <c r="C16">
        <v>6</v>
      </c>
      <c r="D16" t="s">
        <v>48</v>
      </c>
      <c r="E16" t="s">
        <v>22</v>
      </c>
      <c r="F16" t="s">
        <v>23</v>
      </c>
      <c r="G16" t="s">
        <v>14</v>
      </c>
      <c r="H16">
        <v>199</v>
      </c>
      <c r="I16">
        <v>2</v>
      </c>
      <c r="J16">
        <v>398</v>
      </c>
    </row>
    <row r="17" spans="1:10" x14ac:dyDescent="0.35">
      <c r="A17" s="3" t="s">
        <v>53</v>
      </c>
      <c r="B17" s="4">
        <v>43106</v>
      </c>
      <c r="C17">
        <v>13</v>
      </c>
      <c r="D17" t="s">
        <v>33</v>
      </c>
      <c r="E17" t="s">
        <v>12</v>
      </c>
      <c r="F17" t="s">
        <v>13</v>
      </c>
      <c r="G17" t="s">
        <v>31</v>
      </c>
      <c r="H17">
        <v>69</v>
      </c>
      <c r="I17">
        <v>0</v>
      </c>
      <c r="J17">
        <v>0</v>
      </c>
    </row>
    <row r="18" spans="1:10" x14ac:dyDescent="0.35">
      <c r="A18" s="3" t="s">
        <v>54</v>
      </c>
      <c r="B18" s="4">
        <v>43107</v>
      </c>
      <c r="C18">
        <v>14</v>
      </c>
      <c r="D18" t="s">
        <v>38</v>
      </c>
      <c r="E18" t="s">
        <v>12</v>
      </c>
      <c r="F18" t="s">
        <v>13</v>
      </c>
      <c r="G18" t="s">
        <v>19</v>
      </c>
      <c r="H18">
        <v>289</v>
      </c>
      <c r="I18">
        <v>0</v>
      </c>
      <c r="J18">
        <v>0</v>
      </c>
    </row>
    <row r="19" spans="1:10" x14ac:dyDescent="0.35">
      <c r="A19" s="3" t="s">
        <v>55</v>
      </c>
      <c r="B19" s="4">
        <v>43107</v>
      </c>
      <c r="C19">
        <v>19</v>
      </c>
      <c r="D19" t="s">
        <v>56</v>
      </c>
      <c r="E19" t="s">
        <v>27</v>
      </c>
      <c r="F19" t="s">
        <v>28</v>
      </c>
      <c r="G19" t="s">
        <v>24</v>
      </c>
      <c r="H19">
        <v>159</v>
      </c>
      <c r="I19">
        <v>5</v>
      </c>
      <c r="J19">
        <v>795</v>
      </c>
    </row>
    <row r="20" spans="1:10" x14ac:dyDescent="0.35">
      <c r="A20" s="3" t="s">
        <v>57</v>
      </c>
      <c r="B20" s="4">
        <v>43107</v>
      </c>
      <c r="C20">
        <v>10</v>
      </c>
      <c r="D20" t="s">
        <v>58</v>
      </c>
      <c r="E20" t="s">
        <v>46</v>
      </c>
      <c r="F20" t="s">
        <v>23</v>
      </c>
      <c r="G20" t="s">
        <v>31</v>
      </c>
      <c r="H20">
        <v>69</v>
      </c>
      <c r="I20">
        <v>2</v>
      </c>
      <c r="J20">
        <v>138</v>
      </c>
    </row>
    <row r="21" spans="1:10" x14ac:dyDescent="0.35">
      <c r="A21" s="3" t="s">
        <v>59</v>
      </c>
      <c r="B21" s="4">
        <v>43107</v>
      </c>
      <c r="C21">
        <v>5</v>
      </c>
      <c r="D21" t="s">
        <v>60</v>
      </c>
      <c r="E21" t="s">
        <v>17</v>
      </c>
      <c r="F21" t="s">
        <v>18</v>
      </c>
      <c r="G21" t="s">
        <v>41</v>
      </c>
      <c r="H21">
        <v>399</v>
      </c>
      <c r="I21">
        <v>3</v>
      </c>
      <c r="J21">
        <v>1197</v>
      </c>
    </row>
    <row r="22" spans="1:10" x14ac:dyDescent="0.35">
      <c r="A22" s="3" t="s">
        <v>61</v>
      </c>
      <c r="B22" s="4">
        <v>43107</v>
      </c>
      <c r="C22">
        <v>10</v>
      </c>
      <c r="D22" t="s">
        <v>58</v>
      </c>
      <c r="E22" t="s">
        <v>46</v>
      </c>
      <c r="F22" t="s">
        <v>23</v>
      </c>
      <c r="G22" t="s">
        <v>31</v>
      </c>
      <c r="H22">
        <v>69</v>
      </c>
      <c r="I22">
        <v>2</v>
      </c>
      <c r="J22">
        <v>138</v>
      </c>
    </row>
    <row r="23" spans="1:10" x14ac:dyDescent="0.35">
      <c r="A23" s="3" t="s">
        <v>62</v>
      </c>
      <c r="B23" s="4">
        <v>43107</v>
      </c>
      <c r="C23">
        <v>11</v>
      </c>
      <c r="D23" t="s">
        <v>11</v>
      </c>
      <c r="E23" t="s">
        <v>63</v>
      </c>
      <c r="F23" t="s">
        <v>13</v>
      </c>
      <c r="G23" t="s">
        <v>19</v>
      </c>
      <c r="H23">
        <v>289</v>
      </c>
      <c r="I23">
        <v>6</v>
      </c>
      <c r="J23">
        <v>1734</v>
      </c>
    </row>
    <row r="24" spans="1:10" x14ac:dyDescent="0.35">
      <c r="A24" s="3" t="s">
        <v>64</v>
      </c>
      <c r="B24" s="4">
        <v>43107</v>
      </c>
      <c r="C24">
        <v>8</v>
      </c>
      <c r="D24" t="s">
        <v>45</v>
      </c>
      <c r="E24" t="s">
        <v>46</v>
      </c>
      <c r="F24" t="s">
        <v>23</v>
      </c>
      <c r="G24" t="s">
        <v>24</v>
      </c>
      <c r="H24">
        <v>159</v>
      </c>
      <c r="I24">
        <v>4</v>
      </c>
      <c r="J24">
        <v>636</v>
      </c>
    </row>
    <row r="25" spans="1:10" x14ac:dyDescent="0.35">
      <c r="A25" s="3" t="s">
        <v>65</v>
      </c>
      <c r="B25" s="4">
        <v>43107</v>
      </c>
      <c r="C25">
        <v>12</v>
      </c>
      <c r="D25" t="s">
        <v>66</v>
      </c>
      <c r="E25" t="s">
        <v>12</v>
      </c>
      <c r="F25" t="s">
        <v>13</v>
      </c>
      <c r="G25" t="s">
        <v>41</v>
      </c>
      <c r="H25">
        <v>399</v>
      </c>
      <c r="I25">
        <v>2</v>
      </c>
      <c r="J25">
        <v>798</v>
      </c>
    </row>
    <row r="26" spans="1:10" x14ac:dyDescent="0.35">
      <c r="A26" s="3" t="s">
        <v>67</v>
      </c>
      <c r="B26" s="4">
        <v>43108</v>
      </c>
      <c r="C26">
        <v>3</v>
      </c>
      <c r="D26" t="s">
        <v>43</v>
      </c>
      <c r="E26" t="s">
        <v>68</v>
      </c>
      <c r="F26" t="s">
        <v>18</v>
      </c>
      <c r="G26" t="s">
        <v>41</v>
      </c>
      <c r="H26">
        <v>399</v>
      </c>
      <c r="I26">
        <v>0</v>
      </c>
      <c r="J26">
        <v>0</v>
      </c>
    </row>
    <row r="27" spans="1:10" x14ac:dyDescent="0.35">
      <c r="A27" s="3" t="s">
        <v>69</v>
      </c>
      <c r="B27" s="4">
        <v>43108</v>
      </c>
      <c r="C27">
        <v>14</v>
      </c>
      <c r="D27" t="s">
        <v>38</v>
      </c>
      <c r="E27" t="s">
        <v>12</v>
      </c>
      <c r="F27" t="s">
        <v>13</v>
      </c>
      <c r="G27" t="s">
        <v>19</v>
      </c>
      <c r="H27">
        <v>289</v>
      </c>
      <c r="I27">
        <v>0</v>
      </c>
      <c r="J27">
        <v>0</v>
      </c>
    </row>
    <row r="28" spans="1:10" x14ac:dyDescent="0.35">
      <c r="A28" s="3" t="s">
        <v>70</v>
      </c>
      <c r="B28" s="4">
        <v>43108</v>
      </c>
      <c r="C28">
        <v>14</v>
      </c>
      <c r="D28" t="s">
        <v>38</v>
      </c>
      <c r="E28" t="s">
        <v>63</v>
      </c>
      <c r="F28" t="s">
        <v>13</v>
      </c>
      <c r="G28" t="s">
        <v>14</v>
      </c>
      <c r="H28">
        <v>199</v>
      </c>
      <c r="I28">
        <v>1</v>
      </c>
      <c r="J28">
        <v>199</v>
      </c>
    </row>
    <row r="29" spans="1:10" x14ac:dyDescent="0.35">
      <c r="A29" s="3" t="s">
        <v>71</v>
      </c>
      <c r="B29" s="4">
        <v>43108</v>
      </c>
      <c r="C29">
        <v>19</v>
      </c>
      <c r="D29" t="s">
        <v>56</v>
      </c>
      <c r="E29" t="s">
        <v>36</v>
      </c>
      <c r="F29" t="s">
        <v>28</v>
      </c>
      <c r="G29" t="s">
        <v>41</v>
      </c>
      <c r="H29">
        <v>399</v>
      </c>
      <c r="I29">
        <v>7</v>
      </c>
      <c r="J29">
        <v>2793</v>
      </c>
    </row>
    <row r="30" spans="1:10" x14ac:dyDescent="0.35">
      <c r="A30" s="3" t="s">
        <v>72</v>
      </c>
      <c r="B30" s="4">
        <v>43109</v>
      </c>
      <c r="C30">
        <v>10</v>
      </c>
      <c r="D30" t="s">
        <v>58</v>
      </c>
      <c r="E30" t="s">
        <v>46</v>
      </c>
      <c r="F30" t="s">
        <v>23</v>
      </c>
      <c r="G30" t="s">
        <v>14</v>
      </c>
      <c r="H30">
        <v>199</v>
      </c>
      <c r="I30">
        <v>3</v>
      </c>
      <c r="J30">
        <v>597</v>
      </c>
    </row>
    <row r="31" spans="1:10" x14ac:dyDescent="0.35">
      <c r="A31" s="3" t="s">
        <v>73</v>
      </c>
      <c r="B31" s="4">
        <v>43109</v>
      </c>
      <c r="C31">
        <v>12</v>
      </c>
      <c r="D31" t="s">
        <v>66</v>
      </c>
      <c r="E31" t="s">
        <v>63</v>
      </c>
      <c r="F31" t="s">
        <v>13</v>
      </c>
      <c r="G31" t="s">
        <v>19</v>
      </c>
      <c r="H31">
        <v>289</v>
      </c>
      <c r="I31">
        <v>0</v>
      </c>
      <c r="J31">
        <v>0</v>
      </c>
    </row>
    <row r="32" spans="1:10" x14ac:dyDescent="0.35">
      <c r="A32" s="3" t="s">
        <v>74</v>
      </c>
      <c r="B32" s="4">
        <v>43109</v>
      </c>
      <c r="C32">
        <v>6</v>
      </c>
      <c r="D32" t="s">
        <v>48</v>
      </c>
      <c r="E32" t="s">
        <v>22</v>
      </c>
      <c r="F32" t="s">
        <v>23</v>
      </c>
      <c r="G32" t="s">
        <v>24</v>
      </c>
      <c r="H32">
        <v>159</v>
      </c>
      <c r="I32">
        <v>2</v>
      </c>
      <c r="J32">
        <v>318</v>
      </c>
    </row>
    <row r="33" spans="1:10" x14ac:dyDescent="0.35">
      <c r="A33" s="3" t="s">
        <v>75</v>
      </c>
      <c r="B33" s="4">
        <v>43109</v>
      </c>
      <c r="C33">
        <v>6</v>
      </c>
      <c r="D33" t="s">
        <v>48</v>
      </c>
      <c r="E33" t="s">
        <v>46</v>
      </c>
      <c r="F33" t="s">
        <v>23</v>
      </c>
      <c r="G33" t="s">
        <v>41</v>
      </c>
      <c r="H33">
        <v>399</v>
      </c>
      <c r="I33">
        <v>3</v>
      </c>
      <c r="J33">
        <v>1197</v>
      </c>
    </row>
    <row r="34" spans="1:10" x14ac:dyDescent="0.35">
      <c r="A34" s="3" t="s">
        <v>76</v>
      </c>
      <c r="B34" s="4">
        <v>43110</v>
      </c>
      <c r="C34">
        <v>6</v>
      </c>
      <c r="D34" t="s">
        <v>48</v>
      </c>
      <c r="E34" t="s">
        <v>46</v>
      </c>
      <c r="F34" t="s">
        <v>23</v>
      </c>
      <c r="G34" t="s">
        <v>31</v>
      </c>
      <c r="H34">
        <v>69</v>
      </c>
      <c r="I34">
        <v>2</v>
      </c>
      <c r="J34">
        <v>138</v>
      </c>
    </row>
    <row r="35" spans="1:10" x14ac:dyDescent="0.35">
      <c r="A35" s="3" t="s">
        <v>77</v>
      </c>
      <c r="B35" s="4">
        <v>43111</v>
      </c>
      <c r="C35">
        <v>1</v>
      </c>
      <c r="D35" t="s">
        <v>16</v>
      </c>
      <c r="E35" t="s">
        <v>68</v>
      </c>
      <c r="F35" t="s">
        <v>18</v>
      </c>
      <c r="G35" t="s">
        <v>14</v>
      </c>
      <c r="H35">
        <v>199</v>
      </c>
      <c r="I35">
        <v>8</v>
      </c>
      <c r="J35">
        <v>1592</v>
      </c>
    </row>
    <row r="36" spans="1:10" x14ac:dyDescent="0.35">
      <c r="A36" s="3" t="s">
        <v>78</v>
      </c>
      <c r="B36" s="4">
        <v>43111</v>
      </c>
      <c r="C36">
        <v>16</v>
      </c>
      <c r="D36" t="s">
        <v>30</v>
      </c>
      <c r="E36" t="s">
        <v>36</v>
      </c>
      <c r="F36" t="s">
        <v>28</v>
      </c>
      <c r="G36" t="s">
        <v>14</v>
      </c>
      <c r="H36">
        <v>199</v>
      </c>
      <c r="I36">
        <v>5</v>
      </c>
      <c r="J36">
        <v>995</v>
      </c>
    </row>
    <row r="37" spans="1:10" x14ac:dyDescent="0.35">
      <c r="A37" s="3" t="s">
        <v>79</v>
      </c>
      <c r="B37" s="4">
        <v>43111</v>
      </c>
      <c r="C37">
        <v>13</v>
      </c>
      <c r="D37" t="s">
        <v>33</v>
      </c>
      <c r="E37" t="s">
        <v>63</v>
      </c>
      <c r="F37" t="s">
        <v>13</v>
      </c>
      <c r="G37" t="s">
        <v>19</v>
      </c>
      <c r="H37">
        <v>289</v>
      </c>
      <c r="I37">
        <v>1</v>
      </c>
      <c r="J37">
        <v>289</v>
      </c>
    </row>
    <row r="38" spans="1:10" x14ac:dyDescent="0.35">
      <c r="A38" s="3" t="s">
        <v>80</v>
      </c>
      <c r="B38" s="4">
        <v>43111</v>
      </c>
      <c r="C38">
        <v>13</v>
      </c>
      <c r="D38" t="s">
        <v>33</v>
      </c>
      <c r="E38" t="s">
        <v>63</v>
      </c>
      <c r="F38" t="s">
        <v>13</v>
      </c>
      <c r="G38" t="s">
        <v>41</v>
      </c>
      <c r="H38">
        <v>399</v>
      </c>
      <c r="I38">
        <v>4</v>
      </c>
      <c r="J38">
        <v>1596</v>
      </c>
    </row>
    <row r="39" spans="1:10" x14ac:dyDescent="0.35">
      <c r="A39" s="3" t="s">
        <v>81</v>
      </c>
      <c r="B39" s="4">
        <v>43112</v>
      </c>
      <c r="C39">
        <v>20</v>
      </c>
      <c r="D39" t="s">
        <v>40</v>
      </c>
      <c r="E39" t="s">
        <v>27</v>
      </c>
      <c r="F39" t="s">
        <v>28</v>
      </c>
      <c r="G39" t="s">
        <v>41</v>
      </c>
      <c r="H39">
        <v>399</v>
      </c>
      <c r="I39">
        <v>3</v>
      </c>
      <c r="J39">
        <v>1197</v>
      </c>
    </row>
    <row r="40" spans="1:10" x14ac:dyDescent="0.35">
      <c r="A40" s="3" t="s">
        <v>82</v>
      </c>
      <c r="B40" s="4">
        <v>43112</v>
      </c>
      <c r="C40">
        <v>19</v>
      </c>
      <c r="D40" t="s">
        <v>56</v>
      </c>
      <c r="E40" t="s">
        <v>36</v>
      </c>
      <c r="F40" t="s">
        <v>28</v>
      </c>
      <c r="G40" t="s">
        <v>31</v>
      </c>
      <c r="H40">
        <v>69</v>
      </c>
      <c r="I40">
        <v>8</v>
      </c>
      <c r="J40">
        <v>552</v>
      </c>
    </row>
    <row r="41" spans="1:10" x14ac:dyDescent="0.35">
      <c r="A41" s="3" t="s">
        <v>83</v>
      </c>
      <c r="B41" s="4">
        <v>43112</v>
      </c>
      <c r="C41">
        <v>14</v>
      </c>
      <c r="D41" t="s">
        <v>38</v>
      </c>
      <c r="E41" t="s">
        <v>12</v>
      </c>
      <c r="F41" t="s">
        <v>13</v>
      </c>
      <c r="G41" t="s">
        <v>19</v>
      </c>
      <c r="H41">
        <v>289</v>
      </c>
      <c r="I41">
        <v>3</v>
      </c>
      <c r="J41">
        <v>867</v>
      </c>
    </row>
    <row r="42" spans="1:10" x14ac:dyDescent="0.35">
      <c r="A42" s="3" t="s">
        <v>84</v>
      </c>
      <c r="B42" s="4">
        <v>43113</v>
      </c>
      <c r="C42">
        <v>9</v>
      </c>
      <c r="D42" t="s">
        <v>21</v>
      </c>
      <c r="E42" t="s">
        <v>22</v>
      </c>
      <c r="F42" t="s">
        <v>23</v>
      </c>
      <c r="G42" t="s">
        <v>41</v>
      </c>
      <c r="H42">
        <v>399</v>
      </c>
      <c r="I42">
        <v>4</v>
      </c>
      <c r="J42">
        <v>1596</v>
      </c>
    </row>
    <row r="43" spans="1:10" x14ac:dyDescent="0.35">
      <c r="A43" s="3" t="s">
        <v>85</v>
      </c>
      <c r="B43" s="4">
        <v>43113</v>
      </c>
      <c r="C43">
        <v>17</v>
      </c>
      <c r="D43" t="s">
        <v>35</v>
      </c>
      <c r="E43" t="s">
        <v>36</v>
      </c>
      <c r="F43" t="s">
        <v>28</v>
      </c>
      <c r="G43" t="s">
        <v>31</v>
      </c>
      <c r="H43">
        <v>69</v>
      </c>
      <c r="I43">
        <v>5</v>
      </c>
      <c r="J43">
        <v>345</v>
      </c>
    </row>
    <row r="44" spans="1:10" x14ac:dyDescent="0.35">
      <c r="A44" s="3" t="s">
        <v>86</v>
      </c>
      <c r="B44" s="4">
        <v>43113</v>
      </c>
      <c r="C44">
        <v>13</v>
      </c>
      <c r="D44" t="s">
        <v>33</v>
      </c>
      <c r="E44" t="s">
        <v>63</v>
      </c>
      <c r="F44" t="s">
        <v>13</v>
      </c>
      <c r="G44" t="s">
        <v>24</v>
      </c>
      <c r="H44">
        <v>159</v>
      </c>
      <c r="I44">
        <v>8</v>
      </c>
      <c r="J44">
        <v>1272</v>
      </c>
    </row>
    <row r="45" spans="1:10" x14ac:dyDescent="0.35">
      <c r="A45" s="3" t="s">
        <v>87</v>
      </c>
      <c r="B45" s="4">
        <v>43113</v>
      </c>
      <c r="C45">
        <v>7</v>
      </c>
      <c r="D45" t="s">
        <v>88</v>
      </c>
      <c r="E45" t="s">
        <v>46</v>
      </c>
      <c r="F45" t="s">
        <v>23</v>
      </c>
      <c r="G45" t="s">
        <v>41</v>
      </c>
      <c r="H45">
        <v>399</v>
      </c>
      <c r="I45">
        <v>5</v>
      </c>
      <c r="J45">
        <v>1995</v>
      </c>
    </row>
    <row r="46" spans="1:10" x14ac:dyDescent="0.35">
      <c r="A46" s="3" t="s">
        <v>89</v>
      </c>
      <c r="B46" s="4">
        <v>43113</v>
      </c>
      <c r="C46">
        <v>12</v>
      </c>
      <c r="D46" t="s">
        <v>66</v>
      </c>
      <c r="E46" t="s">
        <v>63</v>
      </c>
      <c r="F46" t="s">
        <v>13</v>
      </c>
      <c r="G46" t="s">
        <v>19</v>
      </c>
      <c r="H46">
        <v>289</v>
      </c>
      <c r="I46">
        <v>4</v>
      </c>
      <c r="J46">
        <v>1156</v>
      </c>
    </row>
    <row r="47" spans="1:10" x14ac:dyDescent="0.35">
      <c r="A47" s="3" t="s">
        <v>90</v>
      </c>
      <c r="B47" s="4">
        <v>43113</v>
      </c>
      <c r="C47">
        <v>14</v>
      </c>
      <c r="D47" t="s">
        <v>38</v>
      </c>
      <c r="E47" t="s">
        <v>12</v>
      </c>
      <c r="F47" t="s">
        <v>13</v>
      </c>
      <c r="G47" t="s">
        <v>24</v>
      </c>
      <c r="H47">
        <v>159</v>
      </c>
      <c r="I47">
        <v>7</v>
      </c>
      <c r="J47">
        <v>1113</v>
      </c>
    </row>
    <row r="48" spans="1:10" x14ac:dyDescent="0.35">
      <c r="A48" s="3" t="s">
        <v>91</v>
      </c>
      <c r="B48" s="4">
        <v>43113</v>
      </c>
      <c r="C48">
        <v>17</v>
      </c>
      <c r="D48" t="s">
        <v>35</v>
      </c>
      <c r="E48" t="s">
        <v>27</v>
      </c>
      <c r="F48" t="s">
        <v>28</v>
      </c>
      <c r="G48" t="s">
        <v>19</v>
      </c>
      <c r="H48">
        <v>289</v>
      </c>
      <c r="I48">
        <v>0</v>
      </c>
      <c r="J48">
        <v>0</v>
      </c>
    </row>
    <row r="49" spans="1:10" x14ac:dyDescent="0.35">
      <c r="A49" s="3" t="s">
        <v>92</v>
      </c>
      <c r="B49" s="4">
        <v>43113</v>
      </c>
      <c r="C49">
        <v>16</v>
      </c>
      <c r="D49" t="s">
        <v>30</v>
      </c>
      <c r="E49" t="s">
        <v>27</v>
      </c>
      <c r="F49" t="s">
        <v>28</v>
      </c>
      <c r="G49" t="s">
        <v>31</v>
      </c>
      <c r="H49">
        <v>69</v>
      </c>
      <c r="I49">
        <v>1</v>
      </c>
      <c r="J49">
        <v>69</v>
      </c>
    </row>
    <row r="50" spans="1:10" x14ac:dyDescent="0.35">
      <c r="A50" s="3" t="s">
        <v>93</v>
      </c>
      <c r="B50" s="4">
        <v>43113</v>
      </c>
      <c r="C50">
        <v>4</v>
      </c>
      <c r="D50" t="s">
        <v>51</v>
      </c>
      <c r="E50" t="s">
        <v>68</v>
      </c>
      <c r="F50" t="s">
        <v>18</v>
      </c>
      <c r="G50" t="s">
        <v>24</v>
      </c>
      <c r="H50">
        <v>159</v>
      </c>
      <c r="I50">
        <v>5</v>
      </c>
      <c r="J50">
        <v>795</v>
      </c>
    </row>
    <row r="51" spans="1:10" x14ac:dyDescent="0.35">
      <c r="A51" s="3" t="s">
        <v>94</v>
      </c>
      <c r="B51" s="4">
        <v>43113</v>
      </c>
      <c r="C51">
        <v>5</v>
      </c>
      <c r="D51" t="s">
        <v>60</v>
      </c>
      <c r="E51" t="s">
        <v>68</v>
      </c>
      <c r="F51" t="s">
        <v>18</v>
      </c>
      <c r="G51" t="s">
        <v>24</v>
      </c>
      <c r="H51">
        <v>159</v>
      </c>
      <c r="I51">
        <v>7</v>
      </c>
      <c r="J51">
        <v>1113</v>
      </c>
    </row>
    <row r="52" spans="1:10" x14ac:dyDescent="0.35">
      <c r="A52" s="3" t="s">
        <v>95</v>
      </c>
      <c r="B52" s="4">
        <v>43113</v>
      </c>
      <c r="C52">
        <v>19</v>
      </c>
      <c r="D52" t="s">
        <v>56</v>
      </c>
      <c r="E52" t="s">
        <v>36</v>
      </c>
      <c r="F52" t="s">
        <v>28</v>
      </c>
      <c r="G52" t="s">
        <v>41</v>
      </c>
      <c r="H52">
        <v>399</v>
      </c>
      <c r="I52">
        <v>6</v>
      </c>
      <c r="J52">
        <v>2394</v>
      </c>
    </row>
    <row r="53" spans="1:10" x14ac:dyDescent="0.35">
      <c r="A53" s="3" t="s">
        <v>96</v>
      </c>
      <c r="B53" s="4">
        <v>43113</v>
      </c>
      <c r="C53">
        <v>1</v>
      </c>
      <c r="D53" t="s">
        <v>16</v>
      </c>
      <c r="E53" t="s">
        <v>68</v>
      </c>
      <c r="F53" t="s">
        <v>18</v>
      </c>
      <c r="G53" t="s">
        <v>31</v>
      </c>
      <c r="H53">
        <v>69</v>
      </c>
      <c r="I53">
        <v>2</v>
      </c>
      <c r="J53">
        <v>138</v>
      </c>
    </row>
    <row r="54" spans="1:10" x14ac:dyDescent="0.35">
      <c r="A54" s="3" t="s">
        <v>97</v>
      </c>
      <c r="B54" s="4">
        <v>43114</v>
      </c>
      <c r="C54">
        <v>17</v>
      </c>
      <c r="D54" t="s">
        <v>35</v>
      </c>
      <c r="E54" t="s">
        <v>36</v>
      </c>
      <c r="F54" t="s">
        <v>28</v>
      </c>
      <c r="G54" t="s">
        <v>31</v>
      </c>
      <c r="H54">
        <v>69</v>
      </c>
      <c r="I54">
        <v>7</v>
      </c>
      <c r="J54">
        <v>483</v>
      </c>
    </row>
    <row r="55" spans="1:10" x14ac:dyDescent="0.35">
      <c r="A55" s="3" t="s">
        <v>98</v>
      </c>
      <c r="B55" s="4">
        <v>43115</v>
      </c>
      <c r="C55">
        <v>8</v>
      </c>
      <c r="D55" t="s">
        <v>45</v>
      </c>
      <c r="E55" t="s">
        <v>46</v>
      </c>
      <c r="F55" t="s">
        <v>23</v>
      </c>
      <c r="G55" t="s">
        <v>19</v>
      </c>
      <c r="H55">
        <v>289</v>
      </c>
      <c r="I55">
        <v>1</v>
      </c>
      <c r="J55">
        <v>289</v>
      </c>
    </row>
    <row r="56" spans="1:10" x14ac:dyDescent="0.35">
      <c r="A56" s="3" t="s">
        <v>99</v>
      </c>
      <c r="B56" s="4">
        <v>43115</v>
      </c>
      <c r="C56">
        <v>7</v>
      </c>
      <c r="D56" t="s">
        <v>88</v>
      </c>
      <c r="E56" t="s">
        <v>46</v>
      </c>
      <c r="F56" t="s">
        <v>23</v>
      </c>
      <c r="G56" t="s">
        <v>41</v>
      </c>
      <c r="H56">
        <v>399</v>
      </c>
      <c r="I56">
        <v>0</v>
      </c>
      <c r="J56">
        <v>0</v>
      </c>
    </row>
    <row r="57" spans="1:10" x14ac:dyDescent="0.35">
      <c r="A57" s="3" t="s">
        <v>100</v>
      </c>
      <c r="B57" s="4">
        <v>43115</v>
      </c>
      <c r="C57">
        <v>20</v>
      </c>
      <c r="D57" t="s">
        <v>40</v>
      </c>
      <c r="E57" t="s">
        <v>36</v>
      </c>
      <c r="F57" t="s">
        <v>28</v>
      </c>
      <c r="G57" t="s">
        <v>31</v>
      </c>
      <c r="H57">
        <v>69</v>
      </c>
      <c r="I57">
        <v>9</v>
      </c>
      <c r="J57">
        <v>621</v>
      </c>
    </row>
    <row r="58" spans="1:10" x14ac:dyDescent="0.35">
      <c r="A58" s="3" t="s">
        <v>101</v>
      </c>
      <c r="B58" s="4">
        <v>43115</v>
      </c>
      <c r="C58">
        <v>8</v>
      </c>
      <c r="D58" t="s">
        <v>45</v>
      </c>
      <c r="E58" t="s">
        <v>46</v>
      </c>
      <c r="F58" t="s">
        <v>23</v>
      </c>
      <c r="G58" t="s">
        <v>14</v>
      </c>
      <c r="H58">
        <v>199</v>
      </c>
      <c r="I58">
        <v>5</v>
      </c>
      <c r="J58">
        <v>995</v>
      </c>
    </row>
    <row r="59" spans="1:10" x14ac:dyDescent="0.35">
      <c r="A59" s="3" t="s">
        <v>102</v>
      </c>
      <c r="B59" s="4">
        <v>43115</v>
      </c>
      <c r="C59">
        <v>11</v>
      </c>
      <c r="D59" t="s">
        <v>11</v>
      </c>
      <c r="E59" t="s">
        <v>12</v>
      </c>
      <c r="F59" t="s">
        <v>13</v>
      </c>
      <c r="G59" t="s">
        <v>31</v>
      </c>
      <c r="H59">
        <v>69</v>
      </c>
      <c r="I59">
        <v>9</v>
      </c>
      <c r="J59">
        <v>621</v>
      </c>
    </row>
    <row r="60" spans="1:10" x14ac:dyDescent="0.35">
      <c r="A60" s="3" t="s">
        <v>103</v>
      </c>
      <c r="B60" s="4">
        <v>43115</v>
      </c>
      <c r="C60">
        <v>9</v>
      </c>
      <c r="D60" t="s">
        <v>21</v>
      </c>
      <c r="E60" t="s">
        <v>22</v>
      </c>
      <c r="F60" t="s">
        <v>23</v>
      </c>
      <c r="G60" t="s">
        <v>41</v>
      </c>
      <c r="H60">
        <v>399</v>
      </c>
      <c r="I60">
        <v>7</v>
      </c>
      <c r="J60">
        <v>2793</v>
      </c>
    </row>
    <row r="61" spans="1:10" x14ac:dyDescent="0.35">
      <c r="A61" s="3" t="s">
        <v>104</v>
      </c>
      <c r="B61" s="4">
        <v>43115</v>
      </c>
      <c r="C61">
        <v>10</v>
      </c>
      <c r="D61" t="s">
        <v>58</v>
      </c>
      <c r="E61" t="s">
        <v>46</v>
      </c>
      <c r="F61" t="s">
        <v>23</v>
      </c>
      <c r="G61" t="s">
        <v>14</v>
      </c>
      <c r="H61">
        <v>199</v>
      </c>
      <c r="I61">
        <v>3</v>
      </c>
      <c r="J61">
        <v>597</v>
      </c>
    </row>
    <row r="62" spans="1:10" x14ac:dyDescent="0.35">
      <c r="A62" s="3" t="s">
        <v>105</v>
      </c>
      <c r="B62" s="4">
        <v>43116</v>
      </c>
      <c r="C62">
        <v>2</v>
      </c>
      <c r="D62" t="s">
        <v>106</v>
      </c>
      <c r="E62" t="s">
        <v>17</v>
      </c>
      <c r="F62" t="s">
        <v>18</v>
      </c>
      <c r="G62" t="s">
        <v>24</v>
      </c>
      <c r="H62">
        <v>159</v>
      </c>
      <c r="I62">
        <v>8</v>
      </c>
      <c r="J62">
        <v>1272</v>
      </c>
    </row>
    <row r="63" spans="1:10" x14ac:dyDescent="0.35">
      <c r="A63" s="3" t="s">
        <v>107</v>
      </c>
      <c r="B63" s="4">
        <v>43117</v>
      </c>
      <c r="C63">
        <v>20</v>
      </c>
      <c r="D63" t="s">
        <v>40</v>
      </c>
      <c r="E63" t="s">
        <v>36</v>
      </c>
      <c r="F63" t="s">
        <v>28</v>
      </c>
      <c r="G63" t="s">
        <v>24</v>
      </c>
      <c r="H63">
        <v>159</v>
      </c>
      <c r="I63">
        <v>9</v>
      </c>
      <c r="J63">
        <v>1431</v>
      </c>
    </row>
    <row r="64" spans="1:10" x14ac:dyDescent="0.35">
      <c r="A64" s="3" t="s">
        <v>108</v>
      </c>
      <c r="B64" s="4">
        <v>43117</v>
      </c>
      <c r="C64">
        <v>9</v>
      </c>
      <c r="D64" t="s">
        <v>21</v>
      </c>
      <c r="E64" t="s">
        <v>46</v>
      </c>
      <c r="F64" t="s">
        <v>23</v>
      </c>
      <c r="G64" t="s">
        <v>19</v>
      </c>
      <c r="H64">
        <v>289</v>
      </c>
      <c r="I64">
        <v>7</v>
      </c>
      <c r="J64">
        <v>2023</v>
      </c>
    </row>
    <row r="65" spans="1:10" x14ac:dyDescent="0.35">
      <c r="A65" s="3" t="s">
        <v>109</v>
      </c>
      <c r="B65" s="4">
        <v>43118</v>
      </c>
      <c r="C65">
        <v>9</v>
      </c>
      <c r="D65" t="s">
        <v>21</v>
      </c>
      <c r="E65" t="s">
        <v>46</v>
      </c>
      <c r="F65" t="s">
        <v>23</v>
      </c>
      <c r="G65" t="s">
        <v>41</v>
      </c>
      <c r="H65">
        <v>399</v>
      </c>
      <c r="I65">
        <v>1</v>
      </c>
      <c r="J65">
        <v>399</v>
      </c>
    </row>
    <row r="66" spans="1:10" x14ac:dyDescent="0.35">
      <c r="A66" s="3" t="s">
        <v>110</v>
      </c>
      <c r="B66" s="4">
        <v>43119</v>
      </c>
      <c r="C66">
        <v>9</v>
      </c>
      <c r="D66" t="s">
        <v>21</v>
      </c>
      <c r="E66" t="s">
        <v>46</v>
      </c>
      <c r="F66" t="s">
        <v>23</v>
      </c>
      <c r="G66" t="s">
        <v>14</v>
      </c>
      <c r="H66">
        <v>199</v>
      </c>
      <c r="I66">
        <v>6</v>
      </c>
      <c r="J66">
        <v>1194</v>
      </c>
    </row>
    <row r="67" spans="1:10" x14ac:dyDescent="0.35">
      <c r="A67" s="3" t="s">
        <v>111</v>
      </c>
      <c r="B67" s="4">
        <v>43119</v>
      </c>
      <c r="C67">
        <v>10</v>
      </c>
      <c r="D67" t="s">
        <v>58</v>
      </c>
      <c r="E67" t="s">
        <v>46</v>
      </c>
      <c r="F67" t="s">
        <v>23</v>
      </c>
      <c r="G67" t="s">
        <v>19</v>
      </c>
      <c r="H67">
        <v>289</v>
      </c>
      <c r="I67">
        <v>3</v>
      </c>
      <c r="J67">
        <v>867</v>
      </c>
    </row>
    <row r="68" spans="1:10" x14ac:dyDescent="0.35">
      <c r="A68" s="3" t="s">
        <v>112</v>
      </c>
      <c r="B68" s="4">
        <v>43120</v>
      </c>
      <c r="C68">
        <v>16</v>
      </c>
      <c r="D68" t="s">
        <v>30</v>
      </c>
      <c r="E68" t="s">
        <v>27</v>
      </c>
      <c r="F68" t="s">
        <v>28</v>
      </c>
      <c r="G68" t="s">
        <v>31</v>
      </c>
      <c r="H68">
        <v>69</v>
      </c>
      <c r="I68">
        <v>2</v>
      </c>
      <c r="J68">
        <v>138</v>
      </c>
    </row>
    <row r="69" spans="1:10" x14ac:dyDescent="0.35">
      <c r="A69" s="3" t="s">
        <v>113</v>
      </c>
      <c r="B69" s="4">
        <v>43120</v>
      </c>
      <c r="C69">
        <v>13</v>
      </c>
      <c r="D69" t="s">
        <v>33</v>
      </c>
      <c r="E69" t="s">
        <v>63</v>
      </c>
      <c r="F69" t="s">
        <v>13</v>
      </c>
      <c r="G69" t="s">
        <v>14</v>
      </c>
      <c r="H69">
        <v>199</v>
      </c>
      <c r="I69">
        <v>8</v>
      </c>
      <c r="J69">
        <v>1592</v>
      </c>
    </row>
    <row r="70" spans="1:10" x14ac:dyDescent="0.35">
      <c r="A70" s="3" t="s">
        <v>114</v>
      </c>
      <c r="B70" s="4">
        <v>43121</v>
      </c>
      <c r="C70">
        <v>19</v>
      </c>
      <c r="D70" t="s">
        <v>56</v>
      </c>
      <c r="E70" t="s">
        <v>36</v>
      </c>
      <c r="F70" t="s">
        <v>28</v>
      </c>
      <c r="G70" t="s">
        <v>14</v>
      </c>
      <c r="H70">
        <v>199</v>
      </c>
      <c r="I70">
        <v>8</v>
      </c>
      <c r="J70">
        <v>1592</v>
      </c>
    </row>
    <row r="71" spans="1:10" x14ac:dyDescent="0.35">
      <c r="A71" s="3" t="s">
        <v>115</v>
      </c>
      <c r="B71" s="4">
        <v>43121</v>
      </c>
      <c r="C71">
        <v>6</v>
      </c>
      <c r="D71" t="s">
        <v>48</v>
      </c>
      <c r="E71" t="s">
        <v>46</v>
      </c>
      <c r="F71" t="s">
        <v>23</v>
      </c>
      <c r="G71" t="s">
        <v>14</v>
      </c>
      <c r="H71">
        <v>199</v>
      </c>
      <c r="I71">
        <v>0</v>
      </c>
      <c r="J71">
        <v>0</v>
      </c>
    </row>
    <row r="72" spans="1:10" x14ac:dyDescent="0.35">
      <c r="A72" s="3" t="s">
        <v>116</v>
      </c>
      <c r="B72" s="4">
        <v>43121</v>
      </c>
      <c r="C72">
        <v>17</v>
      </c>
      <c r="D72" t="s">
        <v>35</v>
      </c>
      <c r="E72" t="s">
        <v>27</v>
      </c>
      <c r="F72" t="s">
        <v>28</v>
      </c>
      <c r="G72" t="s">
        <v>24</v>
      </c>
      <c r="H72">
        <v>159</v>
      </c>
      <c r="I72">
        <v>4</v>
      </c>
      <c r="J72">
        <v>636</v>
      </c>
    </row>
    <row r="73" spans="1:10" x14ac:dyDescent="0.35">
      <c r="A73" s="3" t="s">
        <v>117</v>
      </c>
      <c r="B73" s="4">
        <v>43122</v>
      </c>
      <c r="C73">
        <v>15</v>
      </c>
      <c r="D73" t="s">
        <v>118</v>
      </c>
      <c r="E73" t="s">
        <v>63</v>
      </c>
      <c r="F73" t="s">
        <v>13</v>
      </c>
      <c r="G73" t="s">
        <v>41</v>
      </c>
      <c r="H73">
        <v>399</v>
      </c>
      <c r="I73">
        <v>4</v>
      </c>
      <c r="J73">
        <v>1596</v>
      </c>
    </row>
    <row r="74" spans="1:10" x14ac:dyDescent="0.35">
      <c r="A74" s="3" t="s">
        <v>119</v>
      </c>
      <c r="B74" s="4">
        <v>43123</v>
      </c>
      <c r="C74">
        <v>15</v>
      </c>
      <c r="D74" t="s">
        <v>118</v>
      </c>
      <c r="E74" t="s">
        <v>63</v>
      </c>
      <c r="F74" t="s">
        <v>13</v>
      </c>
      <c r="G74" t="s">
        <v>24</v>
      </c>
      <c r="H74">
        <v>159</v>
      </c>
      <c r="I74">
        <v>1</v>
      </c>
      <c r="J74">
        <v>159</v>
      </c>
    </row>
    <row r="75" spans="1:10" x14ac:dyDescent="0.35">
      <c r="A75" s="3" t="s">
        <v>120</v>
      </c>
      <c r="B75" s="4">
        <v>43123</v>
      </c>
      <c r="C75">
        <v>20</v>
      </c>
      <c r="D75" t="s">
        <v>40</v>
      </c>
      <c r="E75" t="s">
        <v>27</v>
      </c>
      <c r="F75" t="s">
        <v>28</v>
      </c>
      <c r="G75" t="s">
        <v>19</v>
      </c>
      <c r="H75">
        <v>289</v>
      </c>
      <c r="I75">
        <v>1</v>
      </c>
      <c r="J75">
        <v>289</v>
      </c>
    </row>
    <row r="76" spans="1:10" x14ac:dyDescent="0.35">
      <c r="A76" s="3" t="s">
        <v>121</v>
      </c>
      <c r="B76" s="4">
        <v>43123</v>
      </c>
      <c r="C76">
        <v>13</v>
      </c>
      <c r="D76" t="s">
        <v>33</v>
      </c>
      <c r="E76" t="s">
        <v>12</v>
      </c>
      <c r="F76" t="s">
        <v>13</v>
      </c>
      <c r="G76" t="s">
        <v>19</v>
      </c>
      <c r="H76">
        <v>289</v>
      </c>
      <c r="I76">
        <v>5</v>
      </c>
      <c r="J76">
        <v>1445</v>
      </c>
    </row>
    <row r="77" spans="1:10" x14ac:dyDescent="0.35">
      <c r="A77" s="3" t="s">
        <v>122</v>
      </c>
      <c r="B77" s="4">
        <v>43124</v>
      </c>
      <c r="C77">
        <v>18</v>
      </c>
      <c r="D77" t="s">
        <v>26</v>
      </c>
      <c r="E77" t="s">
        <v>27</v>
      </c>
      <c r="F77" t="s">
        <v>28</v>
      </c>
      <c r="G77" t="s">
        <v>31</v>
      </c>
      <c r="H77">
        <v>69</v>
      </c>
      <c r="I77">
        <v>7</v>
      </c>
      <c r="J77">
        <v>483</v>
      </c>
    </row>
    <row r="78" spans="1:10" x14ac:dyDescent="0.35">
      <c r="A78" s="3" t="s">
        <v>123</v>
      </c>
      <c r="B78" s="4">
        <v>43124</v>
      </c>
      <c r="C78">
        <v>8</v>
      </c>
      <c r="D78" t="s">
        <v>45</v>
      </c>
      <c r="E78" t="s">
        <v>46</v>
      </c>
      <c r="F78" t="s">
        <v>23</v>
      </c>
      <c r="G78" t="s">
        <v>31</v>
      </c>
      <c r="H78">
        <v>69</v>
      </c>
      <c r="I78">
        <v>2</v>
      </c>
      <c r="J78">
        <v>138</v>
      </c>
    </row>
    <row r="79" spans="1:10" x14ac:dyDescent="0.35">
      <c r="A79" s="3" t="s">
        <v>124</v>
      </c>
      <c r="B79" s="4">
        <v>43124</v>
      </c>
      <c r="C79">
        <v>5</v>
      </c>
      <c r="D79" t="s">
        <v>60</v>
      </c>
      <c r="E79" t="s">
        <v>68</v>
      </c>
      <c r="F79" t="s">
        <v>18</v>
      </c>
      <c r="G79" t="s">
        <v>19</v>
      </c>
      <c r="H79">
        <v>289</v>
      </c>
      <c r="I79">
        <v>1</v>
      </c>
      <c r="J79">
        <v>289</v>
      </c>
    </row>
    <row r="80" spans="1:10" x14ac:dyDescent="0.35">
      <c r="A80" s="3" t="s">
        <v>125</v>
      </c>
      <c r="B80" s="4">
        <v>43124</v>
      </c>
      <c r="C80">
        <v>19</v>
      </c>
      <c r="D80" t="s">
        <v>56</v>
      </c>
      <c r="E80" t="s">
        <v>27</v>
      </c>
      <c r="F80" t="s">
        <v>28</v>
      </c>
      <c r="G80" t="s">
        <v>19</v>
      </c>
      <c r="H80">
        <v>289</v>
      </c>
      <c r="I80">
        <v>8</v>
      </c>
      <c r="J80">
        <v>2312</v>
      </c>
    </row>
    <row r="81" spans="1:10" x14ac:dyDescent="0.35">
      <c r="A81" s="3" t="s">
        <v>126</v>
      </c>
      <c r="B81" s="4">
        <v>43124</v>
      </c>
      <c r="C81">
        <v>10</v>
      </c>
      <c r="D81" t="s">
        <v>58</v>
      </c>
      <c r="E81" t="s">
        <v>22</v>
      </c>
      <c r="F81" t="s">
        <v>23</v>
      </c>
      <c r="G81" t="s">
        <v>19</v>
      </c>
      <c r="H81">
        <v>289</v>
      </c>
      <c r="I81">
        <v>3</v>
      </c>
      <c r="J81">
        <v>867</v>
      </c>
    </row>
    <row r="82" spans="1:10" x14ac:dyDescent="0.35">
      <c r="A82" s="3" t="s">
        <v>127</v>
      </c>
      <c r="B82" s="4">
        <v>43124</v>
      </c>
      <c r="C82">
        <v>7</v>
      </c>
      <c r="D82" t="s">
        <v>88</v>
      </c>
      <c r="E82" t="s">
        <v>46</v>
      </c>
      <c r="F82" t="s">
        <v>23</v>
      </c>
      <c r="G82" t="s">
        <v>41</v>
      </c>
      <c r="H82">
        <v>399</v>
      </c>
      <c r="I82">
        <v>6</v>
      </c>
      <c r="J82">
        <v>2394</v>
      </c>
    </row>
    <row r="83" spans="1:10" x14ac:dyDescent="0.35">
      <c r="A83" s="3" t="s">
        <v>128</v>
      </c>
      <c r="B83" s="4">
        <v>43124</v>
      </c>
      <c r="C83">
        <v>5</v>
      </c>
      <c r="D83" t="s">
        <v>60</v>
      </c>
      <c r="E83" t="s">
        <v>17</v>
      </c>
      <c r="F83" t="s">
        <v>18</v>
      </c>
      <c r="G83" t="s">
        <v>31</v>
      </c>
      <c r="H83">
        <v>69</v>
      </c>
      <c r="I83">
        <v>1</v>
      </c>
      <c r="J83">
        <v>69</v>
      </c>
    </row>
    <row r="84" spans="1:10" x14ac:dyDescent="0.35">
      <c r="A84" s="3" t="s">
        <v>129</v>
      </c>
      <c r="B84" s="4">
        <v>43124</v>
      </c>
      <c r="C84">
        <v>10</v>
      </c>
      <c r="D84" t="s">
        <v>58</v>
      </c>
      <c r="E84" t="s">
        <v>46</v>
      </c>
      <c r="F84" t="s">
        <v>23</v>
      </c>
      <c r="G84" t="s">
        <v>31</v>
      </c>
      <c r="H84">
        <v>69</v>
      </c>
      <c r="I84">
        <v>2</v>
      </c>
      <c r="J84">
        <v>138</v>
      </c>
    </row>
    <row r="85" spans="1:10" x14ac:dyDescent="0.35">
      <c r="A85" s="3" t="s">
        <v>130</v>
      </c>
      <c r="B85" s="4">
        <v>43125</v>
      </c>
      <c r="C85">
        <v>18</v>
      </c>
      <c r="D85" t="s">
        <v>26</v>
      </c>
      <c r="E85" t="s">
        <v>36</v>
      </c>
      <c r="F85" t="s">
        <v>28</v>
      </c>
      <c r="G85" t="s">
        <v>41</v>
      </c>
      <c r="H85">
        <v>399</v>
      </c>
      <c r="I85">
        <v>1</v>
      </c>
      <c r="J85">
        <v>399</v>
      </c>
    </row>
    <row r="86" spans="1:10" x14ac:dyDescent="0.35">
      <c r="A86" s="3" t="s">
        <v>131</v>
      </c>
      <c r="B86" s="4">
        <v>43126</v>
      </c>
      <c r="C86">
        <v>4</v>
      </c>
      <c r="D86" t="s">
        <v>51</v>
      </c>
      <c r="E86" t="s">
        <v>68</v>
      </c>
      <c r="F86" t="s">
        <v>18</v>
      </c>
      <c r="G86" t="s">
        <v>41</v>
      </c>
      <c r="H86">
        <v>399</v>
      </c>
      <c r="I86">
        <v>9</v>
      </c>
      <c r="J86">
        <v>3591</v>
      </c>
    </row>
    <row r="87" spans="1:10" x14ac:dyDescent="0.35">
      <c r="A87" s="3" t="s">
        <v>132</v>
      </c>
      <c r="B87" s="4">
        <v>43126</v>
      </c>
      <c r="C87">
        <v>12</v>
      </c>
      <c r="D87" t="s">
        <v>66</v>
      </c>
      <c r="E87" t="s">
        <v>12</v>
      </c>
      <c r="F87" t="s">
        <v>13</v>
      </c>
      <c r="G87" t="s">
        <v>41</v>
      </c>
      <c r="H87">
        <v>399</v>
      </c>
      <c r="I87">
        <v>2</v>
      </c>
      <c r="J87">
        <v>798</v>
      </c>
    </row>
    <row r="88" spans="1:10" x14ac:dyDescent="0.35">
      <c r="A88" s="3" t="s">
        <v>133</v>
      </c>
      <c r="B88" s="4">
        <v>43127</v>
      </c>
      <c r="C88">
        <v>17</v>
      </c>
      <c r="D88" t="s">
        <v>35</v>
      </c>
      <c r="E88" t="s">
        <v>36</v>
      </c>
      <c r="F88" t="s">
        <v>28</v>
      </c>
      <c r="G88" t="s">
        <v>24</v>
      </c>
      <c r="H88">
        <v>159</v>
      </c>
      <c r="I88">
        <v>3</v>
      </c>
      <c r="J88">
        <v>477</v>
      </c>
    </row>
    <row r="89" spans="1:10" x14ac:dyDescent="0.35">
      <c r="A89" s="3" t="s">
        <v>134</v>
      </c>
      <c r="B89" s="4">
        <v>43127</v>
      </c>
      <c r="C89">
        <v>12</v>
      </c>
      <c r="D89" t="s">
        <v>66</v>
      </c>
      <c r="E89" t="s">
        <v>12</v>
      </c>
      <c r="F89" t="s">
        <v>13</v>
      </c>
      <c r="G89" t="s">
        <v>31</v>
      </c>
      <c r="H89">
        <v>69</v>
      </c>
      <c r="I89">
        <v>2</v>
      </c>
      <c r="J89">
        <v>138</v>
      </c>
    </row>
    <row r="90" spans="1:10" x14ac:dyDescent="0.35">
      <c r="A90" s="3" t="s">
        <v>135</v>
      </c>
      <c r="B90" s="4">
        <v>43127</v>
      </c>
      <c r="C90">
        <v>8</v>
      </c>
      <c r="D90" t="s">
        <v>45</v>
      </c>
      <c r="E90" t="s">
        <v>22</v>
      </c>
      <c r="F90" t="s">
        <v>23</v>
      </c>
      <c r="G90" t="s">
        <v>14</v>
      </c>
      <c r="H90">
        <v>199</v>
      </c>
      <c r="I90">
        <v>5</v>
      </c>
      <c r="J90">
        <v>995</v>
      </c>
    </row>
    <row r="91" spans="1:10" x14ac:dyDescent="0.35">
      <c r="A91" s="3" t="s">
        <v>136</v>
      </c>
      <c r="B91" s="4">
        <v>43127</v>
      </c>
      <c r="C91">
        <v>12</v>
      </c>
      <c r="D91" t="s">
        <v>66</v>
      </c>
      <c r="E91" t="s">
        <v>63</v>
      </c>
      <c r="F91" t="s">
        <v>13</v>
      </c>
      <c r="G91" t="s">
        <v>31</v>
      </c>
      <c r="H91">
        <v>69</v>
      </c>
      <c r="I91">
        <v>2</v>
      </c>
      <c r="J91">
        <v>138</v>
      </c>
    </row>
    <row r="92" spans="1:10" x14ac:dyDescent="0.35">
      <c r="A92" s="3" t="s">
        <v>137</v>
      </c>
      <c r="B92" s="4">
        <v>43127</v>
      </c>
      <c r="C92">
        <v>19</v>
      </c>
      <c r="D92" t="s">
        <v>56</v>
      </c>
      <c r="E92" t="s">
        <v>36</v>
      </c>
      <c r="F92" t="s">
        <v>28</v>
      </c>
      <c r="G92" t="s">
        <v>19</v>
      </c>
      <c r="H92">
        <v>289</v>
      </c>
      <c r="I92">
        <v>4</v>
      </c>
      <c r="J92">
        <v>1156</v>
      </c>
    </row>
    <row r="93" spans="1:10" x14ac:dyDescent="0.35">
      <c r="A93" s="3" t="s">
        <v>138</v>
      </c>
      <c r="B93" s="4">
        <v>43128</v>
      </c>
      <c r="C93">
        <v>20</v>
      </c>
      <c r="D93" t="s">
        <v>40</v>
      </c>
      <c r="E93" t="s">
        <v>27</v>
      </c>
      <c r="F93" t="s">
        <v>28</v>
      </c>
      <c r="G93" t="s">
        <v>41</v>
      </c>
      <c r="H93">
        <v>399</v>
      </c>
      <c r="I93">
        <v>6</v>
      </c>
      <c r="J93">
        <v>2394</v>
      </c>
    </row>
    <row r="94" spans="1:10" x14ac:dyDescent="0.35">
      <c r="A94" s="3" t="s">
        <v>139</v>
      </c>
      <c r="B94" s="4">
        <v>43129</v>
      </c>
      <c r="C94">
        <v>7</v>
      </c>
      <c r="D94" t="s">
        <v>88</v>
      </c>
      <c r="E94" t="s">
        <v>22</v>
      </c>
      <c r="F94" t="s">
        <v>23</v>
      </c>
      <c r="G94" t="s">
        <v>41</v>
      </c>
      <c r="H94">
        <v>399</v>
      </c>
      <c r="I94">
        <v>1</v>
      </c>
      <c r="J94">
        <v>399</v>
      </c>
    </row>
    <row r="95" spans="1:10" x14ac:dyDescent="0.35">
      <c r="A95" s="3" t="s">
        <v>140</v>
      </c>
      <c r="B95" s="4">
        <v>43129</v>
      </c>
      <c r="C95">
        <v>8</v>
      </c>
      <c r="D95" t="s">
        <v>45</v>
      </c>
      <c r="E95" t="s">
        <v>22</v>
      </c>
      <c r="F95" t="s">
        <v>23</v>
      </c>
      <c r="G95" t="s">
        <v>14</v>
      </c>
      <c r="H95">
        <v>199</v>
      </c>
      <c r="I95">
        <v>2</v>
      </c>
      <c r="J95">
        <v>398</v>
      </c>
    </row>
    <row r="96" spans="1:10" x14ac:dyDescent="0.35">
      <c r="A96" s="3" t="s">
        <v>141</v>
      </c>
      <c r="B96" s="4">
        <v>43129</v>
      </c>
      <c r="C96">
        <v>7</v>
      </c>
      <c r="D96" t="s">
        <v>88</v>
      </c>
      <c r="E96" t="s">
        <v>46</v>
      </c>
      <c r="F96" t="s">
        <v>23</v>
      </c>
      <c r="G96" t="s">
        <v>31</v>
      </c>
      <c r="H96">
        <v>69</v>
      </c>
      <c r="I96">
        <v>8</v>
      </c>
      <c r="J96">
        <v>552</v>
      </c>
    </row>
    <row r="97" spans="1:10" x14ac:dyDescent="0.35">
      <c r="A97" s="3" t="s">
        <v>142</v>
      </c>
      <c r="B97" s="4">
        <v>43130</v>
      </c>
      <c r="C97">
        <v>15</v>
      </c>
      <c r="D97" t="s">
        <v>118</v>
      </c>
      <c r="E97" t="s">
        <v>12</v>
      </c>
      <c r="F97" t="s">
        <v>13</v>
      </c>
      <c r="G97" t="s">
        <v>31</v>
      </c>
      <c r="H97">
        <v>69</v>
      </c>
      <c r="I97">
        <v>9</v>
      </c>
      <c r="J97">
        <v>621</v>
      </c>
    </row>
    <row r="98" spans="1:10" x14ac:dyDescent="0.35">
      <c r="A98" s="3" t="s">
        <v>143</v>
      </c>
      <c r="B98" s="4">
        <v>43130</v>
      </c>
      <c r="C98">
        <v>11</v>
      </c>
      <c r="D98" t="s">
        <v>11</v>
      </c>
      <c r="E98" t="s">
        <v>63</v>
      </c>
      <c r="F98" t="s">
        <v>13</v>
      </c>
      <c r="G98" t="s">
        <v>31</v>
      </c>
      <c r="H98">
        <v>69</v>
      </c>
      <c r="I98">
        <v>7</v>
      </c>
      <c r="J98">
        <v>483</v>
      </c>
    </row>
    <row r="99" spans="1:10" x14ac:dyDescent="0.35">
      <c r="A99" s="3" t="s">
        <v>144</v>
      </c>
      <c r="B99" s="4">
        <v>43130</v>
      </c>
      <c r="C99">
        <v>19</v>
      </c>
      <c r="D99" t="s">
        <v>56</v>
      </c>
      <c r="E99" t="s">
        <v>27</v>
      </c>
      <c r="F99" t="s">
        <v>28</v>
      </c>
      <c r="G99" t="s">
        <v>24</v>
      </c>
      <c r="H99">
        <v>159</v>
      </c>
      <c r="I99">
        <v>8</v>
      </c>
      <c r="J99">
        <v>1272</v>
      </c>
    </row>
    <row r="100" spans="1:10" x14ac:dyDescent="0.35">
      <c r="A100" s="3" t="s">
        <v>145</v>
      </c>
      <c r="B100" s="4">
        <v>43130</v>
      </c>
      <c r="C100">
        <v>8</v>
      </c>
      <c r="D100" t="s">
        <v>45</v>
      </c>
      <c r="E100" t="s">
        <v>46</v>
      </c>
      <c r="F100" t="s">
        <v>23</v>
      </c>
      <c r="G100" t="s">
        <v>14</v>
      </c>
      <c r="H100">
        <v>199</v>
      </c>
      <c r="I100">
        <v>9</v>
      </c>
      <c r="J100">
        <v>1791</v>
      </c>
    </row>
    <row r="101" spans="1:10" x14ac:dyDescent="0.35">
      <c r="A101" s="3" t="s">
        <v>146</v>
      </c>
      <c r="B101" s="4">
        <v>43130</v>
      </c>
      <c r="C101">
        <v>12</v>
      </c>
      <c r="D101" t="s">
        <v>66</v>
      </c>
      <c r="E101" t="s">
        <v>12</v>
      </c>
      <c r="F101" t="s">
        <v>13</v>
      </c>
      <c r="G101" t="s">
        <v>14</v>
      </c>
      <c r="H101">
        <v>199</v>
      </c>
      <c r="I101">
        <v>5</v>
      </c>
      <c r="J101">
        <v>995</v>
      </c>
    </row>
    <row r="102" spans="1:10" x14ac:dyDescent="0.35">
      <c r="A102" s="3" t="s">
        <v>147</v>
      </c>
      <c r="B102" s="4">
        <v>43131</v>
      </c>
      <c r="C102">
        <v>18</v>
      </c>
      <c r="D102" t="s">
        <v>26</v>
      </c>
      <c r="E102" t="s">
        <v>27</v>
      </c>
      <c r="F102" t="s">
        <v>28</v>
      </c>
      <c r="G102" t="s">
        <v>31</v>
      </c>
      <c r="H102">
        <v>69</v>
      </c>
      <c r="I102">
        <v>4</v>
      </c>
      <c r="J102">
        <v>276</v>
      </c>
    </row>
    <row r="103" spans="1:10" x14ac:dyDescent="0.35">
      <c r="A103" s="3" t="s">
        <v>148</v>
      </c>
      <c r="B103" s="4">
        <v>43132</v>
      </c>
      <c r="C103">
        <v>10</v>
      </c>
      <c r="D103" t="s">
        <v>58</v>
      </c>
      <c r="E103" t="s">
        <v>22</v>
      </c>
      <c r="F103" t="s">
        <v>23</v>
      </c>
      <c r="G103" t="s">
        <v>31</v>
      </c>
      <c r="H103">
        <v>69</v>
      </c>
      <c r="I103">
        <v>4</v>
      </c>
      <c r="J103">
        <v>276</v>
      </c>
    </row>
    <row r="104" spans="1:10" x14ac:dyDescent="0.35">
      <c r="A104" s="3" t="s">
        <v>149</v>
      </c>
      <c r="B104" s="4">
        <v>43132</v>
      </c>
      <c r="C104">
        <v>20</v>
      </c>
      <c r="D104" t="s">
        <v>40</v>
      </c>
      <c r="E104" t="s">
        <v>36</v>
      </c>
      <c r="F104" t="s">
        <v>28</v>
      </c>
      <c r="G104" t="s">
        <v>31</v>
      </c>
      <c r="H104">
        <v>69</v>
      </c>
      <c r="I104">
        <v>6</v>
      </c>
      <c r="J104">
        <v>414</v>
      </c>
    </row>
    <row r="105" spans="1:10" x14ac:dyDescent="0.35">
      <c r="A105" s="3" t="s">
        <v>150</v>
      </c>
      <c r="B105" s="4">
        <v>43133</v>
      </c>
      <c r="C105">
        <v>4</v>
      </c>
      <c r="D105" t="s">
        <v>51</v>
      </c>
      <c r="E105" t="s">
        <v>68</v>
      </c>
      <c r="F105" t="s">
        <v>18</v>
      </c>
      <c r="G105" t="s">
        <v>41</v>
      </c>
      <c r="H105">
        <v>399</v>
      </c>
      <c r="I105">
        <v>1</v>
      </c>
      <c r="J105">
        <v>399</v>
      </c>
    </row>
    <row r="106" spans="1:10" x14ac:dyDescent="0.35">
      <c r="A106" s="3" t="s">
        <v>151</v>
      </c>
      <c r="B106" s="4">
        <v>43133</v>
      </c>
      <c r="C106">
        <v>11</v>
      </c>
      <c r="D106" t="s">
        <v>11</v>
      </c>
      <c r="E106" t="s">
        <v>12</v>
      </c>
      <c r="F106" t="s">
        <v>13</v>
      </c>
      <c r="G106" t="s">
        <v>24</v>
      </c>
      <c r="H106">
        <v>159</v>
      </c>
      <c r="I106">
        <v>0</v>
      </c>
      <c r="J106">
        <v>0</v>
      </c>
    </row>
    <row r="107" spans="1:10" x14ac:dyDescent="0.35">
      <c r="A107" s="3" t="s">
        <v>152</v>
      </c>
      <c r="B107" s="4">
        <v>43133</v>
      </c>
      <c r="C107">
        <v>2</v>
      </c>
      <c r="D107" t="s">
        <v>106</v>
      </c>
      <c r="E107" t="s">
        <v>68</v>
      </c>
      <c r="F107" t="s">
        <v>18</v>
      </c>
      <c r="G107" t="s">
        <v>24</v>
      </c>
      <c r="H107">
        <v>159</v>
      </c>
      <c r="I107">
        <v>5</v>
      </c>
      <c r="J107">
        <v>795</v>
      </c>
    </row>
    <row r="108" spans="1:10" x14ac:dyDescent="0.35">
      <c r="A108" s="3" t="s">
        <v>153</v>
      </c>
      <c r="B108" s="4">
        <v>43133</v>
      </c>
      <c r="C108">
        <v>7</v>
      </c>
      <c r="D108" t="s">
        <v>88</v>
      </c>
      <c r="E108" t="s">
        <v>22</v>
      </c>
      <c r="F108" t="s">
        <v>23</v>
      </c>
      <c r="G108" t="s">
        <v>24</v>
      </c>
      <c r="H108">
        <v>159</v>
      </c>
      <c r="I108">
        <v>5</v>
      </c>
      <c r="J108">
        <v>795</v>
      </c>
    </row>
    <row r="109" spans="1:10" x14ac:dyDescent="0.35">
      <c r="A109" s="3" t="s">
        <v>154</v>
      </c>
      <c r="B109" s="4">
        <v>43133</v>
      </c>
      <c r="C109">
        <v>15</v>
      </c>
      <c r="D109" t="s">
        <v>118</v>
      </c>
      <c r="E109" t="s">
        <v>63</v>
      </c>
      <c r="F109" t="s">
        <v>13</v>
      </c>
      <c r="G109" t="s">
        <v>41</v>
      </c>
      <c r="H109">
        <v>399</v>
      </c>
      <c r="I109">
        <v>2</v>
      </c>
      <c r="J109">
        <v>798</v>
      </c>
    </row>
    <row r="110" spans="1:10" x14ac:dyDescent="0.35">
      <c r="A110" s="3" t="s">
        <v>155</v>
      </c>
      <c r="B110" s="4">
        <v>43133</v>
      </c>
      <c r="C110">
        <v>20</v>
      </c>
      <c r="D110" t="s">
        <v>40</v>
      </c>
      <c r="E110" t="s">
        <v>27</v>
      </c>
      <c r="F110" t="s">
        <v>28</v>
      </c>
      <c r="G110" t="s">
        <v>24</v>
      </c>
      <c r="H110">
        <v>159</v>
      </c>
      <c r="I110">
        <v>7</v>
      </c>
      <c r="J110">
        <v>1113</v>
      </c>
    </row>
    <row r="111" spans="1:10" x14ac:dyDescent="0.35">
      <c r="A111" s="3" t="s">
        <v>156</v>
      </c>
      <c r="B111" s="4">
        <v>43134</v>
      </c>
      <c r="C111">
        <v>16</v>
      </c>
      <c r="D111" t="s">
        <v>30</v>
      </c>
      <c r="E111" t="s">
        <v>27</v>
      </c>
      <c r="F111" t="s">
        <v>28</v>
      </c>
      <c r="G111" t="s">
        <v>14</v>
      </c>
      <c r="H111">
        <v>199</v>
      </c>
      <c r="I111">
        <v>6</v>
      </c>
      <c r="J111">
        <v>1194</v>
      </c>
    </row>
    <row r="112" spans="1:10" x14ac:dyDescent="0.35">
      <c r="A112" s="3" t="s">
        <v>157</v>
      </c>
      <c r="B112" s="4">
        <v>43134</v>
      </c>
      <c r="C112">
        <v>19</v>
      </c>
      <c r="D112" t="s">
        <v>56</v>
      </c>
      <c r="E112" t="s">
        <v>36</v>
      </c>
      <c r="F112" t="s">
        <v>28</v>
      </c>
      <c r="G112" t="s">
        <v>41</v>
      </c>
      <c r="H112">
        <v>399</v>
      </c>
      <c r="I112">
        <v>6</v>
      </c>
      <c r="J112">
        <v>2394</v>
      </c>
    </row>
    <row r="113" spans="1:10" x14ac:dyDescent="0.35">
      <c r="A113" s="3" t="s">
        <v>158</v>
      </c>
      <c r="B113" s="4">
        <v>43135</v>
      </c>
      <c r="C113">
        <v>1</v>
      </c>
      <c r="D113" t="s">
        <v>16</v>
      </c>
      <c r="E113" t="s">
        <v>17</v>
      </c>
      <c r="F113" t="s">
        <v>18</v>
      </c>
      <c r="G113" t="s">
        <v>41</v>
      </c>
      <c r="H113">
        <v>399</v>
      </c>
      <c r="I113">
        <v>2</v>
      </c>
      <c r="J113">
        <v>798</v>
      </c>
    </row>
    <row r="114" spans="1:10" x14ac:dyDescent="0.35">
      <c r="A114" s="3" t="s">
        <v>159</v>
      </c>
      <c r="B114" s="4">
        <v>43136</v>
      </c>
      <c r="C114">
        <v>17</v>
      </c>
      <c r="D114" t="s">
        <v>35</v>
      </c>
      <c r="E114" t="s">
        <v>27</v>
      </c>
      <c r="F114" t="s">
        <v>28</v>
      </c>
      <c r="G114" t="s">
        <v>41</v>
      </c>
      <c r="H114">
        <v>399</v>
      </c>
      <c r="I114">
        <v>5</v>
      </c>
      <c r="J114">
        <v>1995</v>
      </c>
    </row>
    <row r="115" spans="1:10" x14ac:dyDescent="0.35">
      <c r="A115" s="3" t="s">
        <v>160</v>
      </c>
      <c r="B115" s="4">
        <v>43136</v>
      </c>
      <c r="C115">
        <v>9</v>
      </c>
      <c r="D115" t="s">
        <v>21</v>
      </c>
      <c r="E115" t="s">
        <v>22</v>
      </c>
      <c r="F115" t="s">
        <v>23</v>
      </c>
      <c r="G115" t="s">
        <v>24</v>
      </c>
      <c r="H115">
        <v>159</v>
      </c>
      <c r="I115">
        <v>4</v>
      </c>
      <c r="J115">
        <v>636</v>
      </c>
    </row>
    <row r="116" spans="1:10" x14ac:dyDescent="0.35">
      <c r="A116" s="3" t="s">
        <v>161</v>
      </c>
      <c r="B116" s="4">
        <v>43136</v>
      </c>
      <c r="C116">
        <v>2</v>
      </c>
      <c r="D116" t="s">
        <v>106</v>
      </c>
      <c r="E116" t="s">
        <v>68</v>
      </c>
      <c r="F116" t="s">
        <v>18</v>
      </c>
      <c r="G116" t="s">
        <v>31</v>
      </c>
      <c r="H116">
        <v>69</v>
      </c>
      <c r="I116">
        <v>7</v>
      </c>
      <c r="J116">
        <v>483</v>
      </c>
    </row>
    <row r="117" spans="1:10" x14ac:dyDescent="0.35">
      <c r="A117" s="3" t="s">
        <v>162</v>
      </c>
      <c r="B117" s="4">
        <v>43136</v>
      </c>
      <c r="C117">
        <v>14</v>
      </c>
      <c r="D117" t="s">
        <v>38</v>
      </c>
      <c r="E117" t="s">
        <v>12</v>
      </c>
      <c r="F117" t="s">
        <v>13</v>
      </c>
      <c r="G117" t="s">
        <v>31</v>
      </c>
      <c r="H117">
        <v>69</v>
      </c>
      <c r="I117">
        <v>7</v>
      </c>
      <c r="J117">
        <v>483</v>
      </c>
    </row>
    <row r="118" spans="1:10" x14ac:dyDescent="0.35">
      <c r="A118" s="3" t="s">
        <v>163</v>
      </c>
      <c r="B118" s="4">
        <v>43136</v>
      </c>
      <c r="C118">
        <v>14</v>
      </c>
      <c r="D118" t="s">
        <v>38</v>
      </c>
      <c r="E118" t="s">
        <v>12</v>
      </c>
      <c r="F118" t="s">
        <v>13</v>
      </c>
      <c r="G118" t="s">
        <v>41</v>
      </c>
      <c r="H118">
        <v>399</v>
      </c>
      <c r="I118">
        <v>7</v>
      </c>
      <c r="J118">
        <v>2793</v>
      </c>
    </row>
    <row r="119" spans="1:10" x14ac:dyDescent="0.35">
      <c r="A119" s="3" t="s">
        <v>164</v>
      </c>
      <c r="B119" s="4">
        <v>43137</v>
      </c>
      <c r="C119">
        <v>5</v>
      </c>
      <c r="D119" t="s">
        <v>60</v>
      </c>
      <c r="E119" t="s">
        <v>17</v>
      </c>
      <c r="F119" t="s">
        <v>18</v>
      </c>
      <c r="G119" t="s">
        <v>19</v>
      </c>
      <c r="H119">
        <v>289</v>
      </c>
      <c r="I119">
        <v>2</v>
      </c>
      <c r="J119">
        <v>578</v>
      </c>
    </row>
    <row r="120" spans="1:10" x14ac:dyDescent="0.35">
      <c r="A120" s="3" t="s">
        <v>165</v>
      </c>
      <c r="B120" s="4">
        <v>43137</v>
      </c>
      <c r="C120">
        <v>5</v>
      </c>
      <c r="D120" t="s">
        <v>60</v>
      </c>
      <c r="E120" t="s">
        <v>17</v>
      </c>
      <c r="F120" t="s">
        <v>18</v>
      </c>
      <c r="G120" t="s">
        <v>14</v>
      </c>
      <c r="H120">
        <v>199</v>
      </c>
      <c r="I120">
        <v>2</v>
      </c>
      <c r="J120">
        <v>398</v>
      </c>
    </row>
    <row r="121" spans="1:10" x14ac:dyDescent="0.35">
      <c r="A121" s="3" t="s">
        <v>166</v>
      </c>
      <c r="B121" s="4">
        <v>43137</v>
      </c>
      <c r="C121">
        <v>14</v>
      </c>
      <c r="D121" t="s">
        <v>38</v>
      </c>
      <c r="E121" t="s">
        <v>12</v>
      </c>
      <c r="F121" t="s">
        <v>13</v>
      </c>
      <c r="G121" t="s">
        <v>24</v>
      </c>
      <c r="H121">
        <v>159</v>
      </c>
      <c r="I121">
        <v>3</v>
      </c>
      <c r="J121">
        <v>477</v>
      </c>
    </row>
    <row r="122" spans="1:10" x14ac:dyDescent="0.35">
      <c r="A122" s="3" t="s">
        <v>167</v>
      </c>
      <c r="B122" s="4">
        <v>43138</v>
      </c>
      <c r="C122">
        <v>15</v>
      </c>
      <c r="D122" t="s">
        <v>118</v>
      </c>
      <c r="E122" t="s">
        <v>12</v>
      </c>
      <c r="F122" t="s">
        <v>13</v>
      </c>
      <c r="G122" t="s">
        <v>14</v>
      </c>
      <c r="H122">
        <v>199</v>
      </c>
      <c r="I122">
        <v>3</v>
      </c>
      <c r="J122">
        <v>597</v>
      </c>
    </row>
    <row r="123" spans="1:10" x14ac:dyDescent="0.35">
      <c r="A123" s="3" t="s">
        <v>168</v>
      </c>
      <c r="B123" s="4">
        <v>43139</v>
      </c>
      <c r="C123">
        <v>8</v>
      </c>
      <c r="D123" t="s">
        <v>45</v>
      </c>
      <c r="E123" t="s">
        <v>46</v>
      </c>
      <c r="F123" t="s">
        <v>23</v>
      </c>
      <c r="G123" t="s">
        <v>31</v>
      </c>
      <c r="H123">
        <v>69</v>
      </c>
      <c r="I123">
        <v>6</v>
      </c>
      <c r="J123">
        <v>414</v>
      </c>
    </row>
    <row r="124" spans="1:10" x14ac:dyDescent="0.35">
      <c r="A124" s="3" t="s">
        <v>169</v>
      </c>
      <c r="B124" s="4">
        <v>43139</v>
      </c>
      <c r="C124">
        <v>2</v>
      </c>
      <c r="D124" t="s">
        <v>106</v>
      </c>
      <c r="E124" t="s">
        <v>17</v>
      </c>
      <c r="F124" t="s">
        <v>18</v>
      </c>
      <c r="G124" t="s">
        <v>19</v>
      </c>
      <c r="H124">
        <v>289</v>
      </c>
      <c r="I124">
        <v>6</v>
      </c>
      <c r="J124">
        <v>1734</v>
      </c>
    </row>
    <row r="125" spans="1:10" x14ac:dyDescent="0.35">
      <c r="A125" s="3" t="s">
        <v>170</v>
      </c>
      <c r="B125" s="4">
        <v>43139</v>
      </c>
      <c r="C125">
        <v>4</v>
      </c>
      <c r="D125" t="s">
        <v>51</v>
      </c>
      <c r="E125" t="s">
        <v>68</v>
      </c>
      <c r="F125" t="s">
        <v>18</v>
      </c>
      <c r="G125" t="s">
        <v>19</v>
      </c>
      <c r="H125">
        <v>289</v>
      </c>
      <c r="I125">
        <v>7</v>
      </c>
      <c r="J125">
        <v>2023</v>
      </c>
    </row>
    <row r="126" spans="1:10" x14ac:dyDescent="0.35">
      <c r="A126" s="3" t="s">
        <v>171</v>
      </c>
      <c r="B126" s="4">
        <v>43139</v>
      </c>
      <c r="C126">
        <v>10</v>
      </c>
      <c r="D126" t="s">
        <v>58</v>
      </c>
      <c r="E126" t="s">
        <v>22</v>
      </c>
      <c r="F126" t="s">
        <v>23</v>
      </c>
      <c r="G126" t="s">
        <v>24</v>
      </c>
      <c r="H126">
        <v>159</v>
      </c>
      <c r="I126">
        <v>0</v>
      </c>
      <c r="J126">
        <v>0</v>
      </c>
    </row>
    <row r="127" spans="1:10" x14ac:dyDescent="0.35">
      <c r="A127" s="3" t="s">
        <v>172</v>
      </c>
      <c r="B127" s="4">
        <v>43139</v>
      </c>
      <c r="C127">
        <v>18</v>
      </c>
      <c r="D127" t="s">
        <v>26</v>
      </c>
      <c r="E127" t="s">
        <v>27</v>
      </c>
      <c r="F127" t="s">
        <v>28</v>
      </c>
      <c r="G127" t="s">
        <v>41</v>
      </c>
      <c r="H127">
        <v>399</v>
      </c>
      <c r="I127">
        <v>4</v>
      </c>
      <c r="J127">
        <v>1596</v>
      </c>
    </row>
    <row r="128" spans="1:10" x14ac:dyDescent="0.35">
      <c r="A128" s="3" t="s">
        <v>173</v>
      </c>
      <c r="B128" s="4">
        <v>43139</v>
      </c>
      <c r="C128">
        <v>8</v>
      </c>
      <c r="D128" t="s">
        <v>45</v>
      </c>
      <c r="E128" t="s">
        <v>46</v>
      </c>
      <c r="F128" t="s">
        <v>23</v>
      </c>
      <c r="G128" t="s">
        <v>24</v>
      </c>
      <c r="H128">
        <v>159</v>
      </c>
      <c r="I128">
        <v>4</v>
      </c>
      <c r="J128">
        <v>636</v>
      </c>
    </row>
    <row r="129" spans="1:10" x14ac:dyDescent="0.35">
      <c r="A129" s="3" t="s">
        <v>174</v>
      </c>
      <c r="B129" s="4">
        <v>43140</v>
      </c>
      <c r="C129">
        <v>11</v>
      </c>
      <c r="D129" t="s">
        <v>11</v>
      </c>
      <c r="E129" t="s">
        <v>63</v>
      </c>
      <c r="F129" t="s">
        <v>13</v>
      </c>
      <c r="G129" t="s">
        <v>14</v>
      </c>
      <c r="H129">
        <v>199</v>
      </c>
      <c r="I129">
        <v>0</v>
      </c>
      <c r="J129">
        <v>0</v>
      </c>
    </row>
    <row r="130" spans="1:10" x14ac:dyDescent="0.35">
      <c r="A130" s="3" t="s">
        <v>175</v>
      </c>
      <c r="B130" s="4">
        <v>43141</v>
      </c>
      <c r="C130">
        <v>6</v>
      </c>
      <c r="D130" t="s">
        <v>48</v>
      </c>
      <c r="E130" t="s">
        <v>22</v>
      </c>
      <c r="F130" t="s">
        <v>23</v>
      </c>
      <c r="G130" t="s">
        <v>14</v>
      </c>
      <c r="H130">
        <v>199</v>
      </c>
      <c r="I130">
        <v>8</v>
      </c>
      <c r="J130">
        <v>1592</v>
      </c>
    </row>
    <row r="131" spans="1:10" x14ac:dyDescent="0.35">
      <c r="A131" s="3" t="s">
        <v>176</v>
      </c>
      <c r="B131" s="4">
        <v>43142</v>
      </c>
      <c r="C131">
        <v>16</v>
      </c>
      <c r="D131" t="s">
        <v>30</v>
      </c>
      <c r="E131" t="s">
        <v>27</v>
      </c>
      <c r="F131" t="s">
        <v>28</v>
      </c>
      <c r="G131" t="s">
        <v>14</v>
      </c>
      <c r="H131">
        <v>199</v>
      </c>
      <c r="I131">
        <v>0</v>
      </c>
      <c r="J131">
        <v>0</v>
      </c>
    </row>
    <row r="132" spans="1:10" x14ac:dyDescent="0.35">
      <c r="A132" s="3" t="s">
        <v>177</v>
      </c>
      <c r="B132" s="4">
        <v>43142</v>
      </c>
      <c r="C132">
        <v>10</v>
      </c>
      <c r="D132" t="s">
        <v>58</v>
      </c>
      <c r="E132" t="s">
        <v>22</v>
      </c>
      <c r="F132" t="s">
        <v>23</v>
      </c>
      <c r="G132" t="s">
        <v>41</v>
      </c>
      <c r="H132">
        <v>399</v>
      </c>
      <c r="I132">
        <v>3</v>
      </c>
      <c r="J132">
        <v>1197</v>
      </c>
    </row>
    <row r="133" spans="1:10" x14ac:dyDescent="0.35">
      <c r="A133" s="3" t="s">
        <v>178</v>
      </c>
      <c r="B133" s="4">
        <v>43142</v>
      </c>
      <c r="C133">
        <v>7</v>
      </c>
      <c r="D133" t="s">
        <v>88</v>
      </c>
      <c r="E133" t="s">
        <v>22</v>
      </c>
      <c r="F133" t="s">
        <v>23</v>
      </c>
      <c r="G133" t="s">
        <v>24</v>
      </c>
      <c r="H133">
        <v>159</v>
      </c>
      <c r="I133">
        <v>9</v>
      </c>
      <c r="J133">
        <v>1431</v>
      </c>
    </row>
    <row r="134" spans="1:10" x14ac:dyDescent="0.35">
      <c r="A134" s="3" t="s">
        <v>179</v>
      </c>
      <c r="B134" s="4">
        <v>43142</v>
      </c>
      <c r="C134">
        <v>12</v>
      </c>
      <c r="D134" t="s">
        <v>66</v>
      </c>
      <c r="E134" t="s">
        <v>12</v>
      </c>
      <c r="F134" t="s">
        <v>13</v>
      </c>
      <c r="G134" t="s">
        <v>41</v>
      </c>
      <c r="H134">
        <v>399</v>
      </c>
      <c r="I134">
        <v>9</v>
      </c>
      <c r="J134">
        <v>3591</v>
      </c>
    </row>
    <row r="135" spans="1:10" x14ac:dyDescent="0.35">
      <c r="A135" s="3" t="s">
        <v>180</v>
      </c>
      <c r="B135" s="4">
        <v>43143</v>
      </c>
      <c r="C135">
        <v>13</v>
      </c>
      <c r="D135" t="s">
        <v>33</v>
      </c>
      <c r="E135" t="s">
        <v>12</v>
      </c>
      <c r="F135" t="s">
        <v>13</v>
      </c>
      <c r="G135" t="s">
        <v>24</v>
      </c>
      <c r="H135">
        <v>159</v>
      </c>
      <c r="I135">
        <v>7</v>
      </c>
      <c r="J135">
        <v>1113</v>
      </c>
    </row>
    <row r="136" spans="1:10" x14ac:dyDescent="0.35">
      <c r="A136" s="3" t="s">
        <v>181</v>
      </c>
      <c r="B136" s="4">
        <v>43143</v>
      </c>
      <c r="C136">
        <v>16</v>
      </c>
      <c r="D136" t="s">
        <v>30</v>
      </c>
      <c r="E136" t="s">
        <v>27</v>
      </c>
      <c r="F136" t="s">
        <v>28</v>
      </c>
      <c r="G136" t="s">
        <v>31</v>
      </c>
      <c r="H136">
        <v>69</v>
      </c>
      <c r="I136">
        <v>5</v>
      </c>
      <c r="J136">
        <v>345</v>
      </c>
    </row>
    <row r="137" spans="1:10" x14ac:dyDescent="0.35">
      <c r="A137" s="3" t="s">
        <v>182</v>
      </c>
      <c r="B137" s="4">
        <v>43144</v>
      </c>
      <c r="C137">
        <v>6</v>
      </c>
      <c r="D137" t="s">
        <v>48</v>
      </c>
      <c r="E137" t="s">
        <v>46</v>
      </c>
      <c r="F137" t="s">
        <v>23</v>
      </c>
      <c r="G137" t="s">
        <v>14</v>
      </c>
      <c r="H137">
        <v>199</v>
      </c>
      <c r="I137">
        <v>9</v>
      </c>
      <c r="J137">
        <v>1791</v>
      </c>
    </row>
    <row r="138" spans="1:10" x14ac:dyDescent="0.35">
      <c r="A138" s="3" t="s">
        <v>183</v>
      </c>
      <c r="B138" s="4">
        <v>43144</v>
      </c>
      <c r="C138">
        <v>12</v>
      </c>
      <c r="D138" t="s">
        <v>66</v>
      </c>
      <c r="E138" t="s">
        <v>63</v>
      </c>
      <c r="F138" t="s">
        <v>13</v>
      </c>
      <c r="G138" t="s">
        <v>41</v>
      </c>
      <c r="H138">
        <v>399</v>
      </c>
      <c r="I138">
        <v>3</v>
      </c>
      <c r="J138">
        <v>1197</v>
      </c>
    </row>
    <row r="139" spans="1:10" x14ac:dyDescent="0.35">
      <c r="A139" s="3" t="s">
        <v>184</v>
      </c>
      <c r="B139" s="4">
        <v>43144</v>
      </c>
      <c r="C139">
        <v>14</v>
      </c>
      <c r="D139" t="s">
        <v>38</v>
      </c>
      <c r="E139" t="s">
        <v>63</v>
      </c>
      <c r="F139" t="s">
        <v>13</v>
      </c>
      <c r="G139" t="s">
        <v>41</v>
      </c>
      <c r="H139">
        <v>399</v>
      </c>
      <c r="I139">
        <v>3</v>
      </c>
      <c r="J139">
        <v>1197</v>
      </c>
    </row>
    <row r="140" spans="1:10" x14ac:dyDescent="0.35">
      <c r="A140" s="3" t="s">
        <v>185</v>
      </c>
      <c r="B140" s="4">
        <v>43144</v>
      </c>
      <c r="C140">
        <v>13</v>
      </c>
      <c r="D140" t="s">
        <v>33</v>
      </c>
      <c r="E140" t="s">
        <v>12</v>
      </c>
      <c r="F140" t="s">
        <v>13</v>
      </c>
      <c r="G140" t="s">
        <v>31</v>
      </c>
      <c r="H140">
        <v>69</v>
      </c>
      <c r="I140">
        <v>4</v>
      </c>
      <c r="J140">
        <v>276</v>
      </c>
    </row>
    <row r="141" spans="1:10" x14ac:dyDescent="0.35">
      <c r="A141" s="3" t="s">
        <v>186</v>
      </c>
      <c r="B141" s="4">
        <v>43144</v>
      </c>
      <c r="C141">
        <v>15</v>
      </c>
      <c r="D141" t="s">
        <v>118</v>
      </c>
      <c r="E141" t="s">
        <v>63</v>
      </c>
      <c r="F141" t="s">
        <v>13</v>
      </c>
      <c r="G141" t="s">
        <v>41</v>
      </c>
      <c r="H141">
        <v>399</v>
      </c>
      <c r="I141">
        <v>8</v>
      </c>
      <c r="J141">
        <v>3192</v>
      </c>
    </row>
    <row r="142" spans="1:10" x14ac:dyDescent="0.35">
      <c r="A142" s="3" t="s">
        <v>187</v>
      </c>
      <c r="B142" s="4">
        <v>43144</v>
      </c>
      <c r="C142">
        <v>10</v>
      </c>
      <c r="D142" t="s">
        <v>58</v>
      </c>
      <c r="E142" t="s">
        <v>22</v>
      </c>
      <c r="F142" t="s">
        <v>23</v>
      </c>
      <c r="G142" t="s">
        <v>24</v>
      </c>
      <c r="H142">
        <v>159</v>
      </c>
      <c r="I142">
        <v>8</v>
      </c>
      <c r="J142">
        <v>1272</v>
      </c>
    </row>
    <row r="143" spans="1:10" x14ac:dyDescent="0.35">
      <c r="A143" s="3" t="s">
        <v>188</v>
      </c>
      <c r="B143" s="4">
        <v>43144</v>
      </c>
      <c r="C143">
        <v>10</v>
      </c>
      <c r="D143" t="s">
        <v>58</v>
      </c>
      <c r="E143" t="s">
        <v>22</v>
      </c>
      <c r="F143" t="s">
        <v>23</v>
      </c>
      <c r="G143" t="s">
        <v>19</v>
      </c>
      <c r="H143">
        <v>289</v>
      </c>
      <c r="I143">
        <v>4</v>
      </c>
      <c r="J143">
        <v>1156</v>
      </c>
    </row>
    <row r="144" spans="1:10" x14ac:dyDescent="0.35">
      <c r="A144" s="3" t="s">
        <v>189</v>
      </c>
      <c r="B144" s="4">
        <v>43144</v>
      </c>
      <c r="C144">
        <v>7</v>
      </c>
      <c r="D144" t="s">
        <v>88</v>
      </c>
      <c r="E144" t="s">
        <v>46</v>
      </c>
      <c r="F144" t="s">
        <v>23</v>
      </c>
      <c r="G144" t="s">
        <v>19</v>
      </c>
      <c r="H144">
        <v>289</v>
      </c>
      <c r="I144">
        <v>5</v>
      </c>
      <c r="J144">
        <v>1445</v>
      </c>
    </row>
    <row r="145" spans="1:10" x14ac:dyDescent="0.35">
      <c r="A145" s="3" t="s">
        <v>190</v>
      </c>
      <c r="B145" s="4">
        <v>43144</v>
      </c>
      <c r="C145">
        <v>13</v>
      </c>
      <c r="D145" t="s">
        <v>33</v>
      </c>
      <c r="E145" t="s">
        <v>63</v>
      </c>
      <c r="F145" t="s">
        <v>13</v>
      </c>
      <c r="G145" t="s">
        <v>24</v>
      </c>
      <c r="H145">
        <v>159</v>
      </c>
      <c r="I145">
        <v>2</v>
      </c>
      <c r="J145">
        <v>318</v>
      </c>
    </row>
    <row r="146" spans="1:10" x14ac:dyDescent="0.35">
      <c r="A146" s="3" t="s">
        <v>191</v>
      </c>
      <c r="B146" s="4">
        <v>43144</v>
      </c>
      <c r="C146">
        <v>6</v>
      </c>
      <c r="D146" t="s">
        <v>48</v>
      </c>
      <c r="E146" t="s">
        <v>22</v>
      </c>
      <c r="F146" t="s">
        <v>23</v>
      </c>
      <c r="G146" t="s">
        <v>14</v>
      </c>
      <c r="H146">
        <v>199</v>
      </c>
      <c r="I146">
        <v>6</v>
      </c>
      <c r="J146">
        <v>1194</v>
      </c>
    </row>
    <row r="147" spans="1:10" x14ac:dyDescent="0.35">
      <c r="A147" s="3" t="s">
        <v>192</v>
      </c>
      <c r="B147" s="4">
        <v>43144</v>
      </c>
      <c r="C147">
        <v>8</v>
      </c>
      <c r="D147" t="s">
        <v>45</v>
      </c>
      <c r="E147" t="s">
        <v>46</v>
      </c>
      <c r="F147" t="s">
        <v>23</v>
      </c>
      <c r="G147" t="s">
        <v>14</v>
      </c>
      <c r="H147">
        <v>199</v>
      </c>
      <c r="I147">
        <v>2</v>
      </c>
      <c r="J147">
        <v>398</v>
      </c>
    </row>
    <row r="148" spans="1:10" x14ac:dyDescent="0.35">
      <c r="A148" s="3" t="s">
        <v>193</v>
      </c>
      <c r="B148" s="4">
        <v>43144</v>
      </c>
      <c r="C148">
        <v>13</v>
      </c>
      <c r="D148" t="s">
        <v>33</v>
      </c>
      <c r="E148" t="s">
        <v>63</v>
      </c>
      <c r="F148" t="s">
        <v>13</v>
      </c>
      <c r="G148" t="s">
        <v>24</v>
      </c>
      <c r="H148">
        <v>159</v>
      </c>
      <c r="I148">
        <v>5</v>
      </c>
      <c r="J148">
        <v>795</v>
      </c>
    </row>
    <row r="149" spans="1:10" x14ac:dyDescent="0.35">
      <c r="A149" s="3" t="s">
        <v>194</v>
      </c>
      <c r="B149" s="4">
        <v>43144</v>
      </c>
      <c r="C149">
        <v>2</v>
      </c>
      <c r="D149" t="s">
        <v>106</v>
      </c>
      <c r="E149" t="s">
        <v>68</v>
      </c>
      <c r="F149" t="s">
        <v>18</v>
      </c>
      <c r="G149" t="s">
        <v>41</v>
      </c>
      <c r="H149">
        <v>399</v>
      </c>
      <c r="I149">
        <v>2</v>
      </c>
      <c r="J149">
        <v>798</v>
      </c>
    </row>
    <row r="150" spans="1:10" x14ac:dyDescent="0.35">
      <c r="A150" s="3" t="s">
        <v>195</v>
      </c>
      <c r="B150" s="4">
        <v>43144</v>
      </c>
      <c r="C150">
        <v>12</v>
      </c>
      <c r="D150" t="s">
        <v>66</v>
      </c>
      <c r="E150" t="s">
        <v>63</v>
      </c>
      <c r="F150" t="s">
        <v>13</v>
      </c>
      <c r="G150" t="s">
        <v>19</v>
      </c>
      <c r="H150">
        <v>289</v>
      </c>
      <c r="I150">
        <v>8</v>
      </c>
      <c r="J150">
        <v>2312</v>
      </c>
    </row>
    <row r="151" spans="1:10" x14ac:dyDescent="0.35">
      <c r="A151" s="3" t="s">
        <v>196</v>
      </c>
      <c r="B151" s="4">
        <v>43144</v>
      </c>
      <c r="C151">
        <v>8</v>
      </c>
      <c r="D151" t="s">
        <v>45</v>
      </c>
      <c r="E151" t="s">
        <v>46</v>
      </c>
      <c r="F151" t="s">
        <v>23</v>
      </c>
      <c r="G151" t="s">
        <v>14</v>
      </c>
      <c r="H151">
        <v>199</v>
      </c>
      <c r="I151">
        <v>1</v>
      </c>
      <c r="J151">
        <v>199</v>
      </c>
    </row>
    <row r="152" spans="1:10" x14ac:dyDescent="0.35">
      <c r="A152" s="3" t="s">
        <v>197</v>
      </c>
      <c r="B152" s="4">
        <v>43144</v>
      </c>
      <c r="C152">
        <v>20</v>
      </c>
      <c r="D152" t="s">
        <v>40</v>
      </c>
      <c r="E152" t="s">
        <v>27</v>
      </c>
      <c r="F152" t="s">
        <v>28</v>
      </c>
      <c r="G152" t="s">
        <v>14</v>
      </c>
      <c r="H152">
        <v>199</v>
      </c>
      <c r="I152">
        <v>8</v>
      </c>
      <c r="J152">
        <v>1592</v>
      </c>
    </row>
    <row r="153" spans="1:10" x14ac:dyDescent="0.35">
      <c r="A153" s="3" t="s">
        <v>198</v>
      </c>
      <c r="B153" s="4">
        <v>43144</v>
      </c>
      <c r="C153">
        <v>12</v>
      </c>
      <c r="D153" t="s">
        <v>66</v>
      </c>
      <c r="E153" t="s">
        <v>12</v>
      </c>
      <c r="F153" t="s">
        <v>13</v>
      </c>
      <c r="G153" t="s">
        <v>24</v>
      </c>
      <c r="H153">
        <v>159</v>
      </c>
      <c r="I153">
        <v>6</v>
      </c>
      <c r="J153">
        <v>954</v>
      </c>
    </row>
    <row r="154" spans="1:10" x14ac:dyDescent="0.35">
      <c r="A154" s="3" t="s">
        <v>199</v>
      </c>
      <c r="B154" s="4">
        <v>43144</v>
      </c>
      <c r="C154">
        <v>2</v>
      </c>
      <c r="D154" t="s">
        <v>106</v>
      </c>
      <c r="E154" t="s">
        <v>68</v>
      </c>
      <c r="F154" t="s">
        <v>18</v>
      </c>
      <c r="G154" t="s">
        <v>19</v>
      </c>
      <c r="H154">
        <v>289</v>
      </c>
      <c r="I154">
        <v>2</v>
      </c>
      <c r="J154">
        <v>578</v>
      </c>
    </row>
    <row r="155" spans="1:10" x14ac:dyDescent="0.35">
      <c r="A155" s="3" t="s">
        <v>200</v>
      </c>
      <c r="B155" s="4">
        <v>43145</v>
      </c>
      <c r="C155">
        <v>8</v>
      </c>
      <c r="D155" t="s">
        <v>45</v>
      </c>
      <c r="E155" t="s">
        <v>22</v>
      </c>
      <c r="F155" t="s">
        <v>23</v>
      </c>
      <c r="G155" t="s">
        <v>31</v>
      </c>
      <c r="H155">
        <v>69</v>
      </c>
      <c r="I155">
        <v>8</v>
      </c>
      <c r="J155">
        <v>552</v>
      </c>
    </row>
    <row r="156" spans="1:10" x14ac:dyDescent="0.35">
      <c r="A156" s="3" t="s">
        <v>201</v>
      </c>
      <c r="B156" s="4">
        <v>43146</v>
      </c>
      <c r="C156">
        <v>15</v>
      </c>
      <c r="D156" t="s">
        <v>118</v>
      </c>
      <c r="E156" t="s">
        <v>12</v>
      </c>
      <c r="F156" t="s">
        <v>13</v>
      </c>
      <c r="G156" t="s">
        <v>14</v>
      </c>
      <c r="H156">
        <v>199</v>
      </c>
      <c r="I156">
        <v>9</v>
      </c>
      <c r="J156">
        <v>1791</v>
      </c>
    </row>
    <row r="157" spans="1:10" x14ac:dyDescent="0.35">
      <c r="A157" s="3" t="s">
        <v>202</v>
      </c>
      <c r="B157" s="4">
        <v>43146</v>
      </c>
      <c r="C157">
        <v>18</v>
      </c>
      <c r="D157" t="s">
        <v>26</v>
      </c>
      <c r="E157" t="s">
        <v>36</v>
      </c>
      <c r="F157" t="s">
        <v>28</v>
      </c>
      <c r="G157" t="s">
        <v>24</v>
      </c>
      <c r="H157">
        <v>159</v>
      </c>
      <c r="I157">
        <v>4</v>
      </c>
      <c r="J157">
        <v>636</v>
      </c>
    </row>
    <row r="158" spans="1:10" x14ac:dyDescent="0.35">
      <c r="A158" s="3" t="s">
        <v>203</v>
      </c>
      <c r="B158" s="4">
        <v>43147</v>
      </c>
      <c r="C158">
        <v>13</v>
      </c>
      <c r="D158" t="s">
        <v>33</v>
      </c>
      <c r="E158" t="s">
        <v>12</v>
      </c>
      <c r="F158" t="s">
        <v>13</v>
      </c>
      <c r="G158" t="s">
        <v>19</v>
      </c>
      <c r="H158">
        <v>289</v>
      </c>
      <c r="I158">
        <v>3</v>
      </c>
      <c r="J158">
        <v>867</v>
      </c>
    </row>
    <row r="159" spans="1:10" x14ac:dyDescent="0.35">
      <c r="A159" s="3" t="s">
        <v>204</v>
      </c>
      <c r="B159" s="4">
        <v>43147</v>
      </c>
      <c r="C159">
        <v>11</v>
      </c>
      <c r="D159" t="s">
        <v>11</v>
      </c>
      <c r="E159" t="s">
        <v>63</v>
      </c>
      <c r="F159" t="s">
        <v>13</v>
      </c>
      <c r="G159" t="s">
        <v>14</v>
      </c>
      <c r="H159">
        <v>199</v>
      </c>
      <c r="I159">
        <v>4</v>
      </c>
      <c r="J159">
        <v>796</v>
      </c>
    </row>
    <row r="160" spans="1:10" x14ac:dyDescent="0.35">
      <c r="A160" s="3" t="s">
        <v>205</v>
      </c>
      <c r="B160" s="4">
        <v>43147</v>
      </c>
      <c r="C160">
        <v>20</v>
      </c>
      <c r="D160" t="s">
        <v>40</v>
      </c>
      <c r="E160" t="s">
        <v>27</v>
      </c>
      <c r="F160" t="s">
        <v>28</v>
      </c>
      <c r="G160" t="s">
        <v>24</v>
      </c>
      <c r="H160">
        <v>159</v>
      </c>
      <c r="I160">
        <v>6</v>
      </c>
      <c r="J160">
        <v>954</v>
      </c>
    </row>
    <row r="161" spans="1:10" x14ac:dyDescent="0.35">
      <c r="A161" s="3" t="s">
        <v>206</v>
      </c>
      <c r="B161" s="4">
        <v>43147</v>
      </c>
      <c r="C161">
        <v>1</v>
      </c>
      <c r="D161" t="s">
        <v>16</v>
      </c>
      <c r="E161" t="s">
        <v>17</v>
      </c>
      <c r="F161" t="s">
        <v>18</v>
      </c>
      <c r="G161" t="s">
        <v>14</v>
      </c>
      <c r="H161">
        <v>199</v>
      </c>
      <c r="I161">
        <v>9</v>
      </c>
      <c r="J161">
        <v>1791</v>
      </c>
    </row>
    <row r="162" spans="1:10" x14ac:dyDescent="0.35">
      <c r="A162" s="3" t="s">
        <v>207</v>
      </c>
      <c r="B162" s="4">
        <v>43147</v>
      </c>
      <c r="C162">
        <v>8</v>
      </c>
      <c r="D162" t="s">
        <v>45</v>
      </c>
      <c r="E162" t="s">
        <v>46</v>
      </c>
      <c r="F162" t="s">
        <v>23</v>
      </c>
      <c r="G162" t="s">
        <v>14</v>
      </c>
      <c r="H162">
        <v>199</v>
      </c>
      <c r="I162">
        <v>2</v>
      </c>
      <c r="J162">
        <v>398</v>
      </c>
    </row>
    <row r="163" spans="1:10" x14ac:dyDescent="0.35">
      <c r="A163" s="3" t="s">
        <v>208</v>
      </c>
      <c r="B163" s="4">
        <v>43147</v>
      </c>
      <c r="C163">
        <v>15</v>
      </c>
      <c r="D163" t="s">
        <v>118</v>
      </c>
      <c r="E163" t="s">
        <v>63</v>
      </c>
      <c r="F163" t="s">
        <v>13</v>
      </c>
      <c r="G163" t="s">
        <v>31</v>
      </c>
      <c r="H163">
        <v>69</v>
      </c>
      <c r="I163">
        <v>5</v>
      </c>
      <c r="J163">
        <v>345</v>
      </c>
    </row>
    <row r="164" spans="1:10" x14ac:dyDescent="0.35">
      <c r="A164" s="3" t="s">
        <v>209</v>
      </c>
      <c r="B164" s="4">
        <v>43147</v>
      </c>
      <c r="C164">
        <v>19</v>
      </c>
      <c r="D164" t="s">
        <v>56</v>
      </c>
      <c r="E164" t="s">
        <v>27</v>
      </c>
      <c r="F164" t="s">
        <v>28</v>
      </c>
      <c r="G164" t="s">
        <v>19</v>
      </c>
      <c r="H164">
        <v>289</v>
      </c>
      <c r="I164">
        <v>7</v>
      </c>
      <c r="J164">
        <v>2023</v>
      </c>
    </row>
    <row r="165" spans="1:10" x14ac:dyDescent="0.35">
      <c r="A165" s="3" t="s">
        <v>210</v>
      </c>
      <c r="B165" s="4">
        <v>43148</v>
      </c>
      <c r="C165">
        <v>13</v>
      </c>
      <c r="D165" t="s">
        <v>33</v>
      </c>
      <c r="E165" t="s">
        <v>63</v>
      </c>
      <c r="F165" t="s">
        <v>13</v>
      </c>
      <c r="G165" t="s">
        <v>31</v>
      </c>
      <c r="H165">
        <v>69</v>
      </c>
      <c r="I165">
        <v>1</v>
      </c>
      <c r="J165">
        <v>69</v>
      </c>
    </row>
    <row r="166" spans="1:10" x14ac:dyDescent="0.35">
      <c r="A166" s="3" t="s">
        <v>211</v>
      </c>
      <c r="B166" s="4">
        <v>43148</v>
      </c>
      <c r="C166">
        <v>4</v>
      </c>
      <c r="D166" t="s">
        <v>51</v>
      </c>
      <c r="E166" t="s">
        <v>17</v>
      </c>
      <c r="F166" t="s">
        <v>18</v>
      </c>
      <c r="G166" t="s">
        <v>24</v>
      </c>
      <c r="H166">
        <v>159</v>
      </c>
      <c r="I166">
        <v>1</v>
      </c>
      <c r="J166">
        <v>159</v>
      </c>
    </row>
    <row r="167" spans="1:10" x14ac:dyDescent="0.35">
      <c r="A167" s="3" t="s">
        <v>212</v>
      </c>
      <c r="B167" s="4">
        <v>43149</v>
      </c>
      <c r="C167">
        <v>15</v>
      </c>
      <c r="D167" t="s">
        <v>118</v>
      </c>
      <c r="E167" t="s">
        <v>12</v>
      </c>
      <c r="F167" t="s">
        <v>13</v>
      </c>
      <c r="G167" t="s">
        <v>31</v>
      </c>
      <c r="H167">
        <v>69</v>
      </c>
      <c r="I167">
        <v>0</v>
      </c>
      <c r="J167">
        <v>0</v>
      </c>
    </row>
    <row r="168" spans="1:10" x14ac:dyDescent="0.35">
      <c r="A168" s="3" t="s">
        <v>213</v>
      </c>
      <c r="B168" s="4">
        <v>43149</v>
      </c>
      <c r="C168">
        <v>12</v>
      </c>
      <c r="D168" t="s">
        <v>66</v>
      </c>
      <c r="E168" t="s">
        <v>63</v>
      </c>
      <c r="F168" t="s">
        <v>13</v>
      </c>
      <c r="G168" t="s">
        <v>31</v>
      </c>
      <c r="H168">
        <v>69</v>
      </c>
      <c r="I168">
        <v>1</v>
      </c>
      <c r="J168">
        <v>69</v>
      </c>
    </row>
    <row r="169" spans="1:10" x14ac:dyDescent="0.35">
      <c r="A169" s="3" t="s">
        <v>214</v>
      </c>
      <c r="B169" s="4">
        <v>43149</v>
      </c>
      <c r="C169">
        <v>7</v>
      </c>
      <c r="D169" t="s">
        <v>88</v>
      </c>
      <c r="E169" t="s">
        <v>22</v>
      </c>
      <c r="F169" t="s">
        <v>23</v>
      </c>
      <c r="G169" t="s">
        <v>24</v>
      </c>
      <c r="H169">
        <v>159</v>
      </c>
      <c r="I169">
        <v>2</v>
      </c>
      <c r="J169">
        <v>318</v>
      </c>
    </row>
    <row r="170" spans="1:10" x14ac:dyDescent="0.35">
      <c r="A170" s="3" t="s">
        <v>215</v>
      </c>
      <c r="B170" s="4">
        <v>43149</v>
      </c>
      <c r="C170">
        <v>10</v>
      </c>
      <c r="D170" t="s">
        <v>58</v>
      </c>
      <c r="E170" t="s">
        <v>46</v>
      </c>
      <c r="F170" t="s">
        <v>23</v>
      </c>
      <c r="G170" t="s">
        <v>31</v>
      </c>
      <c r="H170">
        <v>69</v>
      </c>
      <c r="I170">
        <v>4</v>
      </c>
      <c r="J170">
        <v>276</v>
      </c>
    </row>
    <row r="171" spans="1:10" x14ac:dyDescent="0.35">
      <c r="A171" s="3" t="s">
        <v>216</v>
      </c>
      <c r="B171" s="4">
        <v>43149</v>
      </c>
      <c r="C171">
        <v>6</v>
      </c>
      <c r="D171" t="s">
        <v>48</v>
      </c>
      <c r="E171" t="s">
        <v>46</v>
      </c>
      <c r="F171" t="s">
        <v>23</v>
      </c>
      <c r="G171" t="s">
        <v>31</v>
      </c>
      <c r="H171">
        <v>69</v>
      </c>
      <c r="I171">
        <v>3</v>
      </c>
      <c r="J171">
        <v>207</v>
      </c>
    </row>
    <row r="172" spans="1:10" x14ac:dyDescent="0.35">
      <c r="A172" s="3" t="s">
        <v>217</v>
      </c>
      <c r="B172" s="4">
        <v>43150</v>
      </c>
      <c r="C172">
        <v>8</v>
      </c>
      <c r="D172" t="s">
        <v>45</v>
      </c>
      <c r="E172" t="s">
        <v>46</v>
      </c>
      <c r="F172" t="s">
        <v>23</v>
      </c>
      <c r="G172" t="s">
        <v>41</v>
      </c>
      <c r="H172">
        <v>399</v>
      </c>
      <c r="I172">
        <v>6</v>
      </c>
      <c r="J172">
        <v>2394</v>
      </c>
    </row>
    <row r="173" spans="1:10" x14ac:dyDescent="0.35">
      <c r="A173" s="3" t="s">
        <v>218</v>
      </c>
      <c r="B173" s="4">
        <v>43150</v>
      </c>
      <c r="C173">
        <v>11</v>
      </c>
      <c r="D173" t="s">
        <v>11</v>
      </c>
      <c r="E173" t="s">
        <v>12</v>
      </c>
      <c r="F173" t="s">
        <v>13</v>
      </c>
      <c r="G173" t="s">
        <v>31</v>
      </c>
      <c r="H173">
        <v>69</v>
      </c>
      <c r="I173">
        <v>5</v>
      </c>
      <c r="J173">
        <v>345</v>
      </c>
    </row>
    <row r="174" spans="1:10" x14ac:dyDescent="0.35">
      <c r="A174" s="3" t="s">
        <v>219</v>
      </c>
      <c r="B174" s="4">
        <v>43150</v>
      </c>
      <c r="C174">
        <v>2</v>
      </c>
      <c r="D174" t="s">
        <v>106</v>
      </c>
      <c r="E174" t="s">
        <v>68</v>
      </c>
      <c r="F174" t="s">
        <v>18</v>
      </c>
      <c r="G174" t="s">
        <v>41</v>
      </c>
      <c r="H174">
        <v>399</v>
      </c>
      <c r="I174">
        <v>1</v>
      </c>
      <c r="J174">
        <v>399</v>
      </c>
    </row>
    <row r="175" spans="1:10" x14ac:dyDescent="0.35">
      <c r="A175" s="3" t="s">
        <v>220</v>
      </c>
      <c r="B175" s="4">
        <v>43150</v>
      </c>
      <c r="C175">
        <v>6</v>
      </c>
      <c r="D175" t="s">
        <v>48</v>
      </c>
      <c r="E175" t="s">
        <v>46</v>
      </c>
      <c r="F175" t="s">
        <v>23</v>
      </c>
      <c r="G175" t="s">
        <v>41</v>
      </c>
      <c r="H175">
        <v>399</v>
      </c>
      <c r="I175">
        <v>6</v>
      </c>
      <c r="J175">
        <v>2394</v>
      </c>
    </row>
    <row r="176" spans="1:10" x14ac:dyDescent="0.35">
      <c r="A176" s="3" t="s">
        <v>221</v>
      </c>
      <c r="B176" s="4">
        <v>43151</v>
      </c>
      <c r="C176">
        <v>11</v>
      </c>
      <c r="D176" t="s">
        <v>11</v>
      </c>
      <c r="E176" t="s">
        <v>12</v>
      </c>
      <c r="F176" t="s">
        <v>13</v>
      </c>
      <c r="G176" t="s">
        <v>19</v>
      </c>
      <c r="H176">
        <v>289</v>
      </c>
      <c r="I176">
        <v>5</v>
      </c>
      <c r="J176">
        <v>1445</v>
      </c>
    </row>
    <row r="177" spans="1:10" x14ac:dyDescent="0.35">
      <c r="A177" s="3" t="s">
        <v>222</v>
      </c>
      <c r="B177" s="4">
        <v>43152</v>
      </c>
      <c r="C177">
        <v>13</v>
      </c>
      <c r="D177" t="s">
        <v>33</v>
      </c>
      <c r="E177" t="s">
        <v>63</v>
      </c>
      <c r="F177" t="s">
        <v>13</v>
      </c>
      <c r="G177" t="s">
        <v>14</v>
      </c>
      <c r="H177">
        <v>199</v>
      </c>
      <c r="I177">
        <v>6</v>
      </c>
      <c r="J177">
        <v>1194</v>
      </c>
    </row>
    <row r="178" spans="1:10" x14ac:dyDescent="0.35">
      <c r="A178" s="3" t="s">
        <v>223</v>
      </c>
      <c r="B178" s="4">
        <v>43152</v>
      </c>
      <c r="C178">
        <v>8</v>
      </c>
      <c r="D178" t="s">
        <v>45</v>
      </c>
      <c r="E178" t="s">
        <v>46</v>
      </c>
      <c r="F178" t="s">
        <v>23</v>
      </c>
      <c r="G178" t="s">
        <v>19</v>
      </c>
      <c r="H178">
        <v>289</v>
      </c>
      <c r="I178">
        <v>1</v>
      </c>
      <c r="J178">
        <v>289</v>
      </c>
    </row>
    <row r="179" spans="1:10" x14ac:dyDescent="0.35">
      <c r="A179" s="3" t="s">
        <v>224</v>
      </c>
      <c r="B179" s="4">
        <v>43152</v>
      </c>
      <c r="C179">
        <v>13</v>
      </c>
      <c r="D179" t="s">
        <v>33</v>
      </c>
      <c r="E179" t="s">
        <v>12</v>
      </c>
      <c r="F179" t="s">
        <v>13</v>
      </c>
      <c r="G179" t="s">
        <v>24</v>
      </c>
      <c r="H179">
        <v>159</v>
      </c>
      <c r="I179">
        <v>1</v>
      </c>
      <c r="J179">
        <v>159</v>
      </c>
    </row>
    <row r="180" spans="1:10" x14ac:dyDescent="0.35">
      <c r="A180" s="3" t="s">
        <v>225</v>
      </c>
      <c r="B180" s="4">
        <v>43152</v>
      </c>
      <c r="C180">
        <v>1</v>
      </c>
      <c r="D180" t="s">
        <v>16</v>
      </c>
      <c r="E180" t="s">
        <v>17</v>
      </c>
      <c r="F180" t="s">
        <v>18</v>
      </c>
      <c r="G180" t="s">
        <v>19</v>
      </c>
      <c r="H180">
        <v>289</v>
      </c>
      <c r="I180">
        <v>2</v>
      </c>
      <c r="J180">
        <v>578</v>
      </c>
    </row>
    <row r="181" spans="1:10" x14ac:dyDescent="0.35">
      <c r="A181" s="3" t="s">
        <v>226</v>
      </c>
      <c r="B181" s="4">
        <v>43152</v>
      </c>
      <c r="C181">
        <v>20</v>
      </c>
      <c r="D181" t="s">
        <v>40</v>
      </c>
      <c r="E181" t="s">
        <v>27</v>
      </c>
      <c r="F181" t="s">
        <v>28</v>
      </c>
      <c r="G181" t="s">
        <v>31</v>
      </c>
      <c r="H181">
        <v>69</v>
      </c>
      <c r="I181">
        <v>3</v>
      </c>
      <c r="J181">
        <v>207</v>
      </c>
    </row>
    <row r="182" spans="1:10" x14ac:dyDescent="0.35">
      <c r="A182" s="3" t="s">
        <v>227</v>
      </c>
      <c r="B182" s="4">
        <v>43152</v>
      </c>
      <c r="C182">
        <v>20</v>
      </c>
      <c r="D182" t="s">
        <v>40</v>
      </c>
      <c r="E182" t="s">
        <v>36</v>
      </c>
      <c r="F182" t="s">
        <v>28</v>
      </c>
      <c r="G182" t="s">
        <v>31</v>
      </c>
      <c r="H182">
        <v>69</v>
      </c>
      <c r="I182">
        <v>1</v>
      </c>
      <c r="J182">
        <v>69</v>
      </c>
    </row>
    <row r="183" spans="1:10" x14ac:dyDescent="0.35">
      <c r="A183" s="3" t="s">
        <v>228</v>
      </c>
      <c r="B183" s="4">
        <v>43152</v>
      </c>
      <c r="C183">
        <v>1</v>
      </c>
      <c r="D183" t="s">
        <v>16</v>
      </c>
      <c r="E183" t="s">
        <v>17</v>
      </c>
      <c r="F183" t="s">
        <v>18</v>
      </c>
      <c r="G183" t="s">
        <v>24</v>
      </c>
      <c r="H183">
        <v>159</v>
      </c>
      <c r="I183">
        <v>2</v>
      </c>
      <c r="J183">
        <v>318</v>
      </c>
    </row>
    <row r="184" spans="1:10" x14ac:dyDescent="0.35">
      <c r="A184" s="3" t="s">
        <v>229</v>
      </c>
      <c r="B184" s="4">
        <v>43153</v>
      </c>
      <c r="C184">
        <v>10</v>
      </c>
      <c r="D184" t="s">
        <v>58</v>
      </c>
      <c r="E184" t="s">
        <v>22</v>
      </c>
      <c r="F184" t="s">
        <v>23</v>
      </c>
      <c r="G184" t="s">
        <v>14</v>
      </c>
      <c r="H184">
        <v>199</v>
      </c>
      <c r="I184">
        <v>2</v>
      </c>
      <c r="J184">
        <v>398</v>
      </c>
    </row>
    <row r="185" spans="1:10" x14ac:dyDescent="0.35">
      <c r="A185" s="3" t="s">
        <v>230</v>
      </c>
      <c r="B185" s="4">
        <v>43154</v>
      </c>
      <c r="C185">
        <v>12</v>
      </c>
      <c r="D185" t="s">
        <v>66</v>
      </c>
      <c r="E185" t="s">
        <v>63</v>
      </c>
      <c r="F185" t="s">
        <v>13</v>
      </c>
      <c r="G185" t="s">
        <v>24</v>
      </c>
      <c r="H185">
        <v>159</v>
      </c>
      <c r="I185">
        <v>7</v>
      </c>
      <c r="J185">
        <v>1113</v>
      </c>
    </row>
    <row r="186" spans="1:10" x14ac:dyDescent="0.35">
      <c r="A186" s="3" t="s">
        <v>231</v>
      </c>
      <c r="B186" s="4">
        <v>43154</v>
      </c>
      <c r="C186">
        <v>4</v>
      </c>
      <c r="D186" t="s">
        <v>51</v>
      </c>
      <c r="E186" t="s">
        <v>68</v>
      </c>
      <c r="F186" t="s">
        <v>18</v>
      </c>
      <c r="G186" t="s">
        <v>41</v>
      </c>
      <c r="H186">
        <v>399</v>
      </c>
      <c r="I186">
        <v>5</v>
      </c>
      <c r="J186">
        <v>1995</v>
      </c>
    </row>
    <row r="187" spans="1:10" x14ac:dyDescent="0.35">
      <c r="A187" s="3" t="s">
        <v>232</v>
      </c>
      <c r="B187" s="4">
        <v>43154</v>
      </c>
      <c r="C187">
        <v>5</v>
      </c>
      <c r="D187" t="s">
        <v>60</v>
      </c>
      <c r="E187" t="s">
        <v>68</v>
      </c>
      <c r="F187" t="s">
        <v>18</v>
      </c>
      <c r="G187" t="s">
        <v>19</v>
      </c>
      <c r="H187">
        <v>289</v>
      </c>
      <c r="I187">
        <v>4</v>
      </c>
      <c r="J187">
        <v>1156</v>
      </c>
    </row>
    <row r="188" spans="1:10" x14ac:dyDescent="0.35">
      <c r="A188" s="3" t="s">
        <v>233</v>
      </c>
      <c r="B188" s="4">
        <v>43155</v>
      </c>
      <c r="C188">
        <v>17</v>
      </c>
      <c r="D188" t="s">
        <v>35</v>
      </c>
      <c r="E188" t="s">
        <v>27</v>
      </c>
      <c r="F188" t="s">
        <v>28</v>
      </c>
      <c r="G188" t="s">
        <v>41</v>
      </c>
      <c r="H188">
        <v>399</v>
      </c>
      <c r="I188">
        <v>9</v>
      </c>
      <c r="J188">
        <v>3591</v>
      </c>
    </row>
    <row r="189" spans="1:10" x14ac:dyDescent="0.35">
      <c r="A189" s="3" t="s">
        <v>234</v>
      </c>
      <c r="B189" s="4">
        <v>43155</v>
      </c>
      <c r="C189">
        <v>17</v>
      </c>
      <c r="D189" t="s">
        <v>35</v>
      </c>
      <c r="E189" t="s">
        <v>36</v>
      </c>
      <c r="F189" t="s">
        <v>28</v>
      </c>
      <c r="G189" t="s">
        <v>14</v>
      </c>
      <c r="H189">
        <v>199</v>
      </c>
      <c r="I189">
        <v>6</v>
      </c>
      <c r="J189">
        <v>1194</v>
      </c>
    </row>
    <row r="190" spans="1:10" x14ac:dyDescent="0.35">
      <c r="A190" s="3" t="s">
        <v>235</v>
      </c>
      <c r="B190" s="4">
        <v>43156</v>
      </c>
      <c r="C190">
        <v>20</v>
      </c>
      <c r="D190" t="s">
        <v>40</v>
      </c>
      <c r="E190" t="s">
        <v>27</v>
      </c>
      <c r="F190" t="s">
        <v>28</v>
      </c>
      <c r="G190" t="s">
        <v>41</v>
      </c>
      <c r="H190">
        <v>399</v>
      </c>
      <c r="I190">
        <v>8</v>
      </c>
      <c r="J190">
        <v>3192</v>
      </c>
    </row>
    <row r="191" spans="1:10" x14ac:dyDescent="0.35">
      <c r="A191" s="3" t="s">
        <v>236</v>
      </c>
      <c r="B191" s="4">
        <v>43156</v>
      </c>
      <c r="C191">
        <v>5</v>
      </c>
      <c r="D191" t="s">
        <v>60</v>
      </c>
      <c r="E191" t="s">
        <v>17</v>
      </c>
      <c r="F191" t="s">
        <v>18</v>
      </c>
      <c r="G191" t="s">
        <v>14</v>
      </c>
      <c r="H191">
        <v>199</v>
      </c>
      <c r="I191">
        <v>5</v>
      </c>
      <c r="J191">
        <v>995</v>
      </c>
    </row>
    <row r="192" spans="1:10" x14ac:dyDescent="0.35">
      <c r="A192" s="3" t="s">
        <v>237</v>
      </c>
      <c r="B192" s="4">
        <v>43156</v>
      </c>
      <c r="C192">
        <v>11</v>
      </c>
      <c r="D192" t="s">
        <v>11</v>
      </c>
      <c r="E192" t="s">
        <v>12</v>
      </c>
      <c r="F192" t="s">
        <v>13</v>
      </c>
      <c r="G192" t="s">
        <v>24</v>
      </c>
      <c r="H192">
        <v>159</v>
      </c>
      <c r="I192">
        <v>4</v>
      </c>
      <c r="J192">
        <v>636</v>
      </c>
    </row>
    <row r="193" spans="1:10" x14ac:dyDescent="0.35">
      <c r="A193" s="3" t="s">
        <v>238</v>
      </c>
      <c r="B193" s="4">
        <v>43157</v>
      </c>
      <c r="C193">
        <v>12</v>
      </c>
      <c r="D193" t="s">
        <v>66</v>
      </c>
      <c r="E193" t="s">
        <v>63</v>
      </c>
      <c r="F193" t="s">
        <v>13</v>
      </c>
      <c r="G193" t="s">
        <v>41</v>
      </c>
      <c r="H193">
        <v>399</v>
      </c>
      <c r="I193">
        <v>0</v>
      </c>
      <c r="J193">
        <v>0</v>
      </c>
    </row>
    <row r="194" spans="1:10" x14ac:dyDescent="0.35">
      <c r="A194" s="3" t="s">
        <v>239</v>
      </c>
      <c r="B194" s="4">
        <v>43158</v>
      </c>
      <c r="C194">
        <v>9</v>
      </c>
      <c r="D194" t="s">
        <v>21</v>
      </c>
      <c r="E194" t="s">
        <v>46</v>
      </c>
      <c r="F194" t="s">
        <v>23</v>
      </c>
      <c r="G194" t="s">
        <v>24</v>
      </c>
      <c r="H194">
        <v>159</v>
      </c>
      <c r="I194">
        <v>1</v>
      </c>
      <c r="J194">
        <v>159</v>
      </c>
    </row>
    <row r="195" spans="1:10" x14ac:dyDescent="0.35">
      <c r="A195" s="3" t="s">
        <v>240</v>
      </c>
      <c r="B195" s="4">
        <v>43158</v>
      </c>
      <c r="C195">
        <v>4</v>
      </c>
      <c r="D195" t="s">
        <v>51</v>
      </c>
      <c r="E195" t="s">
        <v>17</v>
      </c>
      <c r="F195" t="s">
        <v>18</v>
      </c>
      <c r="G195" t="s">
        <v>14</v>
      </c>
      <c r="H195">
        <v>199</v>
      </c>
      <c r="I195">
        <v>0</v>
      </c>
      <c r="J195">
        <v>0</v>
      </c>
    </row>
    <row r="196" spans="1:10" x14ac:dyDescent="0.35">
      <c r="A196" s="3" t="s">
        <v>241</v>
      </c>
      <c r="B196" s="4">
        <v>43158</v>
      </c>
      <c r="C196">
        <v>15</v>
      </c>
      <c r="D196" t="s">
        <v>118</v>
      </c>
      <c r="E196" t="s">
        <v>63</v>
      </c>
      <c r="F196" t="s">
        <v>13</v>
      </c>
      <c r="G196" t="s">
        <v>24</v>
      </c>
      <c r="H196">
        <v>159</v>
      </c>
      <c r="I196">
        <v>8</v>
      </c>
      <c r="J196">
        <v>1272</v>
      </c>
    </row>
    <row r="197" spans="1:10" x14ac:dyDescent="0.35">
      <c r="A197" s="3" t="s">
        <v>242</v>
      </c>
      <c r="B197" s="4">
        <v>43159</v>
      </c>
      <c r="C197">
        <v>6</v>
      </c>
      <c r="D197" t="s">
        <v>48</v>
      </c>
      <c r="E197" t="s">
        <v>46</v>
      </c>
      <c r="F197" t="s">
        <v>23</v>
      </c>
      <c r="G197" t="s">
        <v>19</v>
      </c>
      <c r="H197">
        <v>289</v>
      </c>
      <c r="I197">
        <v>9</v>
      </c>
      <c r="J197">
        <v>2601</v>
      </c>
    </row>
    <row r="198" spans="1:10" x14ac:dyDescent="0.35">
      <c r="A198" s="3" t="s">
        <v>243</v>
      </c>
      <c r="B198" s="4">
        <v>43160</v>
      </c>
      <c r="C198">
        <v>18</v>
      </c>
      <c r="D198" t="s">
        <v>26</v>
      </c>
      <c r="E198" t="s">
        <v>36</v>
      </c>
      <c r="F198" t="s">
        <v>28</v>
      </c>
      <c r="G198" t="s">
        <v>31</v>
      </c>
      <c r="H198">
        <v>69</v>
      </c>
      <c r="I198">
        <v>8</v>
      </c>
      <c r="J198">
        <v>552</v>
      </c>
    </row>
    <row r="199" spans="1:10" x14ac:dyDescent="0.35">
      <c r="A199" s="3" t="s">
        <v>244</v>
      </c>
      <c r="B199" s="4">
        <v>43160</v>
      </c>
      <c r="C199">
        <v>18</v>
      </c>
      <c r="D199" t="s">
        <v>26</v>
      </c>
      <c r="E199" t="s">
        <v>27</v>
      </c>
      <c r="F199" t="s">
        <v>28</v>
      </c>
      <c r="G199" t="s">
        <v>24</v>
      </c>
      <c r="H199">
        <v>159</v>
      </c>
      <c r="I199">
        <v>6</v>
      </c>
      <c r="J199">
        <v>954</v>
      </c>
    </row>
    <row r="200" spans="1:10" x14ac:dyDescent="0.35">
      <c r="A200" s="3" t="s">
        <v>245</v>
      </c>
      <c r="B200" s="4">
        <v>43161</v>
      </c>
      <c r="C200">
        <v>17</v>
      </c>
      <c r="D200" t="s">
        <v>35</v>
      </c>
      <c r="E200" t="s">
        <v>36</v>
      </c>
      <c r="F200" t="s">
        <v>28</v>
      </c>
      <c r="G200" t="s">
        <v>24</v>
      </c>
      <c r="H200">
        <v>159</v>
      </c>
      <c r="I200">
        <v>4</v>
      </c>
      <c r="J200">
        <v>636</v>
      </c>
    </row>
    <row r="201" spans="1:10" x14ac:dyDescent="0.35">
      <c r="A201" s="3" t="s">
        <v>246</v>
      </c>
      <c r="B201" s="4">
        <v>43162</v>
      </c>
      <c r="C201">
        <v>12</v>
      </c>
      <c r="D201" t="s">
        <v>66</v>
      </c>
      <c r="E201" t="s">
        <v>63</v>
      </c>
      <c r="F201" t="s">
        <v>13</v>
      </c>
      <c r="G201" t="s">
        <v>14</v>
      </c>
      <c r="H201">
        <v>199</v>
      </c>
      <c r="I201">
        <v>4</v>
      </c>
      <c r="J201">
        <v>796</v>
      </c>
    </row>
    <row r="202" spans="1:10" x14ac:dyDescent="0.35">
      <c r="A202" s="3" t="s">
        <v>247</v>
      </c>
      <c r="B202" s="4">
        <v>43163</v>
      </c>
      <c r="C202">
        <v>18</v>
      </c>
      <c r="D202" t="s">
        <v>26</v>
      </c>
      <c r="E202" t="s">
        <v>27</v>
      </c>
      <c r="F202" t="s">
        <v>28</v>
      </c>
      <c r="G202" t="s">
        <v>19</v>
      </c>
      <c r="H202">
        <v>289</v>
      </c>
      <c r="I202">
        <v>5</v>
      </c>
      <c r="J202">
        <v>1445</v>
      </c>
    </row>
    <row r="203" spans="1:10" x14ac:dyDescent="0.35">
      <c r="A203" s="3" t="s">
        <v>248</v>
      </c>
      <c r="B203" s="4">
        <v>43164</v>
      </c>
      <c r="C203">
        <v>9</v>
      </c>
      <c r="D203" t="s">
        <v>21</v>
      </c>
      <c r="E203" t="s">
        <v>22</v>
      </c>
      <c r="F203" t="s">
        <v>23</v>
      </c>
      <c r="G203" t="s">
        <v>14</v>
      </c>
      <c r="H203">
        <v>199</v>
      </c>
      <c r="I203">
        <v>0</v>
      </c>
      <c r="J203">
        <v>0</v>
      </c>
    </row>
    <row r="204" spans="1:10" x14ac:dyDescent="0.35">
      <c r="A204" s="3" t="s">
        <v>249</v>
      </c>
      <c r="B204" s="4">
        <v>43165</v>
      </c>
      <c r="C204">
        <v>12</v>
      </c>
      <c r="D204" t="s">
        <v>66</v>
      </c>
      <c r="E204" t="s">
        <v>12</v>
      </c>
      <c r="F204" t="s">
        <v>13</v>
      </c>
      <c r="G204" t="s">
        <v>19</v>
      </c>
      <c r="H204">
        <v>289</v>
      </c>
      <c r="I204">
        <v>7</v>
      </c>
      <c r="J204">
        <v>2023</v>
      </c>
    </row>
    <row r="205" spans="1:10" x14ac:dyDescent="0.35">
      <c r="A205" s="3" t="s">
        <v>250</v>
      </c>
      <c r="B205" s="4">
        <v>43166</v>
      </c>
      <c r="C205">
        <v>2</v>
      </c>
      <c r="D205" t="s">
        <v>106</v>
      </c>
      <c r="E205" t="s">
        <v>17</v>
      </c>
      <c r="F205" t="s">
        <v>18</v>
      </c>
      <c r="G205" t="s">
        <v>14</v>
      </c>
      <c r="H205">
        <v>199</v>
      </c>
      <c r="I205">
        <v>2</v>
      </c>
      <c r="J205">
        <v>398</v>
      </c>
    </row>
    <row r="206" spans="1:10" x14ac:dyDescent="0.35">
      <c r="A206" s="3" t="s">
        <v>251</v>
      </c>
      <c r="B206" s="4">
        <v>43167</v>
      </c>
      <c r="C206">
        <v>19</v>
      </c>
      <c r="D206" t="s">
        <v>56</v>
      </c>
      <c r="E206" t="s">
        <v>36</v>
      </c>
      <c r="F206" t="s">
        <v>28</v>
      </c>
      <c r="G206" t="s">
        <v>14</v>
      </c>
      <c r="H206">
        <v>199</v>
      </c>
      <c r="I206">
        <v>5</v>
      </c>
      <c r="J206">
        <v>995</v>
      </c>
    </row>
    <row r="207" spans="1:10" x14ac:dyDescent="0.35">
      <c r="A207" s="3" t="s">
        <v>252</v>
      </c>
      <c r="B207" s="4">
        <v>43167</v>
      </c>
      <c r="C207">
        <v>5</v>
      </c>
      <c r="D207" t="s">
        <v>60</v>
      </c>
      <c r="E207" t="s">
        <v>68</v>
      </c>
      <c r="F207" t="s">
        <v>18</v>
      </c>
      <c r="G207" t="s">
        <v>41</v>
      </c>
      <c r="H207">
        <v>399</v>
      </c>
      <c r="I207">
        <v>6</v>
      </c>
      <c r="J207">
        <v>2394</v>
      </c>
    </row>
    <row r="208" spans="1:10" x14ac:dyDescent="0.35">
      <c r="A208" s="3" t="s">
        <v>253</v>
      </c>
      <c r="B208" s="4">
        <v>43167</v>
      </c>
      <c r="C208">
        <v>18</v>
      </c>
      <c r="D208" t="s">
        <v>26</v>
      </c>
      <c r="E208" t="s">
        <v>27</v>
      </c>
      <c r="F208" t="s">
        <v>28</v>
      </c>
      <c r="G208" t="s">
        <v>14</v>
      </c>
      <c r="H208">
        <v>199</v>
      </c>
      <c r="I208">
        <v>6</v>
      </c>
      <c r="J208">
        <v>1194</v>
      </c>
    </row>
    <row r="209" spans="1:10" x14ac:dyDescent="0.35">
      <c r="A209" s="3" t="s">
        <v>254</v>
      </c>
      <c r="B209" s="4">
        <v>43167</v>
      </c>
      <c r="C209">
        <v>6</v>
      </c>
      <c r="D209" t="s">
        <v>48</v>
      </c>
      <c r="E209" t="s">
        <v>22</v>
      </c>
      <c r="F209" t="s">
        <v>23</v>
      </c>
      <c r="G209" t="s">
        <v>14</v>
      </c>
      <c r="H209">
        <v>199</v>
      </c>
      <c r="I209">
        <v>9</v>
      </c>
      <c r="J209">
        <v>1791</v>
      </c>
    </row>
    <row r="210" spans="1:10" x14ac:dyDescent="0.35">
      <c r="A210" s="3" t="s">
        <v>255</v>
      </c>
      <c r="B210" s="4">
        <v>43167</v>
      </c>
      <c r="C210">
        <v>16</v>
      </c>
      <c r="D210" t="s">
        <v>30</v>
      </c>
      <c r="E210" t="s">
        <v>36</v>
      </c>
      <c r="F210" t="s">
        <v>28</v>
      </c>
      <c r="G210" t="s">
        <v>24</v>
      </c>
      <c r="H210">
        <v>159</v>
      </c>
      <c r="I210">
        <v>3</v>
      </c>
      <c r="J210">
        <v>477</v>
      </c>
    </row>
    <row r="211" spans="1:10" x14ac:dyDescent="0.35">
      <c r="A211" s="3" t="s">
        <v>256</v>
      </c>
      <c r="B211" s="4">
        <v>43167</v>
      </c>
      <c r="C211">
        <v>14</v>
      </c>
      <c r="D211" t="s">
        <v>38</v>
      </c>
      <c r="E211" t="s">
        <v>12</v>
      </c>
      <c r="F211" t="s">
        <v>13</v>
      </c>
      <c r="G211" t="s">
        <v>41</v>
      </c>
      <c r="H211">
        <v>399</v>
      </c>
      <c r="I211">
        <v>8</v>
      </c>
      <c r="J211">
        <v>3192</v>
      </c>
    </row>
    <row r="212" spans="1:10" x14ac:dyDescent="0.35">
      <c r="A212" s="3" t="s">
        <v>257</v>
      </c>
      <c r="B212" s="4">
        <v>43167</v>
      </c>
      <c r="C212">
        <v>4</v>
      </c>
      <c r="D212" t="s">
        <v>51</v>
      </c>
      <c r="E212" t="s">
        <v>68</v>
      </c>
      <c r="F212" t="s">
        <v>18</v>
      </c>
      <c r="G212" t="s">
        <v>31</v>
      </c>
      <c r="H212">
        <v>69</v>
      </c>
      <c r="I212">
        <v>4</v>
      </c>
      <c r="J212">
        <v>276</v>
      </c>
    </row>
    <row r="213" spans="1:10" x14ac:dyDescent="0.35">
      <c r="A213" s="3" t="s">
        <v>258</v>
      </c>
      <c r="B213" s="4">
        <v>43167</v>
      </c>
      <c r="C213">
        <v>2</v>
      </c>
      <c r="D213" t="s">
        <v>106</v>
      </c>
      <c r="E213" t="s">
        <v>17</v>
      </c>
      <c r="F213" t="s">
        <v>18</v>
      </c>
      <c r="G213" t="s">
        <v>14</v>
      </c>
      <c r="H213">
        <v>199</v>
      </c>
      <c r="I213">
        <v>0</v>
      </c>
      <c r="J213">
        <v>0</v>
      </c>
    </row>
    <row r="214" spans="1:10" x14ac:dyDescent="0.35">
      <c r="A214" s="3" t="s">
        <v>259</v>
      </c>
      <c r="B214" s="4">
        <v>43168</v>
      </c>
      <c r="C214">
        <v>1</v>
      </c>
      <c r="D214" t="s">
        <v>16</v>
      </c>
      <c r="E214" t="s">
        <v>68</v>
      </c>
      <c r="F214" t="s">
        <v>18</v>
      </c>
      <c r="G214" t="s">
        <v>24</v>
      </c>
      <c r="H214">
        <v>159</v>
      </c>
      <c r="I214">
        <v>2</v>
      </c>
      <c r="J214">
        <v>318</v>
      </c>
    </row>
    <row r="215" spans="1:10" x14ac:dyDescent="0.35">
      <c r="A215" s="3" t="s">
        <v>260</v>
      </c>
      <c r="B215" s="4">
        <v>43169</v>
      </c>
      <c r="C215">
        <v>5</v>
      </c>
      <c r="D215" t="s">
        <v>60</v>
      </c>
      <c r="E215" t="s">
        <v>68</v>
      </c>
      <c r="F215" t="s">
        <v>18</v>
      </c>
      <c r="G215" t="s">
        <v>31</v>
      </c>
      <c r="H215">
        <v>69</v>
      </c>
      <c r="I215">
        <v>6</v>
      </c>
      <c r="J215">
        <v>414</v>
      </c>
    </row>
    <row r="216" spans="1:10" x14ac:dyDescent="0.35">
      <c r="A216" s="3" t="s">
        <v>261</v>
      </c>
      <c r="B216" s="4">
        <v>43170</v>
      </c>
      <c r="C216">
        <v>3</v>
      </c>
      <c r="D216" t="s">
        <v>43</v>
      </c>
      <c r="E216" t="s">
        <v>17</v>
      </c>
      <c r="F216" t="s">
        <v>18</v>
      </c>
      <c r="G216" t="s">
        <v>14</v>
      </c>
      <c r="H216">
        <v>199</v>
      </c>
      <c r="I216">
        <v>3</v>
      </c>
      <c r="J216">
        <v>597</v>
      </c>
    </row>
    <row r="217" spans="1:10" x14ac:dyDescent="0.35">
      <c r="A217" s="3" t="s">
        <v>262</v>
      </c>
      <c r="B217" s="4">
        <v>43170</v>
      </c>
      <c r="C217">
        <v>18</v>
      </c>
      <c r="D217" t="s">
        <v>26</v>
      </c>
      <c r="E217" t="s">
        <v>27</v>
      </c>
      <c r="F217" t="s">
        <v>28</v>
      </c>
      <c r="G217" t="s">
        <v>31</v>
      </c>
      <c r="H217">
        <v>69</v>
      </c>
      <c r="I217">
        <v>9</v>
      </c>
      <c r="J217">
        <v>621</v>
      </c>
    </row>
    <row r="218" spans="1:10" x14ac:dyDescent="0.35">
      <c r="A218" s="3" t="s">
        <v>263</v>
      </c>
      <c r="B218" s="4">
        <v>43170</v>
      </c>
      <c r="C218">
        <v>12</v>
      </c>
      <c r="D218" t="s">
        <v>66</v>
      </c>
      <c r="E218" t="s">
        <v>63</v>
      </c>
      <c r="F218" t="s">
        <v>13</v>
      </c>
      <c r="G218" t="s">
        <v>19</v>
      </c>
      <c r="H218">
        <v>289</v>
      </c>
      <c r="I218">
        <v>4</v>
      </c>
      <c r="J218">
        <v>1156</v>
      </c>
    </row>
    <row r="219" spans="1:10" x14ac:dyDescent="0.35">
      <c r="A219" s="3" t="s">
        <v>264</v>
      </c>
      <c r="B219" s="4">
        <v>43170</v>
      </c>
      <c r="C219">
        <v>8</v>
      </c>
      <c r="D219" t="s">
        <v>45</v>
      </c>
      <c r="E219" t="s">
        <v>46</v>
      </c>
      <c r="F219" t="s">
        <v>23</v>
      </c>
      <c r="G219" t="s">
        <v>24</v>
      </c>
      <c r="H219">
        <v>159</v>
      </c>
      <c r="I219">
        <v>2</v>
      </c>
      <c r="J219">
        <v>318</v>
      </c>
    </row>
    <row r="220" spans="1:10" x14ac:dyDescent="0.35">
      <c r="A220" s="3" t="s">
        <v>265</v>
      </c>
      <c r="B220" s="4">
        <v>43170</v>
      </c>
      <c r="C220">
        <v>7</v>
      </c>
      <c r="D220" t="s">
        <v>88</v>
      </c>
      <c r="E220" t="s">
        <v>46</v>
      </c>
      <c r="F220" t="s">
        <v>23</v>
      </c>
      <c r="G220" t="s">
        <v>24</v>
      </c>
      <c r="H220">
        <v>159</v>
      </c>
      <c r="I220">
        <v>1</v>
      </c>
      <c r="J220">
        <v>159</v>
      </c>
    </row>
    <row r="221" spans="1:10" x14ac:dyDescent="0.35">
      <c r="A221" s="3" t="s">
        <v>266</v>
      </c>
      <c r="B221" s="4">
        <v>43170</v>
      </c>
      <c r="C221">
        <v>17</v>
      </c>
      <c r="D221" t="s">
        <v>35</v>
      </c>
      <c r="E221" t="s">
        <v>36</v>
      </c>
      <c r="F221" t="s">
        <v>28</v>
      </c>
      <c r="G221" t="s">
        <v>24</v>
      </c>
      <c r="H221">
        <v>159</v>
      </c>
      <c r="I221">
        <v>2</v>
      </c>
      <c r="J221">
        <v>318</v>
      </c>
    </row>
    <row r="222" spans="1:10" x14ac:dyDescent="0.35">
      <c r="A222" s="3" t="s">
        <v>267</v>
      </c>
      <c r="B222" s="4">
        <v>43170</v>
      </c>
      <c r="C222">
        <v>13</v>
      </c>
      <c r="D222" t="s">
        <v>33</v>
      </c>
      <c r="E222" t="s">
        <v>12</v>
      </c>
      <c r="F222" t="s">
        <v>13</v>
      </c>
      <c r="G222" t="s">
        <v>24</v>
      </c>
      <c r="H222">
        <v>159</v>
      </c>
      <c r="I222">
        <v>3</v>
      </c>
      <c r="J222">
        <v>477</v>
      </c>
    </row>
    <row r="223" spans="1:10" x14ac:dyDescent="0.35">
      <c r="A223" s="3" t="s">
        <v>268</v>
      </c>
      <c r="B223" s="4">
        <v>43170</v>
      </c>
      <c r="C223">
        <v>4</v>
      </c>
      <c r="D223" t="s">
        <v>51</v>
      </c>
      <c r="E223" t="s">
        <v>17</v>
      </c>
      <c r="F223" t="s">
        <v>18</v>
      </c>
      <c r="G223" t="s">
        <v>14</v>
      </c>
      <c r="H223">
        <v>199</v>
      </c>
      <c r="I223">
        <v>8</v>
      </c>
      <c r="J223">
        <v>1592</v>
      </c>
    </row>
    <row r="224" spans="1:10" x14ac:dyDescent="0.35">
      <c r="A224" s="3" t="s">
        <v>269</v>
      </c>
      <c r="B224" s="4">
        <v>43170</v>
      </c>
      <c r="C224">
        <v>10</v>
      </c>
      <c r="D224" t="s">
        <v>58</v>
      </c>
      <c r="E224" t="s">
        <v>46</v>
      </c>
      <c r="F224" t="s">
        <v>23</v>
      </c>
      <c r="G224" t="s">
        <v>24</v>
      </c>
      <c r="H224">
        <v>159</v>
      </c>
      <c r="I224">
        <v>8</v>
      </c>
      <c r="J224">
        <v>1272</v>
      </c>
    </row>
    <row r="225" spans="1:10" x14ac:dyDescent="0.35">
      <c r="A225" s="3" t="s">
        <v>270</v>
      </c>
      <c r="B225" s="4">
        <v>43170</v>
      </c>
      <c r="C225">
        <v>9</v>
      </c>
      <c r="D225" t="s">
        <v>21</v>
      </c>
      <c r="E225" t="s">
        <v>22</v>
      </c>
      <c r="F225" t="s">
        <v>23</v>
      </c>
      <c r="G225" t="s">
        <v>41</v>
      </c>
      <c r="H225">
        <v>399</v>
      </c>
      <c r="I225">
        <v>6</v>
      </c>
      <c r="J225">
        <v>2394</v>
      </c>
    </row>
    <row r="226" spans="1:10" x14ac:dyDescent="0.35">
      <c r="A226" s="3" t="s">
        <v>271</v>
      </c>
      <c r="B226" s="4">
        <v>43170</v>
      </c>
      <c r="C226">
        <v>2</v>
      </c>
      <c r="D226" t="s">
        <v>106</v>
      </c>
      <c r="E226" t="s">
        <v>17</v>
      </c>
      <c r="F226" t="s">
        <v>18</v>
      </c>
      <c r="G226" t="s">
        <v>41</v>
      </c>
      <c r="H226">
        <v>399</v>
      </c>
      <c r="I226">
        <v>9</v>
      </c>
      <c r="J226">
        <v>3591</v>
      </c>
    </row>
    <row r="227" spans="1:10" x14ac:dyDescent="0.35">
      <c r="A227" s="3" t="s">
        <v>272</v>
      </c>
      <c r="B227" s="4">
        <v>43171</v>
      </c>
      <c r="C227">
        <v>14</v>
      </c>
      <c r="D227" t="s">
        <v>38</v>
      </c>
      <c r="E227" t="s">
        <v>12</v>
      </c>
      <c r="F227" t="s">
        <v>13</v>
      </c>
      <c r="G227" t="s">
        <v>41</v>
      </c>
      <c r="H227">
        <v>399</v>
      </c>
      <c r="I227">
        <v>1</v>
      </c>
      <c r="J227">
        <v>399</v>
      </c>
    </row>
    <row r="228" spans="1:10" x14ac:dyDescent="0.35">
      <c r="A228" s="3" t="s">
        <v>273</v>
      </c>
      <c r="B228" s="4">
        <v>43172</v>
      </c>
      <c r="C228">
        <v>14</v>
      </c>
      <c r="D228" t="s">
        <v>38</v>
      </c>
      <c r="E228" t="s">
        <v>12</v>
      </c>
      <c r="F228" t="s">
        <v>13</v>
      </c>
      <c r="G228" t="s">
        <v>41</v>
      </c>
      <c r="H228">
        <v>399</v>
      </c>
      <c r="I228">
        <v>1</v>
      </c>
      <c r="J228">
        <v>399</v>
      </c>
    </row>
    <row r="229" spans="1:10" x14ac:dyDescent="0.35">
      <c r="A229" s="3" t="s">
        <v>274</v>
      </c>
      <c r="B229" s="4">
        <v>43173</v>
      </c>
      <c r="C229">
        <v>1</v>
      </c>
      <c r="D229" t="s">
        <v>16</v>
      </c>
      <c r="E229" t="s">
        <v>68</v>
      </c>
      <c r="F229" t="s">
        <v>18</v>
      </c>
      <c r="G229" t="s">
        <v>19</v>
      </c>
      <c r="H229">
        <v>289</v>
      </c>
      <c r="I229">
        <v>2</v>
      </c>
      <c r="J229">
        <v>578</v>
      </c>
    </row>
    <row r="230" spans="1:10" x14ac:dyDescent="0.35">
      <c r="A230" s="3" t="s">
        <v>275</v>
      </c>
      <c r="B230" s="4">
        <v>43173</v>
      </c>
      <c r="C230">
        <v>17</v>
      </c>
      <c r="D230" t="s">
        <v>35</v>
      </c>
      <c r="E230" t="s">
        <v>27</v>
      </c>
      <c r="F230" t="s">
        <v>28</v>
      </c>
      <c r="G230" t="s">
        <v>19</v>
      </c>
      <c r="H230">
        <v>289</v>
      </c>
      <c r="I230">
        <v>8</v>
      </c>
      <c r="J230">
        <v>2312</v>
      </c>
    </row>
    <row r="231" spans="1:10" x14ac:dyDescent="0.35">
      <c r="A231" s="3" t="s">
        <v>276</v>
      </c>
      <c r="B231" s="4">
        <v>43174</v>
      </c>
      <c r="C231">
        <v>3</v>
      </c>
      <c r="D231" t="s">
        <v>43</v>
      </c>
      <c r="E231" t="s">
        <v>17</v>
      </c>
      <c r="F231" t="s">
        <v>18</v>
      </c>
      <c r="G231" t="s">
        <v>41</v>
      </c>
      <c r="H231">
        <v>399</v>
      </c>
      <c r="I231">
        <v>6</v>
      </c>
      <c r="J231">
        <v>2394</v>
      </c>
    </row>
    <row r="232" spans="1:10" x14ac:dyDescent="0.35">
      <c r="A232" s="3" t="s">
        <v>277</v>
      </c>
      <c r="B232" s="4">
        <v>43174</v>
      </c>
      <c r="C232">
        <v>19</v>
      </c>
      <c r="D232" t="s">
        <v>56</v>
      </c>
      <c r="E232" t="s">
        <v>27</v>
      </c>
      <c r="F232" t="s">
        <v>28</v>
      </c>
      <c r="G232" t="s">
        <v>14</v>
      </c>
      <c r="H232">
        <v>199</v>
      </c>
      <c r="I232">
        <v>6</v>
      </c>
      <c r="J232">
        <v>1194</v>
      </c>
    </row>
    <row r="233" spans="1:10" x14ac:dyDescent="0.35">
      <c r="A233" s="3" t="s">
        <v>278</v>
      </c>
      <c r="B233" s="4">
        <v>43174</v>
      </c>
      <c r="C233">
        <v>7</v>
      </c>
      <c r="D233" t="s">
        <v>88</v>
      </c>
      <c r="E233" t="s">
        <v>46</v>
      </c>
      <c r="F233" t="s">
        <v>23</v>
      </c>
      <c r="G233" t="s">
        <v>41</v>
      </c>
      <c r="H233">
        <v>399</v>
      </c>
      <c r="I233">
        <v>9</v>
      </c>
      <c r="J233">
        <v>3591</v>
      </c>
    </row>
    <row r="234" spans="1:10" x14ac:dyDescent="0.35">
      <c r="A234" s="3" t="s">
        <v>279</v>
      </c>
      <c r="B234" s="4">
        <v>43174</v>
      </c>
      <c r="C234">
        <v>9</v>
      </c>
      <c r="D234" t="s">
        <v>21</v>
      </c>
      <c r="E234" t="s">
        <v>46</v>
      </c>
      <c r="F234" t="s">
        <v>23</v>
      </c>
      <c r="G234" t="s">
        <v>31</v>
      </c>
      <c r="H234">
        <v>69</v>
      </c>
      <c r="I234">
        <v>8</v>
      </c>
      <c r="J234">
        <v>552</v>
      </c>
    </row>
    <row r="235" spans="1:10" x14ac:dyDescent="0.35">
      <c r="A235" s="3" t="s">
        <v>280</v>
      </c>
      <c r="B235" s="4">
        <v>43175</v>
      </c>
      <c r="C235">
        <v>15</v>
      </c>
      <c r="D235" t="s">
        <v>118</v>
      </c>
      <c r="E235" t="s">
        <v>63</v>
      </c>
      <c r="F235" t="s">
        <v>13</v>
      </c>
      <c r="G235" t="s">
        <v>14</v>
      </c>
      <c r="H235">
        <v>199</v>
      </c>
      <c r="I235">
        <v>2</v>
      </c>
      <c r="J235">
        <v>398</v>
      </c>
    </row>
    <row r="236" spans="1:10" x14ac:dyDescent="0.35">
      <c r="A236" s="3" t="s">
        <v>281</v>
      </c>
      <c r="B236" s="4">
        <v>43175</v>
      </c>
      <c r="C236">
        <v>2</v>
      </c>
      <c r="D236" t="s">
        <v>106</v>
      </c>
      <c r="E236" t="s">
        <v>17</v>
      </c>
      <c r="F236" t="s">
        <v>18</v>
      </c>
      <c r="G236" t="s">
        <v>19</v>
      </c>
      <c r="H236">
        <v>289</v>
      </c>
      <c r="I236">
        <v>3</v>
      </c>
      <c r="J236">
        <v>867</v>
      </c>
    </row>
    <row r="237" spans="1:10" x14ac:dyDescent="0.35">
      <c r="A237" s="3" t="s">
        <v>282</v>
      </c>
      <c r="B237" s="4">
        <v>43175</v>
      </c>
      <c r="C237">
        <v>20</v>
      </c>
      <c r="D237" t="s">
        <v>40</v>
      </c>
      <c r="E237" t="s">
        <v>36</v>
      </c>
      <c r="F237" t="s">
        <v>28</v>
      </c>
      <c r="G237" t="s">
        <v>31</v>
      </c>
      <c r="H237">
        <v>69</v>
      </c>
      <c r="I237">
        <v>8</v>
      </c>
      <c r="J237">
        <v>552</v>
      </c>
    </row>
    <row r="238" spans="1:10" x14ac:dyDescent="0.35">
      <c r="A238" s="3" t="s">
        <v>283</v>
      </c>
      <c r="B238" s="4">
        <v>43175</v>
      </c>
      <c r="C238">
        <v>4</v>
      </c>
      <c r="D238" t="s">
        <v>51</v>
      </c>
      <c r="E238" t="s">
        <v>17</v>
      </c>
      <c r="F238" t="s">
        <v>18</v>
      </c>
      <c r="G238" t="s">
        <v>31</v>
      </c>
      <c r="H238">
        <v>69</v>
      </c>
      <c r="I238">
        <v>7</v>
      </c>
      <c r="J238">
        <v>483</v>
      </c>
    </row>
    <row r="239" spans="1:10" x14ac:dyDescent="0.35">
      <c r="A239" s="3" t="s">
        <v>284</v>
      </c>
      <c r="B239" s="4">
        <v>43175</v>
      </c>
      <c r="C239">
        <v>7</v>
      </c>
      <c r="D239" t="s">
        <v>88</v>
      </c>
      <c r="E239" t="s">
        <v>22</v>
      </c>
      <c r="F239" t="s">
        <v>23</v>
      </c>
      <c r="G239" t="s">
        <v>14</v>
      </c>
      <c r="H239">
        <v>199</v>
      </c>
      <c r="I239">
        <v>3</v>
      </c>
      <c r="J239">
        <v>597</v>
      </c>
    </row>
    <row r="240" spans="1:10" x14ac:dyDescent="0.35">
      <c r="A240" s="3" t="s">
        <v>285</v>
      </c>
      <c r="B240" s="4">
        <v>43175</v>
      </c>
      <c r="C240">
        <v>16</v>
      </c>
      <c r="D240" t="s">
        <v>30</v>
      </c>
      <c r="E240" t="s">
        <v>36</v>
      </c>
      <c r="F240" t="s">
        <v>28</v>
      </c>
      <c r="G240" t="s">
        <v>41</v>
      </c>
      <c r="H240">
        <v>399</v>
      </c>
      <c r="I240">
        <v>9</v>
      </c>
      <c r="J240">
        <v>3591</v>
      </c>
    </row>
    <row r="241" spans="1:10" x14ac:dyDescent="0.35">
      <c r="A241" s="3" t="s">
        <v>286</v>
      </c>
      <c r="B241" s="4">
        <v>43175</v>
      </c>
      <c r="C241">
        <v>18</v>
      </c>
      <c r="D241" t="s">
        <v>26</v>
      </c>
      <c r="E241" t="s">
        <v>36</v>
      </c>
      <c r="F241" t="s">
        <v>28</v>
      </c>
      <c r="G241" t="s">
        <v>14</v>
      </c>
      <c r="H241">
        <v>199</v>
      </c>
      <c r="I241">
        <v>5</v>
      </c>
      <c r="J241">
        <v>995</v>
      </c>
    </row>
    <row r="242" spans="1:10" x14ac:dyDescent="0.35">
      <c r="A242" s="3" t="s">
        <v>287</v>
      </c>
      <c r="B242" s="4">
        <v>43175</v>
      </c>
      <c r="C242">
        <v>4</v>
      </c>
      <c r="D242" t="s">
        <v>51</v>
      </c>
      <c r="E242" t="s">
        <v>17</v>
      </c>
      <c r="F242" t="s">
        <v>18</v>
      </c>
      <c r="G242" t="s">
        <v>31</v>
      </c>
      <c r="H242">
        <v>69</v>
      </c>
      <c r="I242">
        <v>5</v>
      </c>
      <c r="J242">
        <v>345</v>
      </c>
    </row>
    <row r="243" spans="1:10" x14ac:dyDescent="0.35">
      <c r="A243" s="3" t="s">
        <v>288</v>
      </c>
      <c r="B243" s="4">
        <v>43176</v>
      </c>
      <c r="C243">
        <v>2</v>
      </c>
      <c r="D243" t="s">
        <v>106</v>
      </c>
      <c r="E243" t="s">
        <v>17</v>
      </c>
      <c r="F243" t="s">
        <v>18</v>
      </c>
      <c r="G243" t="s">
        <v>19</v>
      </c>
      <c r="H243">
        <v>289</v>
      </c>
      <c r="I243">
        <v>0</v>
      </c>
      <c r="J243">
        <v>0</v>
      </c>
    </row>
    <row r="244" spans="1:10" x14ac:dyDescent="0.35">
      <c r="A244" s="3" t="s">
        <v>289</v>
      </c>
      <c r="B244" s="4">
        <v>43176</v>
      </c>
      <c r="C244">
        <v>20</v>
      </c>
      <c r="D244" t="s">
        <v>40</v>
      </c>
      <c r="E244" t="s">
        <v>27</v>
      </c>
      <c r="F244" t="s">
        <v>28</v>
      </c>
      <c r="G244" t="s">
        <v>14</v>
      </c>
      <c r="H244">
        <v>199</v>
      </c>
      <c r="I244">
        <v>4</v>
      </c>
      <c r="J244">
        <v>796</v>
      </c>
    </row>
    <row r="245" spans="1:10" x14ac:dyDescent="0.35">
      <c r="A245" s="3" t="s">
        <v>290</v>
      </c>
      <c r="B245" s="4">
        <v>43176</v>
      </c>
      <c r="C245">
        <v>4</v>
      </c>
      <c r="D245" t="s">
        <v>51</v>
      </c>
      <c r="E245" t="s">
        <v>17</v>
      </c>
      <c r="F245" t="s">
        <v>18</v>
      </c>
      <c r="G245" t="s">
        <v>24</v>
      </c>
      <c r="H245">
        <v>159</v>
      </c>
      <c r="I245">
        <v>2</v>
      </c>
      <c r="J245">
        <v>318</v>
      </c>
    </row>
    <row r="246" spans="1:10" x14ac:dyDescent="0.35">
      <c r="A246" s="3" t="s">
        <v>291</v>
      </c>
      <c r="B246" s="4">
        <v>43177</v>
      </c>
      <c r="C246">
        <v>19</v>
      </c>
      <c r="D246" t="s">
        <v>56</v>
      </c>
      <c r="E246" t="s">
        <v>27</v>
      </c>
      <c r="F246" t="s">
        <v>28</v>
      </c>
      <c r="G246" t="s">
        <v>24</v>
      </c>
      <c r="H246">
        <v>159</v>
      </c>
      <c r="I246">
        <v>0</v>
      </c>
      <c r="J246">
        <v>0</v>
      </c>
    </row>
    <row r="247" spans="1:10" x14ac:dyDescent="0.35">
      <c r="A247" s="3" t="s">
        <v>292</v>
      </c>
      <c r="B247" s="4">
        <v>43177</v>
      </c>
      <c r="C247">
        <v>20</v>
      </c>
      <c r="D247" t="s">
        <v>40</v>
      </c>
      <c r="E247" t="s">
        <v>27</v>
      </c>
      <c r="F247" t="s">
        <v>28</v>
      </c>
      <c r="G247" t="s">
        <v>19</v>
      </c>
      <c r="H247">
        <v>289</v>
      </c>
      <c r="I247">
        <v>4</v>
      </c>
      <c r="J247">
        <v>1156</v>
      </c>
    </row>
    <row r="248" spans="1:10" x14ac:dyDescent="0.35">
      <c r="A248" s="3" t="s">
        <v>293</v>
      </c>
      <c r="B248" s="4">
        <v>43177</v>
      </c>
      <c r="C248">
        <v>6</v>
      </c>
      <c r="D248" t="s">
        <v>48</v>
      </c>
      <c r="E248" t="s">
        <v>22</v>
      </c>
      <c r="F248" t="s">
        <v>23</v>
      </c>
      <c r="G248" t="s">
        <v>19</v>
      </c>
      <c r="H248">
        <v>289</v>
      </c>
      <c r="I248">
        <v>2</v>
      </c>
      <c r="J248">
        <v>578</v>
      </c>
    </row>
    <row r="249" spans="1:10" x14ac:dyDescent="0.35">
      <c r="A249" s="3" t="s">
        <v>294</v>
      </c>
      <c r="B249" s="4">
        <v>43177</v>
      </c>
      <c r="C249">
        <v>18</v>
      </c>
      <c r="D249" t="s">
        <v>26</v>
      </c>
      <c r="E249" t="s">
        <v>36</v>
      </c>
      <c r="F249" t="s">
        <v>28</v>
      </c>
      <c r="G249" t="s">
        <v>31</v>
      </c>
      <c r="H249">
        <v>69</v>
      </c>
      <c r="I249">
        <v>5</v>
      </c>
      <c r="J249">
        <v>345</v>
      </c>
    </row>
    <row r="250" spans="1:10" x14ac:dyDescent="0.35">
      <c r="A250" s="3" t="s">
        <v>295</v>
      </c>
      <c r="B250" s="4">
        <v>43177</v>
      </c>
      <c r="C250">
        <v>19</v>
      </c>
      <c r="D250" t="s">
        <v>56</v>
      </c>
      <c r="E250" t="s">
        <v>27</v>
      </c>
      <c r="F250" t="s">
        <v>28</v>
      </c>
      <c r="G250" t="s">
        <v>41</v>
      </c>
      <c r="H250">
        <v>399</v>
      </c>
      <c r="I250">
        <v>3</v>
      </c>
      <c r="J250">
        <v>1197</v>
      </c>
    </row>
    <row r="251" spans="1:10" x14ac:dyDescent="0.35">
      <c r="A251" s="3" t="s">
        <v>296</v>
      </c>
      <c r="B251" s="4">
        <v>43177</v>
      </c>
      <c r="C251">
        <v>8</v>
      </c>
      <c r="D251" t="s">
        <v>45</v>
      </c>
      <c r="E251" t="s">
        <v>22</v>
      </c>
      <c r="F251" t="s">
        <v>23</v>
      </c>
      <c r="G251" t="s">
        <v>24</v>
      </c>
      <c r="H251">
        <v>159</v>
      </c>
      <c r="I251">
        <v>7</v>
      </c>
      <c r="J251">
        <v>1113</v>
      </c>
    </row>
    <row r="252" spans="1:10" x14ac:dyDescent="0.35">
      <c r="A252" s="3" t="s">
        <v>297</v>
      </c>
      <c r="B252" s="4">
        <v>43177</v>
      </c>
      <c r="C252">
        <v>2</v>
      </c>
      <c r="D252" t="s">
        <v>106</v>
      </c>
      <c r="E252" t="s">
        <v>68</v>
      </c>
      <c r="F252" t="s">
        <v>18</v>
      </c>
      <c r="G252" t="s">
        <v>41</v>
      </c>
      <c r="H252">
        <v>399</v>
      </c>
      <c r="I252">
        <v>9</v>
      </c>
      <c r="J252">
        <v>3591</v>
      </c>
    </row>
    <row r="253" spans="1:10" x14ac:dyDescent="0.35">
      <c r="A253" s="3" t="s">
        <v>298</v>
      </c>
      <c r="B253" s="4">
        <v>43177</v>
      </c>
      <c r="C253">
        <v>14</v>
      </c>
      <c r="D253" t="s">
        <v>38</v>
      </c>
      <c r="E253" t="s">
        <v>12</v>
      </c>
      <c r="F253" t="s">
        <v>13</v>
      </c>
      <c r="G253" t="s">
        <v>14</v>
      </c>
      <c r="H253">
        <v>199</v>
      </c>
      <c r="I253">
        <v>2</v>
      </c>
      <c r="J253">
        <v>398</v>
      </c>
    </row>
    <row r="254" spans="1:10" x14ac:dyDescent="0.35">
      <c r="A254" s="3" t="s">
        <v>299</v>
      </c>
      <c r="B254" s="4">
        <v>43177</v>
      </c>
      <c r="C254">
        <v>16</v>
      </c>
      <c r="D254" t="s">
        <v>30</v>
      </c>
      <c r="E254" t="s">
        <v>27</v>
      </c>
      <c r="F254" t="s">
        <v>28</v>
      </c>
      <c r="G254" t="s">
        <v>41</v>
      </c>
      <c r="H254">
        <v>399</v>
      </c>
      <c r="I254">
        <v>5</v>
      </c>
      <c r="J254">
        <v>1995</v>
      </c>
    </row>
    <row r="255" spans="1:10" x14ac:dyDescent="0.35">
      <c r="A255" s="3" t="s">
        <v>300</v>
      </c>
      <c r="B255" s="4">
        <v>43178</v>
      </c>
      <c r="C255">
        <v>6</v>
      </c>
      <c r="D255" t="s">
        <v>48</v>
      </c>
      <c r="E255" t="s">
        <v>22</v>
      </c>
      <c r="F255" t="s">
        <v>23</v>
      </c>
      <c r="G255" t="s">
        <v>24</v>
      </c>
      <c r="H255">
        <v>159</v>
      </c>
      <c r="I255">
        <v>4</v>
      </c>
      <c r="J255">
        <v>636</v>
      </c>
    </row>
    <row r="256" spans="1:10" x14ac:dyDescent="0.35">
      <c r="A256" s="3" t="s">
        <v>301</v>
      </c>
      <c r="B256" s="4">
        <v>43178</v>
      </c>
      <c r="C256">
        <v>5</v>
      </c>
      <c r="D256" t="s">
        <v>60</v>
      </c>
      <c r="E256" t="s">
        <v>68</v>
      </c>
      <c r="F256" t="s">
        <v>18</v>
      </c>
      <c r="G256" t="s">
        <v>14</v>
      </c>
      <c r="H256">
        <v>199</v>
      </c>
      <c r="I256">
        <v>9</v>
      </c>
      <c r="J256">
        <v>1791</v>
      </c>
    </row>
    <row r="257" spans="1:10" x14ac:dyDescent="0.35">
      <c r="A257" s="3" t="s">
        <v>302</v>
      </c>
      <c r="B257" s="4">
        <v>43178</v>
      </c>
      <c r="C257">
        <v>18</v>
      </c>
      <c r="D257" t="s">
        <v>26</v>
      </c>
      <c r="E257" t="s">
        <v>27</v>
      </c>
      <c r="F257" t="s">
        <v>28</v>
      </c>
      <c r="G257" t="s">
        <v>24</v>
      </c>
      <c r="H257">
        <v>159</v>
      </c>
      <c r="I257">
        <v>2</v>
      </c>
      <c r="J257">
        <v>318</v>
      </c>
    </row>
    <row r="258" spans="1:10" x14ac:dyDescent="0.35">
      <c r="A258" s="3" t="s">
        <v>303</v>
      </c>
      <c r="B258" s="4">
        <v>43178</v>
      </c>
      <c r="C258">
        <v>2</v>
      </c>
      <c r="D258" t="s">
        <v>106</v>
      </c>
      <c r="E258" t="s">
        <v>17</v>
      </c>
      <c r="F258" t="s">
        <v>18</v>
      </c>
      <c r="G258" t="s">
        <v>31</v>
      </c>
      <c r="H258">
        <v>69</v>
      </c>
      <c r="I258">
        <v>8</v>
      </c>
      <c r="J258">
        <v>552</v>
      </c>
    </row>
    <row r="259" spans="1:10" x14ac:dyDescent="0.35">
      <c r="A259" s="3" t="s">
        <v>304</v>
      </c>
      <c r="B259" s="4">
        <v>43179</v>
      </c>
      <c r="C259">
        <v>17</v>
      </c>
      <c r="D259" t="s">
        <v>35</v>
      </c>
      <c r="E259" t="s">
        <v>36</v>
      </c>
      <c r="F259" t="s">
        <v>28</v>
      </c>
      <c r="G259" t="s">
        <v>41</v>
      </c>
      <c r="H259">
        <v>399</v>
      </c>
      <c r="I259">
        <v>5</v>
      </c>
      <c r="J259">
        <v>1995</v>
      </c>
    </row>
    <row r="260" spans="1:10" x14ac:dyDescent="0.35">
      <c r="A260" s="3" t="s">
        <v>305</v>
      </c>
      <c r="B260" s="4">
        <v>43179</v>
      </c>
      <c r="C260">
        <v>16</v>
      </c>
      <c r="D260" t="s">
        <v>30</v>
      </c>
      <c r="E260" t="s">
        <v>27</v>
      </c>
      <c r="F260" t="s">
        <v>28</v>
      </c>
      <c r="G260" t="s">
        <v>19</v>
      </c>
      <c r="H260">
        <v>289</v>
      </c>
      <c r="I260">
        <v>1</v>
      </c>
      <c r="J260">
        <v>289</v>
      </c>
    </row>
    <row r="261" spans="1:10" x14ac:dyDescent="0.35">
      <c r="A261" s="3" t="s">
        <v>306</v>
      </c>
      <c r="B261" s="4">
        <v>43179</v>
      </c>
      <c r="C261">
        <v>14</v>
      </c>
      <c r="D261" t="s">
        <v>38</v>
      </c>
      <c r="E261" t="s">
        <v>12</v>
      </c>
      <c r="F261" t="s">
        <v>13</v>
      </c>
      <c r="G261" t="s">
        <v>31</v>
      </c>
      <c r="H261">
        <v>69</v>
      </c>
      <c r="I261">
        <v>9</v>
      </c>
      <c r="J261">
        <v>621</v>
      </c>
    </row>
    <row r="262" spans="1:10" x14ac:dyDescent="0.35">
      <c r="A262" s="3" t="s">
        <v>307</v>
      </c>
      <c r="B262" s="4">
        <v>43180</v>
      </c>
      <c r="C262">
        <v>4</v>
      </c>
      <c r="D262" t="s">
        <v>51</v>
      </c>
      <c r="E262" t="s">
        <v>17</v>
      </c>
      <c r="F262" t="s">
        <v>18</v>
      </c>
      <c r="G262" t="s">
        <v>14</v>
      </c>
      <c r="H262">
        <v>199</v>
      </c>
      <c r="I262">
        <v>8</v>
      </c>
      <c r="J262">
        <v>1592</v>
      </c>
    </row>
    <row r="263" spans="1:10" x14ac:dyDescent="0.35">
      <c r="A263" s="3" t="s">
        <v>308</v>
      </c>
      <c r="B263" s="4">
        <v>43181</v>
      </c>
      <c r="C263">
        <v>8</v>
      </c>
      <c r="D263" t="s">
        <v>45</v>
      </c>
      <c r="E263" t="s">
        <v>46</v>
      </c>
      <c r="F263" t="s">
        <v>23</v>
      </c>
      <c r="G263" t="s">
        <v>24</v>
      </c>
      <c r="H263">
        <v>159</v>
      </c>
      <c r="I263">
        <v>1</v>
      </c>
      <c r="J263">
        <v>159</v>
      </c>
    </row>
    <row r="264" spans="1:10" x14ac:dyDescent="0.35">
      <c r="A264" s="3" t="s">
        <v>309</v>
      </c>
      <c r="B264" s="4">
        <v>43182</v>
      </c>
      <c r="C264">
        <v>7</v>
      </c>
      <c r="D264" t="s">
        <v>88</v>
      </c>
      <c r="E264" t="s">
        <v>46</v>
      </c>
      <c r="F264" t="s">
        <v>23</v>
      </c>
      <c r="G264" t="s">
        <v>24</v>
      </c>
      <c r="H264">
        <v>159</v>
      </c>
      <c r="I264">
        <v>5</v>
      </c>
      <c r="J264">
        <v>795</v>
      </c>
    </row>
    <row r="265" spans="1:10" x14ac:dyDescent="0.35">
      <c r="A265" s="3" t="s">
        <v>310</v>
      </c>
      <c r="B265" s="4">
        <v>43183</v>
      </c>
      <c r="C265">
        <v>17</v>
      </c>
      <c r="D265" t="s">
        <v>35</v>
      </c>
      <c r="E265" t="s">
        <v>36</v>
      </c>
      <c r="F265" t="s">
        <v>28</v>
      </c>
      <c r="G265" t="s">
        <v>14</v>
      </c>
      <c r="H265">
        <v>199</v>
      </c>
      <c r="I265">
        <v>1</v>
      </c>
      <c r="J265">
        <v>199</v>
      </c>
    </row>
    <row r="266" spans="1:10" x14ac:dyDescent="0.35">
      <c r="A266" s="3" t="s">
        <v>311</v>
      </c>
      <c r="B266" s="4">
        <v>43183</v>
      </c>
      <c r="C266">
        <v>17</v>
      </c>
      <c r="D266" t="s">
        <v>35</v>
      </c>
      <c r="E266" t="s">
        <v>27</v>
      </c>
      <c r="F266" t="s">
        <v>28</v>
      </c>
      <c r="G266" t="s">
        <v>19</v>
      </c>
      <c r="H266">
        <v>289</v>
      </c>
      <c r="I266">
        <v>7</v>
      </c>
      <c r="J266">
        <v>2023</v>
      </c>
    </row>
    <row r="267" spans="1:10" x14ac:dyDescent="0.35">
      <c r="A267" s="3" t="s">
        <v>312</v>
      </c>
      <c r="B267" s="4">
        <v>43184</v>
      </c>
      <c r="C267">
        <v>12</v>
      </c>
      <c r="D267" t="s">
        <v>66</v>
      </c>
      <c r="E267" t="s">
        <v>63</v>
      </c>
      <c r="F267" t="s">
        <v>13</v>
      </c>
      <c r="G267" t="s">
        <v>31</v>
      </c>
      <c r="H267">
        <v>69</v>
      </c>
      <c r="I267">
        <v>4</v>
      </c>
      <c r="J267">
        <v>276</v>
      </c>
    </row>
    <row r="268" spans="1:10" x14ac:dyDescent="0.35">
      <c r="A268" s="3" t="s">
        <v>313</v>
      </c>
      <c r="B268" s="4">
        <v>43184</v>
      </c>
      <c r="C268">
        <v>16</v>
      </c>
      <c r="D268" t="s">
        <v>30</v>
      </c>
      <c r="E268" t="s">
        <v>27</v>
      </c>
      <c r="F268" t="s">
        <v>28</v>
      </c>
      <c r="G268" t="s">
        <v>14</v>
      </c>
      <c r="H268">
        <v>199</v>
      </c>
      <c r="I268">
        <v>8</v>
      </c>
      <c r="J268">
        <v>1592</v>
      </c>
    </row>
    <row r="269" spans="1:10" x14ac:dyDescent="0.35">
      <c r="A269" s="3" t="s">
        <v>314</v>
      </c>
      <c r="B269" s="4">
        <v>43184</v>
      </c>
      <c r="C269">
        <v>4</v>
      </c>
      <c r="D269" t="s">
        <v>51</v>
      </c>
      <c r="E269" t="s">
        <v>68</v>
      </c>
      <c r="F269" t="s">
        <v>18</v>
      </c>
      <c r="G269" t="s">
        <v>14</v>
      </c>
      <c r="H269">
        <v>199</v>
      </c>
      <c r="I269">
        <v>1</v>
      </c>
      <c r="J269">
        <v>199</v>
      </c>
    </row>
    <row r="270" spans="1:10" x14ac:dyDescent="0.35">
      <c r="A270" s="3" t="s">
        <v>315</v>
      </c>
      <c r="B270" s="4">
        <v>43184</v>
      </c>
      <c r="C270">
        <v>20</v>
      </c>
      <c r="D270" t="s">
        <v>40</v>
      </c>
      <c r="E270" t="s">
        <v>27</v>
      </c>
      <c r="F270" t="s">
        <v>28</v>
      </c>
      <c r="G270" t="s">
        <v>14</v>
      </c>
      <c r="H270">
        <v>199</v>
      </c>
      <c r="I270">
        <v>6</v>
      </c>
      <c r="J270">
        <v>1194</v>
      </c>
    </row>
    <row r="271" spans="1:10" x14ac:dyDescent="0.35">
      <c r="A271" s="3" t="s">
        <v>316</v>
      </c>
      <c r="B271" s="4">
        <v>43184</v>
      </c>
      <c r="C271">
        <v>14</v>
      </c>
      <c r="D271" t="s">
        <v>38</v>
      </c>
      <c r="E271" t="s">
        <v>63</v>
      </c>
      <c r="F271" t="s">
        <v>13</v>
      </c>
      <c r="G271" t="s">
        <v>41</v>
      </c>
      <c r="H271">
        <v>399</v>
      </c>
      <c r="I271">
        <v>9</v>
      </c>
      <c r="J271">
        <v>3591</v>
      </c>
    </row>
    <row r="272" spans="1:10" x14ac:dyDescent="0.35">
      <c r="A272" s="3" t="s">
        <v>317</v>
      </c>
      <c r="B272" s="4">
        <v>43184</v>
      </c>
      <c r="C272">
        <v>14</v>
      </c>
      <c r="D272" t="s">
        <v>38</v>
      </c>
      <c r="E272" t="s">
        <v>12</v>
      </c>
      <c r="F272" t="s">
        <v>13</v>
      </c>
      <c r="G272" t="s">
        <v>14</v>
      </c>
      <c r="H272">
        <v>199</v>
      </c>
      <c r="I272">
        <v>3</v>
      </c>
      <c r="J272">
        <v>597</v>
      </c>
    </row>
    <row r="273" spans="1:10" x14ac:dyDescent="0.35">
      <c r="A273" s="3" t="s">
        <v>318</v>
      </c>
      <c r="B273" s="4">
        <v>43184</v>
      </c>
      <c r="C273">
        <v>15</v>
      </c>
      <c r="D273" t="s">
        <v>118</v>
      </c>
      <c r="E273" t="s">
        <v>63</v>
      </c>
      <c r="F273" t="s">
        <v>13</v>
      </c>
      <c r="G273" t="s">
        <v>19</v>
      </c>
      <c r="H273">
        <v>289</v>
      </c>
      <c r="I273">
        <v>7</v>
      </c>
      <c r="J273">
        <v>2023</v>
      </c>
    </row>
    <row r="274" spans="1:10" x14ac:dyDescent="0.35">
      <c r="A274" s="3" t="s">
        <v>319</v>
      </c>
      <c r="B274" s="4">
        <v>43184</v>
      </c>
      <c r="C274">
        <v>3</v>
      </c>
      <c r="D274" t="s">
        <v>43</v>
      </c>
      <c r="E274" t="s">
        <v>68</v>
      </c>
      <c r="F274" t="s">
        <v>18</v>
      </c>
      <c r="G274" t="s">
        <v>14</v>
      </c>
      <c r="H274">
        <v>199</v>
      </c>
      <c r="I274">
        <v>9</v>
      </c>
      <c r="J274">
        <v>1791</v>
      </c>
    </row>
    <row r="275" spans="1:10" x14ac:dyDescent="0.35">
      <c r="A275" s="3" t="s">
        <v>320</v>
      </c>
      <c r="B275" s="4">
        <v>43184</v>
      </c>
      <c r="C275">
        <v>7</v>
      </c>
      <c r="D275" t="s">
        <v>88</v>
      </c>
      <c r="E275" t="s">
        <v>22</v>
      </c>
      <c r="F275" t="s">
        <v>23</v>
      </c>
      <c r="G275" t="s">
        <v>14</v>
      </c>
      <c r="H275">
        <v>199</v>
      </c>
      <c r="I275">
        <v>3</v>
      </c>
      <c r="J275">
        <v>597</v>
      </c>
    </row>
    <row r="276" spans="1:10" x14ac:dyDescent="0.35">
      <c r="A276" s="3" t="s">
        <v>321</v>
      </c>
      <c r="B276" s="4">
        <v>43184</v>
      </c>
      <c r="C276">
        <v>7</v>
      </c>
      <c r="D276" t="s">
        <v>88</v>
      </c>
      <c r="E276" t="s">
        <v>46</v>
      </c>
      <c r="F276" t="s">
        <v>23</v>
      </c>
      <c r="G276" t="s">
        <v>19</v>
      </c>
      <c r="H276">
        <v>289</v>
      </c>
      <c r="I276">
        <v>0</v>
      </c>
      <c r="J276">
        <v>0</v>
      </c>
    </row>
    <row r="277" spans="1:10" x14ac:dyDescent="0.35">
      <c r="A277" s="3" t="s">
        <v>322</v>
      </c>
      <c r="B277" s="4">
        <v>43184</v>
      </c>
      <c r="C277">
        <v>2</v>
      </c>
      <c r="D277" t="s">
        <v>106</v>
      </c>
      <c r="E277" t="s">
        <v>17</v>
      </c>
      <c r="F277" t="s">
        <v>18</v>
      </c>
      <c r="G277" t="s">
        <v>24</v>
      </c>
      <c r="H277">
        <v>159</v>
      </c>
      <c r="I277">
        <v>7</v>
      </c>
      <c r="J277">
        <v>1113</v>
      </c>
    </row>
    <row r="278" spans="1:10" x14ac:dyDescent="0.35">
      <c r="A278" s="3" t="s">
        <v>323</v>
      </c>
      <c r="B278" s="4">
        <v>43185</v>
      </c>
      <c r="C278">
        <v>16</v>
      </c>
      <c r="D278" t="s">
        <v>30</v>
      </c>
      <c r="E278" t="s">
        <v>27</v>
      </c>
      <c r="F278" t="s">
        <v>28</v>
      </c>
      <c r="G278" t="s">
        <v>19</v>
      </c>
      <c r="H278">
        <v>289</v>
      </c>
      <c r="I278">
        <v>3</v>
      </c>
      <c r="J278">
        <v>867</v>
      </c>
    </row>
    <row r="279" spans="1:10" x14ac:dyDescent="0.35">
      <c r="A279" s="3" t="s">
        <v>324</v>
      </c>
      <c r="B279" s="4">
        <v>43185</v>
      </c>
      <c r="C279">
        <v>6</v>
      </c>
      <c r="D279" t="s">
        <v>48</v>
      </c>
      <c r="E279" t="s">
        <v>22</v>
      </c>
      <c r="F279" t="s">
        <v>23</v>
      </c>
      <c r="G279" t="s">
        <v>41</v>
      </c>
      <c r="H279">
        <v>399</v>
      </c>
      <c r="I279">
        <v>8</v>
      </c>
      <c r="J279">
        <v>3192</v>
      </c>
    </row>
    <row r="280" spans="1:10" x14ac:dyDescent="0.35">
      <c r="A280" s="3" t="s">
        <v>325</v>
      </c>
      <c r="B280" s="4">
        <v>43185</v>
      </c>
      <c r="C280">
        <v>9</v>
      </c>
      <c r="D280" t="s">
        <v>21</v>
      </c>
      <c r="E280" t="s">
        <v>22</v>
      </c>
      <c r="F280" t="s">
        <v>23</v>
      </c>
      <c r="G280" t="s">
        <v>31</v>
      </c>
      <c r="H280">
        <v>69</v>
      </c>
      <c r="I280">
        <v>9</v>
      </c>
      <c r="J280">
        <v>621</v>
      </c>
    </row>
    <row r="281" spans="1:10" x14ac:dyDescent="0.35">
      <c r="A281" s="3" t="s">
        <v>326</v>
      </c>
      <c r="B281" s="4">
        <v>43185</v>
      </c>
      <c r="C281">
        <v>16</v>
      </c>
      <c r="D281" t="s">
        <v>30</v>
      </c>
      <c r="E281" t="s">
        <v>36</v>
      </c>
      <c r="F281" t="s">
        <v>28</v>
      </c>
      <c r="G281" t="s">
        <v>14</v>
      </c>
      <c r="H281">
        <v>199</v>
      </c>
      <c r="I281">
        <v>1</v>
      </c>
      <c r="J281">
        <v>199</v>
      </c>
    </row>
    <row r="282" spans="1:10" x14ac:dyDescent="0.35">
      <c r="A282" s="3" t="s">
        <v>327</v>
      </c>
      <c r="B282" s="4">
        <v>43185</v>
      </c>
      <c r="C282">
        <v>20</v>
      </c>
      <c r="D282" t="s">
        <v>40</v>
      </c>
      <c r="E282" t="s">
        <v>36</v>
      </c>
      <c r="F282" t="s">
        <v>28</v>
      </c>
      <c r="G282" t="s">
        <v>31</v>
      </c>
      <c r="H282">
        <v>69</v>
      </c>
      <c r="I282">
        <v>3</v>
      </c>
      <c r="J282">
        <v>207</v>
      </c>
    </row>
    <row r="283" spans="1:10" x14ac:dyDescent="0.35">
      <c r="A283" s="3" t="s">
        <v>328</v>
      </c>
      <c r="B283" s="4">
        <v>43186</v>
      </c>
      <c r="C283">
        <v>16</v>
      </c>
      <c r="D283" t="s">
        <v>30</v>
      </c>
      <c r="E283" t="s">
        <v>27</v>
      </c>
      <c r="F283" t="s">
        <v>28</v>
      </c>
      <c r="G283" t="s">
        <v>24</v>
      </c>
      <c r="H283">
        <v>159</v>
      </c>
      <c r="I283">
        <v>6</v>
      </c>
      <c r="J283">
        <v>954</v>
      </c>
    </row>
    <row r="284" spans="1:10" x14ac:dyDescent="0.35">
      <c r="A284" s="3" t="s">
        <v>329</v>
      </c>
      <c r="B284" s="4">
        <v>43186</v>
      </c>
      <c r="C284">
        <v>20</v>
      </c>
      <c r="D284" t="s">
        <v>40</v>
      </c>
      <c r="E284" t="s">
        <v>36</v>
      </c>
      <c r="F284" t="s">
        <v>28</v>
      </c>
      <c r="G284" t="s">
        <v>24</v>
      </c>
      <c r="H284">
        <v>159</v>
      </c>
      <c r="I284">
        <v>0</v>
      </c>
      <c r="J284">
        <v>0</v>
      </c>
    </row>
    <row r="285" spans="1:10" x14ac:dyDescent="0.35">
      <c r="A285" s="3" t="s">
        <v>330</v>
      </c>
      <c r="B285" s="4">
        <v>43186</v>
      </c>
      <c r="C285">
        <v>2</v>
      </c>
      <c r="D285" t="s">
        <v>106</v>
      </c>
      <c r="E285" t="s">
        <v>17</v>
      </c>
      <c r="F285" t="s">
        <v>18</v>
      </c>
      <c r="G285" t="s">
        <v>24</v>
      </c>
      <c r="H285">
        <v>159</v>
      </c>
      <c r="I285">
        <v>4</v>
      </c>
      <c r="J285">
        <v>636</v>
      </c>
    </row>
    <row r="286" spans="1:10" x14ac:dyDescent="0.35">
      <c r="A286" s="3" t="s">
        <v>331</v>
      </c>
      <c r="B286" s="4">
        <v>43186</v>
      </c>
      <c r="C286">
        <v>11</v>
      </c>
      <c r="D286" t="s">
        <v>11</v>
      </c>
      <c r="E286" t="s">
        <v>12</v>
      </c>
      <c r="F286" t="s">
        <v>13</v>
      </c>
      <c r="G286" t="s">
        <v>19</v>
      </c>
      <c r="H286">
        <v>289</v>
      </c>
      <c r="I286">
        <v>3</v>
      </c>
      <c r="J286">
        <v>867</v>
      </c>
    </row>
    <row r="287" spans="1:10" x14ac:dyDescent="0.35">
      <c r="A287" s="3" t="s">
        <v>332</v>
      </c>
      <c r="B287" s="4">
        <v>43186</v>
      </c>
      <c r="C287">
        <v>13</v>
      </c>
      <c r="D287" t="s">
        <v>33</v>
      </c>
      <c r="E287" t="s">
        <v>63</v>
      </c>
      <c r="F287" t="s">
        <v>13</v>
      </c>
      <c r="G287" t="s">
        <v>31</v>
      </c>
      <c r="H287">
        <v>69</v>
      </c>
      <c r="I287">
        <v>6</v>
      </c>
      <c r="J287">
        <v>414</v>
      </c>
    </row>
    <row r="288" spans="1:10" x14ac:dyDescent="0.35">
      <c r="A288" s="3" t="s">
        <v>333</v>
      </c>
      <c r="B288" s="4">
        <v>43186</v>
      </c>
      <c r="C288">
        <v>4</v>
      </c>
      <c r="D288" t="s">
        <v>51</v>
      </c>
      <c r="E288" t="s">
        <v>17</v>
      </c>
      <c r="F288" t="s">
        <v>18</v>
      </c>
      <c r="G288" t="s">
        <v>19</v>
      </c>
      <c r="H288">
        <v>289</v>
      </c>
      <c r="I288">
        <v>7</v>
      </c>
      <c r="J288">
        <v>2023</v>
      </c>
    </row>
    <row r="289" spans="1:10" x14ac:dyDescent="0.35">
      <c r="A289" s="3" t="s">
        <v>334</v>
      </c>
      <c r="B289" s="4">
        <v>43186</v>
      </c>
      <c r="C289">
        <v>3</v>
      </c>
      <c r="D289" t="s">
        <v>43</v>
      </c>
      <c r="E289" t="s">
        <v>68</v>
      </c>
      <c r="F289" t="s">
        <v>18</v>
      </c>
      <c r="G289" t="s">
        <v>24</v>
      </c>
      <c r="H289">
        <v>159</v>
      </c>
      <c r="I289">
        <v>2</v>
      </c>
      <c r="J289">
        <v>318</v>
      </c>
    </row>
    <row r="290" spans="1:10" x14ac:dyDescent="0.35">
      <c r="A290" s="3" t="s">
        <v>335</v>
      </c>
      <c r="B290" s="4">
        <v>43187</v>
      </c>
      <c r="C290">
        <v>20</v>
      </c>
      <c r="D290" t="s">
        <v>40</v>
      </c>
      <c r="E290" t="s">
        <v>36</v>
      </c>
      <c r="F290" t="s">
        <v>28</v>
      </c>
      <c r="G290" t="s">
        <v>19</v>
      </c>
      <c r="H290">
        <v>289</v>
      </c>
      <c r="I290">
        <v>1</v>
      </c>
      <c r="J290">
        <v>289</v>
      </c>
    </row>
    <row r="291" spans="1:10" x14ac:dyDescent="0.35">
      <c r="A291" s="3" t="s">
        <v>336</v>
      </c>
      <c r="B291" s="4">
        <v>43188</v>
      </c>
      <c r="C291">
        <v>3</v>
      </c>
      <c r="D291" t="s">
        <v>43</v>
      </c>
      <c r="E291" t="s">
        <v>17</v>
      </c>
      <c r="F291" t="s">
        <v>18</v>
      </c>
      <c r="G291" t="s">
        <v>24</v>
      </c>
      <c r="H291">
        <v>159</v>
      </c>
      <c r="I291">
        <v>9</v>
      </c>
      <c r="J291">
        <v>1431</v>
      </c>
    </row>
    <row r="292" spans="1:10" x14ac:dyDescent="0.35">
      <c r="A292" s="3" t="s">
        <v>337</v>
      </c>
      <c r="B292" s="4">
        <v>43189</v>
      </c>
      <c r="C292">
        <v>19</v>
      </c>
      <c r="D292" t="s">
        <v>56</v>
      </c>
      <c r="E292" t="s">
        <v>27</v>
      </c>
      <c r="F292" t="s">
        <v>28</v>
      </c>
      <c r="G292" t="s">
        <v>31</v>
      </c>
      <c r="H292">
        <v>69</v>
      </c>
      <c r="I292">
        <v>3</v>
      </c>
      <c r="J292">
        <v>207</v>
      </c>
    </row>
    <row r="293" spans="1:10" x14ac:dyDescent="0.35">
      <c r="A293" s="3" t="s">
        <v>338</v>
      </c>
      <c r="B293" s="4">
        <v>43189</v>
      </c>
      <c r="C293">
        <v>1</v>
      </c>
      <c r="D293" t="s">
        <v>16</v>
      </c>
      <c r="E293" t="s">
        <v>68</v>
      </c>
      <c r="F293" t="s">
        <v>18</v>
      </c>
      <c r="G293" t="s">
        <v>24</v>
      </c>
      <c r="H293">
        <v>159</v>
      </c>
      <c r="I293">
        <v>0</v>
      </c>
      <c r="J293">
        <v>0</v>
      </c>
    </row>
    <row r="294" spans="1:10" x14ac:dyDescent="0.35">
      <c r="A294" s="3" t="s">
        <v>339</v>
      </c>
      <c r="B294" s="4">
        <v>43189</v>
      </c>
      <c r="C294">
        <v>2</v>
      </c>
      <c r="D294" t="s">
        <v>106</v>
      </c>
      <c r="E294" t="s">
        <v>17</v>
      </c>
      <c r="F294" t="s">
        <v>18</v>
      </c>
      <c r="G294" t="s">
        <v>14</v>
      </c>
      <c r="H294">
        <v>199</v>
      </c>
      <c r="I294">
        <v>7</v>
      </c>
      <c r="J294">
        <v>1393</v>
      </c>
    </row>
    <row r="295" spans="1:10" x14ac:dyDescent="0.35">
      <c r="A295" s="3" t="s">
        <v>340</v>
      </c>
      <c r="B295" s="4">
        <v>43189</v>
      </c>
      <c r="C295">
        <v>16</v>
      </c>
      <c r="D295" t="s">
        <v>30</v>
      </c>
      <c r="E295" t="s">
        <v>27</v>
      </c>
      <c r="F295" t="s">
        <v>28</v>
      </c>
      <c r="G295" t="s">
        <v>24</v>
      </c>
      <c r="H295">
        <v>159</v>
      </c>
      <c r="I295">
        <v>2</v>
      </c>
      <c r="J295">
        <v>318</v>
      </c>
    </row>
    <row r="296" spans="1:10" x14ac:dyDescent="0.35">
      <c r="A296" s="3" t="s">
        <v>341</v>
      </c>
      <c r="B296" s="4">
        <v>43190</v>
      </c>
      <c r="C296">
        <v>7</v>
      </c>
      <c r="D296" t="s">
        <v>88</v>
      </c>
      <c r="E296" t="s">
        <v>46</v>
      </c>
      <c r="F296" t="s">
        <v>23</v>
      </c>
      <c r="G296" t="s">
        <v>31</v>
      </c>
      <c r="H296">
        <v>69</v>
      </c>
      <c r="I296">
        <v>3</v>
      </c>
      <c r="J296">
        <v>207</v>
      </c>
    </row>
    <row r="297" spans="1:10" x14ac:dyDescent="0.35">
      <c r="A297" s="3" t="s">
        <v>342</v>
      </c>
      <c r="B297" s="4">
        <v>43190</v>
      </c>
      <c r="C297">
        <v>9</v>
      </c>
      <c r="D297" t="s">
        <v>21</v>
      </c>
      <c r="E297" t="s">
        <v>22</v>
      </c>
      <c r="F297" t="s">
        <v>23</v>
      </c>
      <c r="G297" t="s">
        <v>31</v>
      </c>
      <c r="H297">
        <v>69</v>
      </c>
      <c r="I297">
        <v>4</v>
      </c>
      <c r="J297">
        <v>276</v>
      </c>
    </row>
    <row r="298" spans="1:10" x14ac:dyDescent="0.35">
      <c r="A298" s="3" t="s">
        <v>343</v>
      </c>
      <c r="B298" s="4">
        <v>43190</v>
      </c>
      <c r="C298">
        <v>14</v>
      </c>
      <c r="D298" t="s">
        <v>38</v>
      </c>
      <c r="E298" t="s">
        <v>12</v>
      </c>
      <c r="F298" t="s">
        <v>13</v>
      </c>
      <c r="G298" t="s">
        <v>41</v>
      </c>
      <c r="H298">
        <v>399</v>
      </c>
      <c r="I298">
        <v>5</v>
      </c>
      <c r="J298">
        <v>1995</v>
      </c>
    </row>
    <row r="299" spans="1:10" x14ac:dyDescent="0.35">
      <c r="A299" s="3" t="s">
        <v>344</v>
      </c>
      <c r="B299" s="4">
        <v>43190</v>
      </c>
      <c r="C299">
        <v>13</v>
      </c>
      <c r="D299" t="s">
        <v>33</v>
      </c>
      <c r="E299" t="s">
        <v>63</v>
      </c>
      <c r="F299" t="s">
        <v>13</v>
      </c>
      <c r="G299" t="s">
        <v>31</v>
      </c>
      <c r="H299">
        <v>69</v>
      </c>
      <c r="I299">
        <v>4</v>
      </c>
      <c r="J299">
        <v>276</v>
      </c>
    </row>
    <row r="300" spans="1:10" x14ac:dyDescent="0.35">
      <c r="A300" s="3" t="s">
        <v>345</v>
      </c>
      <c r="B300" s="4">
        <v>43190</v>
      </c>
      <c r="C300">
        <v>12</v>
      </c>
      <c r="D300" t="s">
        <v>66</v>
      </c>
      <c r="E300" t="s">
        <v>12</v>
      </c>
      <c r="F300" t="s">
        <v>13</v>
      </c>
      <c r="G300" t="s">
        <v>14</v>
      </c>
      <c r="H300">
        <v>199</v>
      </c>
      <c r="I300">
        <v>8</v>
      </c>
      <c r="J300">
        <v>1592</v>
      </c>
    </row>
    <row r="301" spans="1:10" x14ac:dyDescent="0.35">
      <c r="A301" s="3" t="s">
        <v>346</v>
      </c>
      <c r="B301" s="4">
        <v>43191</v>
      </c>
      <c r="C301">
        <v>7</v>
      </c>
      <c r="D301" t="s">
        <v>88</v>
      </c>
      <c r="E301" t="s">
        <v>22</v>
      </c>
      <c r="F301" t="s">
        <v>23</v>
      </c>
      <c r="G301" t="s">
        <v>31</v>
      </c>
      <c r="H301">
        <v>69</v>
      </c>
      <c r="I301">
        <v>2</v>
      </c>
      <c r="J301">
        <v>138</v>
      </c>
    </row>
    <row r="302" spans="1:10" x14ac:dyDescent="0.35">
      <c r="A302" s="3" t="s">
        <v>347</v>
      </c>
      <c r="B302" s="4">
        <v>43192</v>
      </c>
      <c r="C302">
        <v>10</v>
      </c>
      <c r="D302" t="s">
        <v>58</v>
      </c>
      <c r="E302" t="s">
        <v>22</v>
      </c>
      <c r="F302" t="s">
        <v>23</v>
      </c>
      <c r="G302" t="s">
        <v>41</v>
      </c>
      <c r="H302">
        <v>399</v>
      </c>
      <c r="I302">
        <v>9</v>
      </c>
      <c r="J302">
        <v>3591</v>
      </c>
    </row>
    <row r="303" spans="1:10" x14ac:dyDescent="0.35">
      <c r="A303" s="3" t="s">
        <v>348</v>
      </c>
      <c r="B303" s="4">
        <v>43193</v>
      </c>
      <c r="C303">
        <v>6</v>
      </c>
      <c r="D303" t="s">
        <v>48</v>
      </c>
      <c r="E303" t="s">
        <v>46</v>
      </c>
      <c r="F303" t="s">
        <v>23</v>
      </c>
      <c r="G303" t="s">
        <v>31</v>
      </c>
      <c r="H303">
        <v>69</v>
      </c>
      <c r="I303">
        <v>6</v>
      </c>
      <c r="J303">
        <v>414</v>
      </c>
    </row>
    <row r="304" spans="1:10" x14ac:dyDescent="0.35">
      <c r="A304" s="3" t="s">
        <v>349</v>
      </c>
      <c r="B304" s="4">
        <v>43194</v>
      </c>
      <c r="C304">
        <v>20</v>
      </c>
      <c r="D304" t="s">
        <v>40</v>
      </c>
      <c r="E304" t="s">
        <v>27</v>
      </c>
      <c r="F304" t="s">
        <v>28</v>
      </c>
      <c r="G304" t="s">
        <v>24</v>
      </c>
      <c r="H304">
        <v>159</v>
      </c>
      <c r="I304">
        <v>0</v>
      </c>
      <c r="J304">
        <v>0</v>
      </c>
    </row>
    <row r="305" spans="1:10" x14ac:dyDescent="0.35">
      <c r="A305" s="3" t="s">
        <v>350</v>
      </c>
      <c r="B305" s="4">
        <v>43194</v>
      </c>
      <c r="C305">
        <v>2</v>
      </c>
      <c r="D305" t="s">
        <v>106</v>
      </c>
      <c r="E305" t="s">
        <v>68</v>
      </c>
      <c r="F305" t="s">
        <v>18</v>
      </c>
      <c r="G305" t="s">
        <v>31</v>
      </c>
      <c r="H305">
        <v>69</v>
      </c>
      <c r="I305">
        <v>1</v>
      </c>
      <c r="J305">
        <v>69</v>
      </c>
    </row>
    <row r="306" spans="1:10" x14ac:dyDescent="0.35">
      <c r="A306" s="3" t="s">
        <v>351</v>
      </c>
      <c r="B306" s="4">
        <v>43195</v>
      </c>
      <c r="C306">
        <v>8</v>
      </c>
      <c r="D306" t="s">
        <v>45</v>
      </c>
      <c r="E306" t="s">
        <v>46</v>
      </c>
      <c r="F306" t="s">
        <v>23</v>
      </c>
      <c r="G306" t="s">
        <v>19</v>
      </c>
      <c r="H306">
        <v>289</v>
      </c>
      <c r="I306">
        <v>9</v>
      </c>
      <c r="J306">
        <v>2601</v>
      </c>
    </row>
    <row r="307" spans="1:10" x14ac:dyDescent="0.35">
      <c r="A307" s="3" t="s">
        <v>352</v>
      </c>
      <c r="B307" s="4">
        <v>43195</v>
      </c>
      <c r="C307">
        <v>1</v>
      </c>
      <c r="D307" t="s">
        <v>16</v>
      </c>
      <c r="E307" t="s">
        <v>17</v>
      </c>
      <c r="F307" t="s">
        <v>18</v>
      </c>
      <c r="G307" t="s">
        <v>24</v>
      </c>
      <c r="H307">
        <v>159</v>
      </c>
      <c r="I307">
        <v>3</v>
      </c>
      <c r="J307">
        <v>477</v>
      </c>
    </row>
    <row r="308" spans="1:10" x14ac:dyDescent="0.35">
      <c r="A308" s="3" t="s">
        <v>353</v>
      </c>
      <c r="B308" s="4">
        <v>43195</v>
      </c>
      <c r="C308">
        <v>4</v>
      </c>
      <c r="D308" t="s">
        <v>51</v>
      </c>
      <c r="E308" t="s">
        <v>17</v>
      </c>
      <c r="F308" t="s">
        <v>18</v>
      </c>
      <c r="G308" t="s">
        <v>14</v>
      </c>
      <c r="H308">
        <v>199</v>
      </c>
      <c r="I308">
        <v>5</v>
      </c>
      <c r="J308">
        <v>995</v>
      </c>
    </row>
    <row r="309" spans="1:10" x14ac:dyDescent="0.35">
      <c r="A309" s="3" t="s">
        <v>354</v>
      </c>
      <c r="B309" s="4">
        <v>43195</v>
      </c>
      <c r="C309">
        <v>12</v>
      </c>
      <c r="D309" t="s">
        <v>66</v>
      </c>
      <c r="E309" t="s">
        <v>12</v>
      </c>
      <c r="F309" t="s">
        <v>13</v>
      </c>
      <c r="G309" t="s">
        <v>14</v>
      </c>
      <c r="H309">
        <v>199</v>
      </c>
      <c r="I309">
        <v>6</v>
      </c>
      <c r="J309">
        <v>1194</v>
      </c>
    </row>
    <row r="310" spans="1:10" x14ac:dyDescent="0.35">
      <c r="A310" s="3" t="s">
        <v>355</v>
      </c>
      <c r="B310" s="4">
        <v>43196</v>
      </c>
      <c r="C310">
        <v>15</v>
      </c>
      <c r="D310" t="s">
        <v>118</v>
      </c>
      <c r="E310" t="s">
        <v>12</v>
      </c>
      <c r="F310" t="s">
        <v>13</v>
      </c>
      <c r="G310" t="s">
        <v>19</v>
      </c>
      <c r="H310">
        <v>289</v>
      </c>
      <c r="I310">
        <v>8</v>
      </c>
      <c r="J310">
        <v>2312</v>
      </c>
    </row>
    <row r="311" spans="1:10" x14ac:dyDescent="0.35">
      <c r="A311" s="3" t="s">
        <v>356</v>
      </c>
      <c r="B311" s="4">
        <v>43196</v>
      </c>
      <c r="C311">
        <v>6</v>
      </c>
      <c r="D311" t="s">
        <v>48</v>
      </c>
      <c r="E311" t="s">
        <v>46</v>
      </c>
      <c r="F311" t="s">
        <v>23</v>
      </c>
      <c r="G311" t="s">
        <v>31</v>
      </c>
      <c r="H311">
        <v>69</v>
      </c>
      <c r="I311">
        <v>0</v>
      </c>
      <c r="J311">
        <v>0</v>
      </c>
    </row>
    <row r="312" spans="1:10" x14ac:dyDescent="0.35">
      <c r="A312" s="3" t="s">
        <v>357</v>
      </c>
      <c r="B312" s="4">
        <v>43197</v>
      </c>
      <c r="C312">
        <v>19</v>
      </c>
      <c r="D312" t="s">
        <v>56</v>
      </c>
      <c r="E312" t="s">
        <v>27</v>
      </c>
      <c r="F312" t="s">
        <v>28</v>
      </c>
      <c r="G312" t="s">
        <v>19</v>
      </c>
      <c r="H312">
        <v>289</v>
      </c>
      <c r="I312">
        <v>5</v>
      </c>
      <c r="J312">
        <v>1445</v>
      </c>
    </row>
    <row r="313" spans="1:10" x14ac:dyDescent="0.35">
      <c r="A313" s="3" t="s">
        <v>358</v>
      </c>
      <c r="B313" s="4">
        <v>43197</v>
      </c>
      <c r="C313">
        <v>18</v>
      </c>
      <c r="D313" t="s">
        <v>26</v>
      </c>
      <c r="E313" t="s">
        <v>27</v>
      </c>
      <c r="F313" t="s">
        <v>28</v>
      </c>
      <c r="G313" t="s">
        <v>14</v>
      </c>
      <c r="H313">
        <v>199</v>
      </c>
      <c r="I313">
        <v>0</v>
      </c>
      <c r="J313">
        <v>0</v>
      </c>
    </row>
    <row r="314" spans="1:10" x14ac:dyDescent="0.35">
      <c r="A314" s="3" t="s">
        <v>359</v>
      </c>
      <c r="B314" s="4">
        <v>43197</v>
      </c>
      <c r="C314">
        <v>7</v>
      </c>
      <c r="D314" t="s">
        <v>88</v>
      </c>
      <c r="E314" t="s">
        <v>22</v>
      </c>
      <c r="F314" t="s">
        <v>23</v>
      </c>
      <c r="G314" t="s">
        <v>14</v>
      </c>
      <c r="H314">
        <v>199</v>
      </c>
      <c r="I314">
        <v>9</v>
      </c>
      <c r="J314">
        <v>1791</v>
      </c>
    </row>
    <row r="315" spans="1:10" x14ac:dyDescent="0.35">
      <c r="A315" s="3" t="s">
        <v>360</v>
      </c>
      <c r="B315" s="4">
        <v>43197</v>
      </c>
      <c r="C315">
        <v>2</v>
      </c>
      <c r="D315" t="s">
        <v>106</v>
      </c>
      <c r="E315" t="s">
        <v>68</v>
      </c>
      <c r="F315" t="s">
        <v>18</v>
      </c>
      <c r="G315" t="s">
        <v>14</v>
      </c>
      <c r="H315">
        <v>199</v>
      </c>
      <c r="I315">
        <v>5</v>
      </c>
      <c r="J315">
        <v>995</v>
      </c>
    </row>
    <row r="316" spans="1:10" x14ac:dyDescent="0.35">
      <c r="A316" s="3" t="s">
        <v>361</v>
      </c>
      <c r="B316" s="4">
        <v>43198</v>
      </c>
      <c r="C316">
        <v>19</v>
      </c>
      <c r="D316" t="s">
        <v>56</v>
      </c>
      <c r="E316" t="s">
        <v>27</v>
      </c>
      <c r="F316" t="s">
        <v>28</v>
      </c>
      <c r="G316" t="s">
        <v>14</v>
      </c>
      <c r="H316">
        <v>199</v>
      </c>
      <c r="I316">
        <v>9</v>
      </c>
      <c r="J316">
        <v>1791</v>
      </c>
    </row>
    <row r="317" spans="1:10" x14ac:dyDescent="0.35">
      <c r="A317" s="3" t="s">
        <v>362</v>
      </c>
      <c r="B317" s="4">
        <v>43198</v>
      </c>
      <c r="C317">
        <v>19</v>
      </c>
      <c r="D317" t="s">
        <v>56</v>
      </c>
      <c r="E317" t="s">
        <v>27</v>
      </c>
      <c r="F317" t="s">
        <v>28</v>
      </c>
      <c r="G317" t="s">
        <v>14</v>
      </c>
      <c r="H317">
        <v>199</v>
      </c>
      <c r="I317">
        <v>8</v>
      </c>
      <c r="J317">
        <v>1592</v>
      </c>
    </row>
    <row r="318" spans="1:10" x14ac:dyDescent="0.35">
      <c r="A318" s="3" t="s">
        <v>363</v>
      </c>
      <c r="B318" s="4">
        <v>43199</v>
      </c>
      <c r="C318">
        <v>2</v>
      </c>
      <c r="D318" t="s">
        <v>106</v>
      </c>
      <c r="E318" t="s">
        <v>17</v>
      </c>
      <c r="F318" t="s">
        <v>18</v>
      </c>
      <c r="G318" t="s">
        <v>14</v>
      </c>
      <c r="H318">
        <v>199</v>
      </c>
      <c r="I318">
        <v>3</v>
      </c>
      <c r="J318">
        <v>597</v>
      </c>
    </row>
    <row r="319" spans="1:10" x14ac:dyDescent="0.35">
      <c r="A319" s="3" t="s">
        <v>364</v>
      </c>
      <c r="B319" s="4">
        <v>43199</v>
      </c>
      <c r="C319">
        <v>5</v>
      </c>
      <c r="D319" t="s">
        <v>60</v>
      </c>
      <c r="E319" t="s">
        <v>68</v>
      </c>
      <c r="F319" t="s">
        <v>18</v>
      </c>
      <c r="G319" t="s">
        <v>14</v>
      </c>
      <c r="H319">
        <v>199</v>
      </c>
      <c r="I319">
        <v>4</v>
      </c>
      <c r="J319">
        <v>796</v>
      </c>
    </row>
    <row r="320" spans="1:10" x14ac:dyDescent="0.35">
      <c r="A320" s="3" t="s">
        <v>365</v>
      </c>
      <c r="B320" s="4">
        <v>43200</v>
      </c>
      <c r="C320">
        <v>14</v>
      </c>
      <c r="D320" t="s">
        <v>38</v>
      </c>
      <c r="E320" t="s">
        <v>12</v>
      </c>
      <c r="F320" t="s">
        <v>13</v>
      </c>
      <c r="G320" t="s">
        <v>31</v>
      </c>
      <c r="H320">
        <v>69</v>
      </c>
      <c r="I320">
        <v>3</v>
      </c>
      <c r="J320">
        <v>207</v>
      </c>
    </row>
    <row r="321" spans="1:10" x14ac:dyDescent="0.35">
      <c r="A321" s="3" t="s">
        <v>366</v>
      </c>
      <c r="B321" s="4">
        <v>43201</v>
      </c>
      <c r="C321">
        <v>12</v>
      </c>
      <c r="D321" t="s">
        <v>66</v>
      </c>
      <c r="E321" t="s">
        <v>63</v>
      </c>
      <c r="F321" t="s">
        <v>13</v>
      </c>
      <c r="G321" t="s">
        <v>31</v>
      </c>
      <c r="H321">
        <v>69</v>
      </c>
      <c r="I321">
        <v>0</v>
      </c>
      <c r="J321">
        <v>0</v>
      </c>
    </row>
    <row r="322" spans="1:10" x14ac:dyDescent="0.35">
      <c r="A322" s="3" t="s">
        <v>367</v>
      </c>
      <c r="B322" s="4">
        <v>43202</v>
      </c>
      <c r="C322">
        <v>9</v>
      </c>
      <c r="D322" t="s">
        <v>21</v>
      </c>
      <c r="E322" t="s">
        <v>22</v>
      </c>
      <c r="F322" t="s">
        <v>23</v>
      </c>
      <c r="G322" t="s">
        <v>41</v>
      </c>
      <c r="H322">
        <v>399</v>
      </c>
      <c r="I322">
        <v>1</v>
      </c>
      <c r="J322">
        <v>399</v>
      </c>
    </row>
    <row r="323" spans="1:10" x14ac:dyDescent="0.35">
      <c r="A323" s="3" t="s">
        <v>368</v>
      </c>
      <c r="B323" s="4">
        <v>43203</v>
      </c>
      <c r="C323">
        <v>2</v>
      </c>
      <c r="D323" t="s">
        <v>106</v>
      </c>
      <c r="E323" t="s">
        <v>17</v>
      </c>
      <c r="F323" t="s">
        <v>18</v>
      </c>
      <c r="G323" t="s">
        <v>19</v>
      </c>
      <c r="H323">
        <v>289</v>
      </c>
      <c r="I323">
        <v>8</v>
      </c>
      <c r="J323">
        <v>2312</v>
      </c>
    </row>
    <row r="324" spans="1:10" x14ac:dyDescent="0.35">
      <c r="A324" s="3" t="s">
        <v>369</v>
      </c>
      <c r="B324" s="4">
        <v>43203</v>
      </c>
      <c r="C324">
        <v>19</v>
      </c>
      <c r="D324" t="s">
        <v>56</v>
      </c>
      <c r="E324" t="s">
        <v>27</v>
      </c>
      <c r="F324" t="s">
        <v>28</v>
      </c>
      <c r="G324" t="s">
        <v>19</v>
      </c>
      <c r="H324">
        <v>289</v>
      </c>
      <c r="I324">
        <v>3</v>
      </c>
      <c r="J324">
        <v>867</v>
      </c>
    </row>
    <row r="325" spans="1:10" x14ac:dyDescent="0.35">
      <c r="A325" s="3" t="s">
        <v>370</v>
      </c>
      <c r="B325" s="4">
        <v>43204</v>
      </c>
      <c r="C325">
        <v>17</v>
      </c>
      <c r="D325" t="s">
        <v>35</v>
      </c>
      <c r="E325" t="s">
        <v>36</v>
      </c>
      <c r="F325" t="s">
        <v>28</v>
      </c>
      <c r="G325" t="s">
        <v>24</v>
      </c>
      <c r="H325">
        <v>159</v>
      </c>
      <c r="I325">
        <v>4</v>
      </c>
      <c r="J325">
        <v>636</v>
      </c>
    </row>
    <row r="326" spans="1:10" x14ac:dyDescent="0.35">
      <c r="A326" s="3" t="s">
        <v>371</v>
      </c>
      <c r="B326" s="4">
        <v>43204</v>
      </c>
      <c r="C326">
        <v>14</v>
      </c>
      <c r="D326" t="s">
        <v>38</v>
      </c>
      <c r="E326" t="s">
        <v>63</v>
      </c>
      <c r="F326" t="s">
        <v>13</v>
      </c>
      <c r="G326" t="s">
        <v>41</v>
      </c>
      <c r="H326">
        <v>399</v>
      </c>
      <c r="I326">
        <v>3</v>
      </c>
      <c r="J326">
        <v>1197</v>
      </c>
    </row>
    <row r="327" spans="1:10" x14ac:dyDescent="0.35">
      <c r="A327" s="3" t="s">
        <v>372</v>
      </c>
      <c r="B327" s="4">
        <v>43204</v>
      </c>
      <c r="C327">
        <v>7</v>
      </c>
      <c r="D327" t="s">
        <v>88</v>
      </c>
      <c r="E327" t="s">
        <v>22</v>
      </c>
      <c r="F327" t="s">
        <v>23</v>
      </c>
      <c r="G327" t="s">
        <v>31</v>
      </c>
      <c r="H327">
        <v>69</v>
      </c>
      <c r="I327">
        <v>2</v>
      </c>
      <c r="J327">
        <v>138</v>
      </c>
    </row>
    <row r="328" spans="1:10" x14ac:dyDescent="0.35">
      <c r="A328" s="3" t="s">
        <v>373</v>
      </c>
      <c r="B328" s="4">
        <v>43204</v>
      </c>
      <c r="C328">
        <v>9</v>
      </c>
      <c r="D328" t="s">
        <v>21</v>
      </c>
      <c r="E328" t="s">
        <v>46</v>
      </c>
      <c r="F328" t="s">
        <v>23</v>
      </c>
      <c r="G328" t="s">
        <v>14</v>
      </c>
      <c r="H328">
        <v>199</v>
      </c>
      <c r="I328">
        <v>9</v>
      </c>
      <c r="J328">
        <v>1791</v>
      </c>
    </row>
    <row r="329" spans="1:10" x14ac:dyDescent="0.35">
      <c r="A329" s="3" t="s">
        <v>374</v>
      </c>
      <c r="B329" s="4">
        <v>43204</v>
      </c>
      <c r="C329">
        <v>8</v>
      </c>
      <c r="D329" t="s">
        <v>45</v>
      </c>
      <c r="E329" t="s">
        <v>22</v>
      </c>
      <c r="F329" t="s">
        <v>23</v>
      </c>
      <c r="G329" t="s">
        <v>14</v>
      </c>
      <c r="H329">
        <v>199</v>
      </c>
      <c r="I329">
        <v>2</v>
      </c>
      <c r="J329">
        <v>398</v>
      </c>
    </row>
    <row r="330" spans="1:10" x14ac:dyDescent="0.35">
      <c r="A330" s="3" t="s">
        <v>375</v>
      </c>
      <c r="B330" s="4">
        <v>43204</v>
      </c>
      <c r="C330">
        <v>14</v>
      </c>
      <c r="D330" t="s">
        <v>38</v>
      </c>
      <c r="E330" t="s">
        <v>12</v>
      </c>
      <c r="F330" t="s">
        <v>13</v>
      </c>
      <c r="G330" t="s">
        <v>19</v>
      </c>
      <c r="H330">
        <v>289</v>
      </c>
      <c r="I330">
        <v>4</v>
      </c>
      <c r="J330">
        <v>1156</v>
      </c>
    </row>
    <row r="331" spans="1:10" x14ac:dyDescent="0.35">
      <c r="A331" s="3" t="s">
        <v>376</v>
      </c>
      <c r="B331" s="4">
        <v>43204</v>
      </c>
      <c r="C331">
        <v>7</v>
      </c>
      <c r="D331" t="s">
        <v>88</v>
      </c>
      <c r="E331" t="s">
        <v>46</v>
      </c>
      <c r="F331" t="s">
        <v>23</v>
      </c>
      <c r="G331" t="s">
        <v>41</v>
      </c>
      <c r="H331">
        <v>399</v>
      </c>
      <c r="I331">
        <v>8</v>
      </c>
      <c r="J331">
        <v>3192</v>
      </c>
    </row>
    <row r="332" spans="1:10" x14ac:dyDescent="0.35">
      <c r="A332" s="3" t="s">
        <v>377</v>
      </c>
      <c r="B332" s="4">
        <v>43204</v>
      </c>
      <c r="C332">
        <v>10</v>
      </c>
      <c r="D332" t="s">
        <v>58</v>
      </c>
      <c r="E332" t="s">
        <v>46</v>
      </c>
      <c r="F332" t="s">
        <v>23</v>
      </c>
      <c r="G332" t="s">
        <v>41</v>
      </c>
      <c r="H332">
        <v>399</v>
      </c>
      <c r="I332">
        <v>9</v>
      </c>
      <c r="J332">
        <v>3591</v>
      </c>
    </row>
    <row r="333" spans="1:10" x14ac:dyDescent="0.35">
      <c r="A333" s="3" t="s">
        <v>378</v>
      </c>
      <c r="B333" s="4">
        <v>43204</v>
      </c>
      <c r="C333">
        <v>6</v>
      </c>
      <c r="D333" t="s">
        <v>48</v>
      </c>
      <c r="E333" t="s">
        <v>46</v>
      </c>
      <c r="F333" t="s">
        <v>23</v>
      </c>
      <c r="G333" t="s">
        <v>14</v>
      </c>
      <c r="H333">
        <v>199</v>
      </c>
      <c r="I333">
        <v>8</v>
      </c>
      <c r="J333">
        <v>1592</v>
      </c>
    </row>
    <row r="334" spans="1:10" x14ac:dyDescent="0.35">
      <c r="A334" s="3" t="s">
        <v>379</v>
      </c>
      <c r="B334" s="4">
        <v>43204</v>
      </c>
      <c r="C334">
        <v>18</v>
      </c>
      <c r="D334" t="s">
        <v>26</v>
      </c>
      <c r="E334" t="s">
        <v>27</v>
      </c>
      <c r="F334" t="s">
        <v>28</v>
      </c>
      <c r="G334" t="s">
        <v>41</v>
      </c>
      <c r="H334">
        <v>399</v>
      </c>
      <c r="I334">
        <v>4</v>
      </c>
      <c r="J334">
        <v>1596</v>
      </c>
    </row>
    <row r="335" spans="1:10" x14ac:dyDescent="0.35">
      <c r="A335" s="3" t="s">
        <v>380</v>
      </c>
      <c r="B335" s="4">
        <v>43205</v>
      </c>
      <c r="C335">
        <v>4</v>
      </c>
      <c r="D335" t="s">
        <v>51</v>
      </c>
      <c r="E335" t="s">
        <v>68</v>
      </c>
      <c r="F335" t="s">
        <v>18</v>
      </c>
      <c r="G335" t="s">
        <v>19</v>
      </c>
      <c r="H335">
        <v>289</v>
      </c>
      <c r="I335">
        <v>6</v>
      </c>
      <c r="J335">
        <v>1734</v>
      </c>
    </row>
    <row r="336" spans="1:10" x14ac:dyDescent="0.35">
      <c r="A336" s="3" t="s">
        <v>381</v>
      </c>
      <c r="B336" s="4">
        <v>43205</v>
      </c>
      <c r="C336">
        <v>2</v>
      </c>
      <c r="D336" t="s">
        <v>106</v>
      </c>
      <c r="E336" t="s">
        <v>68</v>
      </c>
      <c r="F336" t="s">
        <v>18</v>
      </c>
      <c r="G336" t="s">
        <v>31</v>
      </c>
      <c r="H336">
        <v>69</v>
      </c>
      <c r="I336">
        <v>9</v>
      </c>
      <c r="J336">
        <v>621</v>
      </c>
    </row>
    <row r="337" spans="1:10" x14ac:dyDescent="0.35">
      <c r="A337" s="3" t="s">
        <v>382</v>
      </c>
      <c r="B337" s="4">
        <v>43206</v>
      </c>
      <c r="C337">
        <v>4</v>
      </c>
      <c r="D337" t="s">
        <v>51</v>
      </c>
      <c r="E337" t="s">
        <v>17</v>
      </c>
      <c r="F337" t="s">
        <v>18</v>
      </c>
      <c r="G337" t="s">
        <v>24</v>
      </c>
      <c r="H337">
        <v>159</v>
      </c>
      <c r="I337">
        <v>9</v>
      </c>
      <c r="J337">
        <v>1431</v>
      </c>
    </row>
    <row r="338" spans="1:10" x14ac:dyDescent="0.35">
      <c r="A338" s="3" t="s">
        <v>383</v>
      </c>
      <c r="B338" s="4">
        <v>43207</v>
      </c>
      <c r="C338">
        <v>11</v>
      </c>
      <c r="D338" t="s">
        <v>11</v>
      </c>
      <c r="E338" t="s">
        <v>63</v>
      </c>
      <c r="F338" t="s">
        <v>13</v>
      </c>
      <c r="G338" t="s">
        <v>31</v>
      </c>
      <c r="H338">
        <v>69</v>
      </c>
      <c r="I338">
        <v>8</v>
      </c>
      <c r="J338">
        <v>552</v>
      </c>
    </row>
    <row r="339" spans="1:10" x14ac:dyDescent="0.35">
      <c r="A339" s="3" t="s">
        <v>384</v>
      </c>
      <c r="B339" s="4">
        <v>43207</v>
      </c>
      <c r="C339">
        <v>13</v>
      </c>
      <c r="D339" t="s">
        <v>33</v>
      </c>
      <c r="E339" t="s">
        <v>12</v>
      </c>
      <c r="F339" t="s">
        <v>13</v>
      </c>
      <c r="G339" t="s">
        <v>41</v>
      </c>
      <c r="H339">
        <v>399</v>
      </c>
      <c r="I339">
        <v>8</v>
      </c>
      <c r="J339">
        <v>3192</v>
      </c>
    </row>
    <row r="340" spans="1:10" x14ac:dyDescent="0.35">
      <c r="A340" s="3" t="s">
        <v>385</v>
      </c>
      <c r="B340" s="4">
        <v>43208</v>
      </c>
      <c r="C340">
        <v>8</v>
      </c>
      <c r="D340" t="s">
        <v>45</v>
      </c>
      <c r="E340" t="s">
        <v>22</v>
      </c>
      <c r="F340" t="s">
        <v>23</v>
      </c>
      <c r="G340" t="s">
        <v>31</v>
      </c>
      <c r="H340">
        <v>69</v>
      </c>
      <c r="I340">
        <v>6</v>
      </c>
      <c r="J340">
        <v>414</v>
      </c>
    </row>
    <row r="341" spans="1:10" x14ac:dyDescent="0.35">
      <c r="A341" s="3" t="s">
        <v>386</v>
      </c>
      <c r="B341" s="4">
        <v>43209</v>
      </c>
      <c r="C341">
        <v>8</v>
      </c>
      <c r="D341" t="s">
        <v>45</v>
      </c>
      <c r="E341" t="s">
        <v>46</v>
      </c>
      <c r="F341" t="s">
        <v>23</v>
      </c>
      <c r="G341" t="s">
        <v>24</v>
      </c>
      <c r="H341">
        <v>159</v>
      </c>
      <c r="I341">
        <v>6</v>
      </c>
      <c r="J341">
        <v>954</v>
      </c>
    </row>
    <row r="342" spans="1:10" x14ac:dyDescent="0.35">
      <c r="A342" s="3" t="s">
        <v>387</v>
      </c>
      <c r="B342" s="4">
        <v>43209</v>
      </c>
      <c r="C342">
        <v>1</v>
      </c>
      <c r="D342" t="s">
        <v>16</v>
      </c>
      <c r="E342" t="s">
        <v>17</v>
      </c>
      <c r="F342" t="s">
        <v>18</v>
      </c>
      <c r="G342" t="s">
        <v>19</v>
      </c>
      <c r="H342">
        <v>289</v>
      </c>
      <c r="I342">
        <v>3</v>
      </c>
      <c r="J342">
        <v>867</v>
      </c>
    </row>
    <row r="343" spans="1:10" x14ac:dyDescent="0.35">
      <c r="A343" s="3" t="s">
        <v>388</v>
      </c>
      <c r="B343" s="4">
        <v>43209</v>
      </c>
      <c r="C343">
        <v>19</v>
      </c>
      <c r="D343" t="s">
        <v>56</v>
      </c>
      <c r="E343" t="s">
        <v>36</v>
      </c>
      <c r="F343" t="s">
        <v>28</v>
      </c>
      <c r="G343" t="s">
        <v>31</v>
      </c>
      <c r="H343">
        <v>69</v>
      </c>
      <c r="I343">
        <v>1</v>
      </c>
      <c r="J343">
        <v>69</v>
      </c>
    </row>
    <row r="344" spans="1:10" x14ac:dyDescent="0.35">
      <c r="A344" s="3" t="s">
        <v>389</v>
      </c>
      <c r="B344" s="4">
        <v>43209</v>
      </c>
      <c r="C344">
        <v>5</v>
      </c>
      <c r="D344" t="s">
        <v>60</v>
      </c>
      <c r="E344" t="s">
        <v>17</v>
      </c>
      <c r="F344" t="s">
        <v>18</v>
      </c>
      <c r="G344" t="s">
        <v>24</v>
      </c>
      <c r="H344">
        <v>159</v>
      </c>
      <c r="I344">
        <v>0</v>
      </c>
      <c r="J344">
        <v>0</v>
      </c>
    </row>
    <row r="345" spans="1:10" x14ac:dyDescent="0.35">
      <c r="A345" s="3" t="s">
        <v>390</v>
      </c>
      <c r="B345" s="4">
        <v>43209</v>
      </c>
      <c r="C345">
        <v>9</v>
      </c>
      <c r="D345" t="s">
        <v>21</v>
      </c>
      <c r="E345" t="s">
        <v>22</v>
      </c>
      <c r="F345" t="s">
        <v>23</v>
      </c>
      <c r="G345" t="s">
        <v>14</v>
      </c>
      <c r="H345">
        <v>199</v>
      </c>
      <c r="I345">
        <v>6</v>
      </c>
      <c r="J345">
        <v>1194</v>
      </c>
    </row>
    <row r="346" spans="1:10" x14ac:dyDescent="0.35">
      <c r="A346" s="3" t="s">
        <v>391</v>
      </c>
      <c r="B346" s="4">
        <v>43209</v>
      </c>
      <c r="C346">
        <v>13</v>
      </c>
      <c r="D346" t="s">
        <v>33</v>
      </c>
      <c r="E346" t="s">
        <v>12</v>
      </c>
      <c r="F346" t="s">
        <v>13</v>
      </c>
      <c r="G346" t="s">
        <v>14</v>
      </c>
      <c r="H346">
        <v>199</v>
      </c>
      <c r="I346">
        <v>2</v>
      </c>
      <c r="J346">
        <v>398</v>
      </c>
    </row>
    <row r="347" spans="1:10" x14ac:dyDescent="0.35">
      <c r="A347" s="3" t="s">
        <v>392</v>
      </c>
      <c r="B347" s="4">
        <v>43209</v>
      </c>
      <c r="C347">
        <v>17</v>
      </c>
      <c r="D347" t="s">
        <v>35</v>
      </c>
      <c r="E347" t="s">
        <v>27</v>
      </c>
      <c r="F347" t="s">
        <v>28</v>
      </c>
      <c r="G347" t="s">
        <v>31</v>
      </c>
      <c r="H347">
        <v>69</v>
      </c>
      <c r="I347">
        <v>2</v>
      </c>
      <c r="J347">
        <v>138</v>
      </c>
    </row>
    <row r="348" spans="1:10" x14ac:dyDescent="0.35">
      <c r="A348" s="3" t="s">
        <v>393</v>
      </c>
      <c r="B348" s="4">
        <v>43209</v>
      </c>
      <c r="C348">
        <v>18</v>
      </c>
      <c r="D348" t="s">
        <v>26</v>
      </c>
      <c r="E348" t="s">
        <v>27</v>
      </c>
      <c r="F348" t="s">
        <v>28</v>
      </c>
      <c r="G348" t="s">
        <v>14</v>
      </c>
      <c r="H348">
        <v>199</v>
      </c>
      <c r="I348">
        <v>0</v>
      </c>
      <c r="J348">
        <v>0</v>
      </c>
    </row>
    <row r="349" spans="1:10" x14ac:dyDescent="0.35">
      <c r="A349" s="3" t="s">
        <v>394</v>
      </c>
      <c r="B349" s="4">
        <v>43209</v>
      </c>
      <c r="C349">
        <v>19</v>
      </c>
      <c r="D349" t="s">
        <v>56</v>
      </c>
      <c r="E349" t="s">
        <v>27</v>
      </c>
      <c r="F349" t="s">
        <v>28</v>
      </c>
      <c r="G349" t="s">
        <v>19</v>
      </c>
      <c r="H349">
        <v>289</v>
      </c>
      <c r="I349">
        <v>1</v>
      </c>
      <c r="J349">
        <v>289</v>
      </c>
    </row>
    <row r="350" spans="1:10" x14ac:dyDescent="0.35">
      <c r="A350" s="3" t="s">
        <v>395</v>
      </c>
      <c r="B350" s="4">
        <v>43209</v>
      </c>
      <c r="C350">
        <v>13</v>
      </c>
      <c r="D350" t="s">
        <v>33</v>
      </c>
      <c r="E350" t="s">
        <v>63</v>
      </c>
      <c r="F350" t="s">
        <v>13</v>
      </c>
      <c r="G350" t="s">
        <v>24</v>
      </c>
      <c r="H350">
        <v>159</v>
      </c>
      <c r="I350">
        <v>5</v>
      </c>
      <c r="J350">
        <v>795</v>
      </c>
    </row>
    <row r="351" spans="1:10" x14ac:dyDescent="0.35">
      <c r="A351" s="3" t="s">
        <v>396</v>
      </c>
      <c r="B351" s="4">
        <v>43209</v>
      </c>
      <c r="C351">
        <v>3</v>
      </c>
      <c r="D351" t="s">
        <v>43</v>
      </c>
      <c r="E351" t="s">
        <v>17</v>
      </c>
      <c r="F351" t="s">
        <v>18</v>
      </c>
      <c r="G351" t="s">
        <v>41</v>
      </c>
      <c r="H351">
        <v>399</v>
      </c>
      <c r="I351">
        <v>1</v>
      </c>
      <c r="J351">
        <v>399</v>
      </c>
    </row>
    <row r="352" spans="1:10" x14ac:dyDescent="0.35">
      <c r="A352" s="3" t="s">
        <v>397</v>
      </c>
      <c r="B352" s="4">
        <v>43209</v>
      </c>
      <c r="C352">
        <v>4</v>
      </c>
      <c r="D352" t="s">
        <v>51</v>
      </c>
      <c r="E352" t="s">
        <v>68</v>
      </c>
      <c r="F352" t="s">
        <v>18</v>
      </c>
      <c r="G352" t="s">
        <v>31</v>
      </c>
      <c r="H352">
        <v>69</v>
      </c>
      <c r="I352">
        <v>6</v>
      </c>
      <c r="J352">
        <v>414</v>
      </c>
    </row>
    <row r="353" spans="1:10" x14ac:dyDescent="0.35">
      <c r="A353" s="3" t="s">
        <v>398</v>
      </c>
      <c r="B353" s="4">
        <v>43209</v>
      </c>
      <c r="C353">
        <v>10</v>
      </c>
      <c r="D353" t="s">
        <v>58</v>
      </c>
      <c r="E353" t="s">
        <v>46</v>
      </c>
      <c r="F353" t="s">
        <v>23</v>
      </c>
      <c r="G353" t="s">
        <v>24</v>
      </c>
      <c r="H353">
        <v>159</v>
      </c>
      <c r="I353">
        <v>9</v>
      </c>
      <c r="J353">
        <v>1431</v>
      </c>
    </row>
    <row r="354" spans="1:10" x14ac:dyDescent="0.35">
      <c r="A354" s="3" t="s">
        <v>399</v>
      </c>
      <c r="B354" s="4">
        <v>43210</v>
      </c>
      <c r="C354">
        <v>4</v>
      </c>
      <c r="D354" t="s">
        <v>51</v>
      </c>
      <c r="E354" t="s">
        <v>17</v>
      </c>
      <c r="F354" t="s">
        <v>18</v>
      </c>
      <c r="G354" t="s">
        <v>41</v>
      </c>
      <c r="H354">
        <v>399</v>
      </c>
      <c r="I354">
        <v>1</v>
      </c>
      <c r="J354">
        <v>399</v>
      </c>
    </row>
    <row r="355" spans="1:10" x14ac:dyDescent="0.35">
      <c r="A355" s="3" t="s">
        <v>400</v>
      </c>
      <c r="B355" s="4">
        <v>43210</v>
      </c>
      <c r="C355">
        <v>5</v>
      </c>
      <c r="D355" t="s">
        <v>60</v>
      </c>
      <c r="E355" t="s">
        <v>17</v>
      </c>
      <c r="F355" t="s">
        <v>18</v>
      </c>
      <c r="G355" t="s">
        <v>31</v>
      </c>
      <c r="H355">
        <v>69</v>
      </c>
      <c r="I355">
        <v>1</v>
      </c>
      <c r="J355">
        <v>69</v>
      </c>
    </row>
    <row r="356" spans="1:10" x14ac:dyDescent="0.35">
      <c r="A356" s="3" t="s">
        <v>401</v>
      </c>
      <c r="B356" s="4">
        <v>43210</v>
      </c>
      <c r="C356">
        <v>17</v>
      </c>
      <c r="D356" t="s">
        <v>35</v>
      </c>
      <c r="E356" t="s">
        <v>27</v>
      </c>
      <c r="F356" t="s">
        <v>28</v>
      </c>
      <c r="G356" t="s">
        <v>41</v>
      </c>
      <c r="H356">
        <v>399</v>
      </c>
      <c r="I356">
        <v>6</v>
      </c>
      <c r="J356">
        <v>2394</v>
      </c>
    </row>
    <row r="357" spans="1:10" x14ac:dyDescent="0.35">
      <c r="A357" s="3" t="s">
        <v>402</v>
      </c>
      <c r="B357" s="4">
        <v>43211</v>
      </c>
      <c r="C357">
        <v>18</v>
      </c>
      <c r="D357" t="s">
        <v>26</v>
      </c>
      <c r="E357" t="s">
        <v>36</v>
      </c>
      <c r="F357" t="s">
        <v>28</v>
      </c>
      <c r="G357" t="s">
        <v>14</v>
      </c>
      <c r="H357">
        <v>199</v>
      </c>
      <c r="I357">
        <v>8</v>
      </c>
      <c r="J357">
        <v>1592</v>
      </c>
    </row>
    <row r="358" spans="1:10" x14ac:dyDescent="0.35">
      <c r="A358" s="3" t="s">
        <v>403</v>
      </c>
      <c r="B358" s="4">
        <v>43211</v>
      </c>
      <c r="C358">
        <v>3</v>
      </c>
      <c r="D358" t="s">
        <v>43</v>
      </c>
      <c r="E358" t="s">
        <v>68</v>
      </c>
      <c r="F358" t="s">
        <v>18</v>
      </c>
      <c r="G358" t="s">
        <v>41</v>
      </c>
      <c r="H358">
        <v>399</v>
      </c>
      <c r="I358">
        <v>2</v>
      </c>
      <c r="J358">
        <v>798</v>
      </c>
    </row>
    <row r="359" spans="1:10" x14ac:dyDescent="0.35">
      <c r="A359" s="3" t="s">
        <v>404</v>
      </c>
      <c r="B359" s="4">
        <v>43212</v>
      </c>
      <c r="C359">
        <v>2</v>
      </c>
      <c r="D359" t="s">
        <v>106</v>
      </c>
      <c r="E359" t="s">
        <v>17</v>
      </c>
      <c r="F359" t="s">
        <v>18</v>
      </c>
      <c r="G359" t="s">
        <v>31</v>
      </c>
      <c r="H359">
        <v>69</v>
      </c>
      <c r="I359">
        <v>2</v>
      </c>
      <c r="J359">
        <v>138</v>
      </c>
    </row>
    <row r="360" spans="1:10" x14ac:dyDescent="0.35">
      <c r="A360" s="3" t="s">
        <v>405</v>
      </c>
      <c r="B360" s="4">
        <v>43212</v>
      </c>
      <c r="C360">
        <v>1</v>
      </c>
      <c r="D360" t="s">
        <v>16</v>
      </c>
      <c r="E360" t="s">
        <v>68</v>
      </c>
      <c r="F360" t="s">
        <v>18</v>
      </c>
      <c r="G360" t="s">
        <v>41</v>
      </c>
      <c r="H360">
        <v>399</v>
      </c>
      <c r="I360">
        <v>5</v>
      </c>
      <c r="J360">
        <v>1995</v>
      </c>
    </row>
    <row r="361" spans="1:10" x14ac:dyDescent="0.35">
      <c r="A361" s="3" t="s">
        <v>406</v>
      </c>
      <c r="B361" s="4">
        <v>43212</v>
      </c>
      <c r="C361">
        <v>19</v>
      </c>
      <c r="D361" t="s">
        <v>56</v>
      </c>
      <c r="E361" t="s">
        <v>27</v>
      </c>
      <c r="F361" t="s">
        <v>28</v>
      </c>
      <c r="G361" t="s">
        <v>14</v>
      </c>
      <c r="H361">
        <v>199</v>
      </c>
      <c r="I361">
        <v>9</v>
      </c>
      <c r="J361">
        <v>1791</v>
      </c>
    </row>
    <row r="362" spans="1:10" x14ac:dyDescent="0.35">
      <c r="A362" s="3" t="s">
        <v>407</v>
      </c>
      <c r="B362" s="4">
        <v>43212</v>
      </c>
      <c r="C362">
        <v>10</v>
      </c>
      <c r="D362" t="s">
        <v>58</v>
      </c>
      <c r="E362" t="s">
        <v>22</v>
      </c>
      <c r="F362" t="s">
        <v>23</v>
      </c>
      <c r="G362" t="s">
        <v>31</v>
      </c>
      <c r="H362">
        <v>69</v>
      </c>
      <c r="I362">
        <v>7</v>
      </c>
      <c r="J362">
        <v>483</v>
      </c>
    </row>
    <row r="363" spans="1:10" x14ac:dyDescent="0.35">
      <c r="A363" s="3" t="s">
        <v>408</v>
      </c>
      <c r="B363" s="4">
        <v>43212</v>
      </c>
      <c r="C363">
        <v>5</v>
      </c>
      <c r="D363" t="s">
        <v>60</v>
      </c>
      <c r="E363" t="s">
        <v>17</v>
      </c>
      <c r="F363" t="s">
        <v>18</v>
      </c>
      <c r="G363" t="s">
        <v>41</v>
      </c>
      <c r="H363">
        <v>399</v>
      </c>
      <c r="I363">
        <v>2</v>
      </c>
      <c r="J363">
        <v>798</v>
      </c>
    </row>
    <row r="364" spans="1:10" x14ac:dyDescent="0.35">
      <c r="A364" s="3" t="s">
        <v>409</v>
      </c>
      <c r="B364" s="4">
        <v>43212</v>
      </c>
      <c r="C364">
        <v>5</v>
      </c>
      <c r="D364" t="s">
        <v>60</v>
      </c>
      <c r="E364" t="s">
        <v>68</v>
      </c>
      <c r="F364" t="s">
        <v>18</v>
      </c>
      <c r="G364" t="s">
        <v>24</v>
      </c>
      <c r="H364">
        <v>159</v>
      </c>
      <c r="I364">
        <v>5</v>
      </c>
      <c r="J364">
        <v>795</v>
      </c>
    </row>
    <row r="365" spans="1:10" x14ac:dyDescent="0.35">
      <c r="A365" s="3" t="s">
        <v>410</v>
      </c>
      <c r="B365" s="4">
        <v>43212</v>
      </c>
      <c r="C365">
        <v>16</v>
      </c>
      <c r="D365" t="s">
        <v>30</v>
      </c>
      <c r="E365" t="s">
        <v>36</v>
      </c>
      <c r="F365" t="s">
        <v>28</v>
      </c>
      <c r="G365" t="s">
        <v>24</v>
      </c>
      <c r="H365">
        <v>159</v>
      </c>
      <c r="I365">
        <v>9</v>
      </c>
      <c r="J365">
        <v>1431</v>
      </c>
    </row>
    <row r="366" spans="1:10" x14ac:dyDescent="0.35">
      <c r="A366" s="3" t="s">
        <v>411</v>
      </c>
      <c r="B366" s="4">
        <v>43213</v>
      </c>
      <c r="C366">
        <v>7</v>
      </c>
      <c r="D366" t="s">
        <v>88</v>
      </c>
      <c r="E366" t="s">
        <v>22</v>
      </c>
      <c r="F366" t="s">
        <v>23</v>
      </c>
      <c r="G366" t="s">
        <v>19</v>
      </c>
      <c r="H366">
        <v>289</v>
      </c>
      <c r="I366">
        <v>9</v>
      </c>
      <c r="J366">
        <v>2601</v>
      </c>
    </row>
    <row r="367" spans="1:10" x14ac:dyDescent="0.35">
      <c r="A367" s="3" t="s">
        <v>412</v>
      </c>
      <c r="B367" s="4">
        <v>43213</v>
      </c>
      <c r="C367">
        <v>7</v>
      </c>
      <c r="D367" t="s">
        <v>88</v>
      </c>
      <c r="E367" t="s">
        <v>46</v>
      </c>
      <c r="F367" t="s">
        <v>23</v>
      </c>
      <c r="G367" t="s">
        <v>31</v>
      </c>
      <c r="H367">
        <v>69</v>
      </c>
      <c r="I367">
        <v>0</v>
      </c>
      <c r="J367">
        <v>0</v>
      </c>
    </row>
    <row r="368" spans="1:10" x14ac:dyDescent="0.35">
      <c r="A368" s="3" t="s">
        <v>413</v>
      </c>
      <c r="B368" s="4">
        <v>43214</v>
      </c>
      <c r="C368">
        <v>7</v>
      </c>
      <c r="D368" t="s">
        <v>88</v>
      </c>
      <c r="E368" t="s">
        <v>22</v>
      </c>
      <c r="F368" t="s">
        <v>23</v>
      </c>
      <c r="G368" t="s">
        <v>19</v>
      </c>
      <c r="H368">
        <v>289</v>
      </c>
      <c r="I368">
        <v>2</v>
      </c>
      <c r="J368">
        <v>578</v>
      </c>
    </row>
    <row r="369" spans="1:10" x14ac:dyDescent="0.35">
      <c r="A369" s="3" t="s">
        <v>414</v>
      </c>
      <c r="B369" s="4">
        <v>43214</v>
      </c>
      <c r="C369">
        <v>8</v>
      </c>
      <c r="D369" t="s">
        <v>45</v>
      </c>
      <c r="E369" t="s">
        <v>22</v>
      </c>
      <c r="F369" t="s">
        <v>23</v>
      </c>
      <c r="G369" t="s">
        <v>19</v>
      </c>
      <c r="H369">
        <v>289</v>
      </c>
      <c r="I369">
        <v>6</v>
      </c>
      <c r="J369">
        <v>1734</v>
      </c>
    </row>
    <row r="370" spans="1:10" x14ac:dyDescent="0.35">
      <c r="A370" s="3" t="s">
        <v>415</v>
      </c>
      <c r="B370" s="4">
        <v>43214</v>
      </c>
      <c r="C370">
        <v>6</v>
      </c>
      <c r="D370" t="s">
        <v>48</v>
      </c>
      <c r="E370" t="s">
        <v>46</v>
      </c>
      <c r="F370" t="s">
        <v>23</v>
      </c>
      <c r="G370" t="s">
        <v>24</v>
      </c>
      <c r="H370">
        <v>159</v>
      </c>
      <c r="I370">
        <v>7</v>
      </c>
      <c r="J370">
        <v>1113</v>
      </c>
    </row>
    <row r="371" spans="1:10" x14ac:dyDescent="0.35">
      <c r="A371" s="3" t="s">
        <v>416</v>
      </c>
      <c r="B371" s="4">
        <v>43214</v>
      </c>
      <c r="C371">
        <v>15</v>
      </c>
      <c r="D371" t="s">
        <v>118</v>
      </c>
      <c r="E371" t="s">
        <v>63</v>
      </c>
      <c r="F371" t="s">
        <v>13</v>
      </c>
      <c r="G371" t="s">
        <v>14</v>
      </c>
      <c r="H371">
        <v>199</v>
      </c>
      <c r="I371">
        <v>4</v>
      </c>
      <c r="J371">
        <v>796</v>
      </c>
    </row>
    <row r="372" spans="1:10" x14ac:dyDescent="0.35">
      <c r="A372" s="3" t="s">
        <v>417</v>
      </c>
      <c r="B372" s="4">
        <v>43214</v>
      </c>
      <c r="C372">
        <v>18</v>
      </c>
      <c r="D372" t="s">
        <v>26</v>
      </c>
      <c r="E372" t="s">
        <v>36</v>
      </c>
      <c r="F372" t="s">
        <v>28</v>
      </c>
      <c r="G372" t="s">
        <v>24</v>
      </c>
      <c r="H372">
        <v>159</v>
      </c>
      <c r="I372">
        <v>8</v>
      </c>
      <c r="J372">
        <v>1272</v>
      </c>
    </row>
    <row r="373" spans="1:10" x14ac:dyDescent="0.35">
      <c r="A373" s="3" t="s">
        <v>418</v>
      </c>
      <c r="B373" s="4">
        <v>43214</v>
      </c>
      <c r="C373">
        <v>7</v>
      </c>
      <c r="D373" t="s">
        <v>88</v>
      </c>
      <c r="E373" t="s">
        <v>22</v>
      </c>
      <c r="F373" t="s">
        <v>23</v>
      </c>
      <c r="G373" t="s">
        <v>19</v>
      </c>
      <c r="H373">
        <v>289</v>
      </c>
      <c r="I373">
        <v>8</v>
      </c>
      <c r="J373">
        <v>2312</v>
      </c>
    </row>
    <row r="374" spans="1:10" x14ac:dyDescent="0.35">
      <c r="A374" s="3" t="s">
        <v>419</v>
      </c>
      <c r="B374" s="4">
        <v>43214</v>
      </c>
      <c r="C374">
        <v>15</v>
      </c>
      <c r="D374" t="s">
        <v>118</v>
      </c>
      <c r="E374" t="s">
        <v>12</v>
      </c>
      <c r="F374" t="s">
        <v>13</v>
      </c>
      <c r="G374" t="s">
        <v>14</v>
      </c>
      <c r="H374">
        <v>199</v>
      </c>
      <c r="I374">
        <v>6</v>
      </c>
      <c r="J374">
        <v>1194</v>
      </c>
    </row>
    <row r="375" spans="1:10" x14ac:dyDescent="0.35">
      <c r="A375" s="3" t="s">
        <v>420</v>
      </c>
      <c r="B375" s="4">
        <v>43215</v>
      </c>
      <c r="C375">
        <v>5</v>
      </c>
      <c r="D375" t="s">
        <v>60</v>
      </c>
      <c r="E375" t="s">
        <v>17</v>
      </c>
      <c r="F375" t="s">
        <v>18</v>
      </c>
      <c r="G375" t="s">
        <v>41</v>
      </c>
      <c r="H375">
        <v>399</v>
      </c>
      <c r="I375">
        <v>3</v>
      </c>
      <c r="J375">
        <v>1197</v>
      </c>
    </row>
    <row r="376" spans="1:10" x14ac:dyDescent="0.35">
      <c r="A376" s="3" t="s">
        <v>421</v>
      </c>
      <c r="B376" s="4">
        <v>43215</v>
      </c>
      <c r="C376">
        <v>15</v>
      </c>
      <c r="D376" t="s">
        <v>118</v>
      </c>
      <c r="E376" t="s">
        <v>63</v>
      </c>
      <c r="F376" t="s">
        <v>13</v>
      </c>
      <c r="G376" t="s">
        <v>24</v>
      </c>
      <c r="H376">
        <v>159</v>
      </c>
      <c r="I376">
        <v>4</v>
      </c>
      <c r="J376">
        <v>636</v>
      </c>
    </row>
    <row r="377" spans="1:10" x14ac:dyDescent="0.35">
      <c r="A377" s="3" t="s">
        <v>422</v>
      </c>
      <c r="B377" s="4">
        <v>43215</v>
      </c>
      <c r="C377">
        <v>16</v>
      </c>
      <c r="D377" t="s">
        <v>30</v>
      </c>
      <c r="E377" t="s">
        <v>36</v>
      </c>
      <c r="F377" t="s">
        <v>28</v>
      </c>
      <c r="G377" t="s">
        <v>31</v>
      </c>
      <c r="H377">
        <v>69</v>
      </c>
      <c r="I377">
        <v>3</v>
      </c>
      <c r="J377">
        <v>207</v>
      </c>
    </row>
    <row r="378" spans="1:10" x14ac:dyDescent="0.35">
      <c r="A378" s="3" t="s">
        <v>423</v>
      </c>
      <c r="B378" s="4">
        <v>43215</v>
      </c>
      <c r="C378">
        <v>12</v>
      </c>
      <c r="D378" t="s">
        <v>66</v>
      </c>
      <c r="E378" t="s">
        <v>63</v>
      </c>
      <c r="F378" t="s">
        <v>13</v>
      </c>
      <c r="G378" t="s">
        <v>14</v>
      </c>
      <c r="H378">
        <v>199</v>
      </c>
      <c r="I378">
        <v>6</v>
      </c>
      <c r="J378">
        <v>1194</v>
      </c>
    </row>
    <row r="379" spans="1:10" x14ac:dyDescent="0.35">
      <c r="A379" s="3" t="s">
        <v>424</v>
      </c>
      <c r="B379" s="4">
        <v>43215</v>
      </c>
      <c r="C379">
        <v>11</v>
      </c>
      <c r="D379" t="s">
        <v>11</v>
      </c>
      <c r="E379" t="s">
        <v>12</v>
      </c>
      <c r="F379" t="s">
        <v>13</v>
      </c>
      <c r="G379" t="s">
        <v>41</v>
      </c>
      <c r="H379">
        <v>399</v>
      </c>
      <c r="I379">
        <v>3</v>
      </c>
      <c r="J379">
        <v>1197</v>
      </c>
    </row>
    <row r="380" spans="1:10" x14ac:dyDescent="0.35">
      <c r="A380" s="3" t="s">
        <v>425</v>
      </c>
      <c r="B380" s="4">
        <v>43215</v>
      </c>
      <c r="C380">
        <v>15</v>
      </c>
      <c r="D380" t="s">
        <v>118</v>
      </c>
      <c r="E380" t="s">
        <v>12</v>
      </c>
      <c r="F380" t="s">
        <v>13</v>
      </c>
      <c r="G380" t="s">
        <v>24</v>
      </c>
      <c r="H380">
        <v>159</v>
      </c>
      <c r="I380">
        <v>0</v>
      </c>
      <c r="J380">
        <v>0</v>
      </c>
    </row>
    <row r="381" spans="1:10" x14ac:dyDescent="0.35">
      <c r="A381" s="3" t="s">
        <v>426</v>
      </c>
      <c r="B381" s="4">
        <v>43216</v>
      </c>
      <c r="C381">
        <v>19</v>
      </c>
      <c r="D381" t="s">
        <v>56</v>
      </c>
      <c r="E381" t="s">
        <v>36</v>
      </c>
      <c r="F381" t="s">
        <v>28</v>
      </c>
      <c r="G381" t="s">
        <v>24</v>
      </c>
      <c r="H381">
        <v>159</v>
      </c>
      <c r="I381">
        <v>5</v>
      </c>
      <c r="J381">
        <v>795</v>
      </c>
    </row>
    <row r="382" spans="1:10" x14ac:dyDescent="0.35">
      <c r="A382" s="3" t="s">
        <v>427</v>
      </c>
      <c r="B382" s="4">
        <v>43217</v>
      </c>
      <c r="C382">
        <v>5</v>
      </c>
      <c r="D382" t="s">
        <v>60</v>
      </c>
      <c r="E382" t="s">
        <v>17</v>
      </c>
      <c r="F382" t="s">
        <v>18</v>
      </c>
      <c r="G382" t="s">
        <v>31</v>
      </c>
      <c r="H382">
        <v>69</v>
      </c>
      <c r="I382">
        <v>5</v>
      </c>
      <c r="J382">
        <v>345</v>
      </c>
    </row>
    <row r="383" spans="1:10" x14ac:dyDescent="0.35">
      <c r="A383" s="3" t="s">
        <v>428</v>
      </c>
      <c r="B383" s="4">
        <v>43218</v>
      </c>
      <c r="C383">
        <v>7</v>
      </c>
      <c r="D383" t="s">
        <v>88</v>
      </c>
      <c r="E383" t="s">
        <v>46</v>
      </c>
      <c r="F383" t="s">
        <v>23</v>
      </c>
      <c r="G383" t="s">
        <v>31</v>
      </c>
      <c r="H383">
        <v>69</v>
      </c>
      <c r="I383">
        <v>8</v>
      </c>
      <c r="J383">
        <v>552</v>
      </c>
    </row>
    <row r="384" spans="1:10" x14ac:dyDescent="0.35">
      <c r="A384" s="3" t="s">
        <v>429</v>
      </c>
      <c r="B384" s="4">
        <v>43218</v>
      </c>
      <c r="C384">
        <v>2</v>
      </c>
      <c r="D384" t="s">
        <v>106</v>
      </c>
      <c r="E384" t="s">
        <v>17</v>
      </c>
      <c r="F384" t="s">
        <v>18</v>
      </c>
      <c r="G384" t="s">
        <v>24</v>
      </c>
      <c r="H384">
        <v>159</v>
      </c>
      <c r="I384">
        <v>7</v>
      </c>
      <c r="J384">
        <v>1113</v>
      </c>
    </row>
    <row r="385" spans="1:10" x14ac:dyDescent="0.35">
      <c r="A385" s="3" t="s">
        <v>430</v>
      </c>
      <c r="B385" s="4">
        <v>43218</v>
      </c>
      <c r="C385">
        <v>1</v>
      </c>
      <c r="D385" t="s">
        <v>16</v>
      </c>
      <c r="E385" t="s">
        <v>68</v>
      </c>
      <c r="F385" t="s">
        <v>18</v>
      </c>
      <c r="G385" t="s">
        <v>24</v>
      </c>
      <c r="H385">
        <v>159</v>
      </c>
      <c r="I385">
        <v>5</v>
      </c>
      <c r="J385">
        <v>795</v>
      </c>
    </row>
    <row r="386" spans="1:10" x14ac:dyDescent="0.35">
      <c r="A386" s="3" t="s">
        <v>431</v>
      </c>
      <c r="B386" s="4">
        <v>43218</v>
      </c>
      <c r="C386">
        <v>17</v>
      </c>
      <c r="D386" t="s">
        <v>35</v>
      </c>
      <c r="E386" t="s">
        <v>36</v>
      </c>
      <c r="F386" t="s">
        <v>28</v>
      </c>
      <c r="G386" t="s">
        <v>19</v>
      </c>
      <c r="H386">
        <v>289</v>
      </c>
      <c r="I386">
        <v>3</v>
      </c>
      <c r="J386">
        <v>867</v>
      </c>
    </row>
    <row r="387" spans="1:10" x14ac:dyDescent="0.35">
      <c r="A387" s="3" t="s">
        <v>432</v>
      </c>
      <c r="B387" s="4">
        <v>43218</v>
      </c>
      <c r="C387">
        <v>3</v>
      </c>
      <c r="D387" t="s">
        <v>43</v>
      </c>
      <c r="E387" t="s">
        <v>17</v>
      </c>
      <c r="F387" t="s">
        <v>18</v>
      </c>
      <c r="G387" t="s">
        <v>41</v>
      </c>
      <c r="H387">
        <v>399</v>
      </c>
      <c r="I387">
        <v>2</v>
      </c>
      <c r="J387">
        <v>798</v>
      </c>
    </row>
    <row r="388" spans="1:10" x14ac:dyDescent="0.35">
      <c r="A388" s="3" t="s">
        <v>433</v>
      </c>
      <c r="B388" s="4">
        <v>43218</v>
      </c>
      <c r="C388">
        <v>9</v>
      </c>
      <c r="D388" t="s">
        <v>21</v>
      </c>
      <c r="E388" t="s">
        <v>46</v>
      </c>
      <c r="F388" t="s">
        <v>23</v>
      </c>
      <c r="G388" t="s">
        <v>24</v>
      </c>
      <c r="H388">
        <v>159</v>
      </c>
      <c r="I388">
        <v>8</v>
      </c>
      <c r="J388">
        <v>1272</v>
      </c>
    </row>
    <row r="389" spans="1:10" x14ac:dyDescent="0.35">
      <c r="A389" s="3" t="s">
        <v>434</v>
      </c>
      <c r="B389" s="4">
        <v>43218</v>
      </c>
      <c r="C389">
        <v>20</v>
      </c>
      <c r="D389" t="s">
        <v>40</v>
      </c>
      <c r="E389" t="s">
        <v>36</v>
      </c>
      <c r="F389" t="s">
        <v>28</v>
      </c>
      <c r="G389" t="s">
        <v>31</v>
      </c>
      <c r="H389">
        <v>69</v>
      </c>
      <c r="I389">
        <v>4</v>
      </c>
      <c r="J389">
        <v>276</v>
      </c>
    </row>
    <row r="390" spans="1:10" x14ac:dyDescent="0.35">
      <c r="A390" s="3" t="s">
        <v>435</v>
      </c>
      <c r="B390" s="4">
        <v>43218</v>
      </c>
      <c r="C390">
        <v>13</v>
      </c>
      <c r="D390" t="s">
        <v>33</v>
      </c>
      <c r="E390" t="s">
        <v>63</v>
      </c>
      <c r="F390" t="s">
        <v>13</v>
      </c>
      <c r="G390" t="s">
        <v>19</v>
      </c>
      <c r="H390">
        <v>289</v>
      </c>
      <c r="I390">
        <v>3</v>
      </c>
      <c r="J390">
        <v>867</v>
      </c>
    </row>
    <row r="391" spans="1:10" x14ac:dyDescent="0.35">
      <c r="A391" s="3" t="s">
        <v>436</v>
      </c>
      <c r="B391" s="4">
        <v>43218</v>
      </c>
      <c r="C391">
        <v>1</v>
      </c>
      <c r="D391" t="s">
        <v>16</v>
      </c>
      <c r="E391" t="s">
        <v>68</v>
      </c>
      <c r="F391" t="s">
        <v>18</v>
      </c>
      <c r="G391" t="s">
        <v>19</v>
      </c>
      <c r="H391">
        <v>289</v>
      </c>
      <c r="I391">
        <v>4</v>
      </c>
      <c r="J391">
        <v>1156</v>
      </c>
    </row>
    <row r="392" spans="1:10" x14ac:dyDescent="0.35">
      <c r="A392" s="3" t="s">
        <v>437</v>
      </c>
      <c r="B392" s="4">
        <v>43218</v>
      </c>
      <c r="C392">
        <v>10</v>
      </c>
      <c r="D392" t="s">
        <v>58</v>
      </c>
      <c r="E392" t="s">
        <v>46</v>
      </c>
      <c r="F392" t="s">
        <v>23</v>
      </c>
      <c r="G392" t="s">
        <v>14</v>
      </c>
      <c r="H392">
        <v>199</v>
      </c>
      <c r="I392">
        <v>0</v>
      </c>
      <c r="J392">
        <v>0</v>
      </c>
    </row>
    <row r="393" spans="1:10" x14ac:dyDescent="0.35">
      <c r="A393" s="3" t="s">
        <v>438</v>
      </c>
      <c r="B393" s="4">
        <v>43219</v>
      </c>
      <c r="C393">
        <v>8</v>
      </c>
      <c r="D393" t="s">
        <v>45</v>
      </c>
      <c r="E393" t="s">
        <v>22</v>
      </c>
      <c r="F393" t="s">
        <v>23</v>
      </c>
      <c r="G393" t="s">
        <v>19</v>
      </c>
      <c r="H393">
        <v>289</v>
      </c>
      <c r="I393">
        <v>0</v>
      </c>
      <c r="J393">
        <v>0</v>
      </c>
    </row>
    <row r="394" spans="1:10" x14ac:dyDescent="0.35">
      <c r="A394" s="3" t="s">
        <v>439</v>
      </c>
      <c r="B394" s="4">
        <v>43219</v>
      </c>
      <c r="C394">
        <v>14</v>
      </c>
      <c r="D394" t="s">
        <v>38</v>
      </c>
      <c r="E394" t="s">
        <v>63</v>
      </c>
      <c r="F394" t="s">
        <v>13</v>
      </c>
      <c r="G394" t="s">
        <v>31</v>
      </c>
      <c r="H394">
        <v>69</v>
      </c>
      <c r="I394">
        <v>7</v>
      </c>
      <c r="J394">
        <v>483</v>
      </c>
    </row>
    <row r="395" spans="1:10" x14ac:dyDescent="0.35">
      <c r="A395" s="3" t="s">
        <v>440</v>
      </c>
      <c r="B395" s="4">
        <v>43220</v>
      </c>
      <c r="C395">
        <v>18</v>
      </c>
      <c r="D395" t="s">
        <v>26</v>
      </c>
      <c r="E395" t="s">
        <v>27</v>
      </c>
      <c r="F395" t="s">
        <v>28</v>
      </c>
      <c r="G395" t="s">
        <v>14</v>
      </c>
      <c r="H395">
        <v>199</v>
      </c>
      <c r="I395">
        <v>3</v>
      </c>
      <c r="J395">
        <v>597</v>
      </c>
    </row>
    <row r="396" spans="1:10" x14ac:dyDescent="0.35">
      <c r="A396" s="3" t="s">
        <v>441</v>
      </c>
      <c r="B396" s="4">
        <v>43221</v>
      </c>
      <c r="C396">
        <v>18</v>
      </c>
      <c r="D396" t="s">
        <v>26</v>
      </c>
      <c r="E396" t="s">
        <v>27</v>
      </c>
      <c r="F396" t="s">
        <v>28</v>
      </c>
      <c r="G396" t="s">
        <v>31</v>
      </c>
      <c r="H396">
        <v>69</v>
      </c>
      <c r="I396">
        <v>3</v>
      </c>
      <c r="J396">
        <v>207</v>
      </c>
    </row>
    <row r="397" spans="1:10" x14ac:dyDescent="0.35">
      <c r="A397" s="3" t="s">
        <v>442</v>
      </c>
      <c r="B397" s="4">
        <v>43222</v>
      </c>
      <c r="C397">
        <v>14</v>
      </c>
      <c r="D397" t="s">
        <v>38</v>
      </c>
      <c r="E397" t="s">
        <v>63</v>
      </c>
      <c r="F397" t="s">
        <v>13</v>
      </c>
      <c r="G397" t="s">
        <v>24</v>
      </c>
      <c r="H397">
        <v>159</v>
      </c>
      <c r="I397">
        <v>5</v>
      </c>
      <c r="J397">
        <v>795</v>
      </c>
    </row>
    <row r="398" spans="1:10" x14ac:dyDescent="0.35">
      <c r="A398" s="3" t="s">
        <v>443</v>
      </c>
      <c r="B398" s="4">
        <v>43222</v>
      </c>
      <c r="C398">
        <v>19</v>
      </c>
      <c r="D398" t="s">
        <v>56</v>
      </c>
      <c r="E398" t="s">
        <v>36</v>
      </c>
      <c r="F398" t="s">
        <v>28</v>
      </c>
      <c r="G398" t="s">
        <v>19</v>
      </c>
      <c r="H398">
        <v>289</v>
      </c>
      <c r="I398">
        <v>1</v>
      </c>
      <c r="J398">
        <v>289</v>
      </c>
    </row>
    <row r="399" spans="1:10" x14ac:dyDescent="0.35">
      <c r="A399" s="3" t="s">
        <v>444</v>
      </c>
      <c r="B399" s="4">
        <v>43223</v>
      </c>
      <c r="C399">
        <v>18</v>
      </c>
      <c r="D399" t="s">
        <v>26</v>
      </c>
      <c r="E399" t="s">
        <v>36</v>
      </c>
      <c r="F399" t="s">
        <v>28</v>
      </c>
      <c r="G399" t="s">
        <v>24</v>
      </c>
      <c r="H399">
        <v>159</v>
      </c>
      <c r="I399">
        <v>0</v>
      </c>
      <c r="J399">
        <v>0</v>
      </c>
    </row>
    <row r="400" spans="1:10" x14ac:dyDescent="0.35">
      <c r="A400" s="3" t="s">
        <v>445</v>
      </c>
      <c r="B400" s="4">
        <v>43223</v>
      </c>
      <c r="C400">
        <v>5</v>
      </c>
      <c r="D400" t="s">
        <v>60</v>
      </c>
      <c r="E400" t="s">
        <v>68</v>
      </c>
      <c r="F400" t="s">
        <v>18</v>
      </c>
      <c r="G400" t="s">
        <v>41</v>
      </c>
      <c r="H400">
        <v>399</v>
      </c>
      <c r="I400">
        <v>7</v>
      </c>
      <c r="J400">
        <v>2793</v>
      </c>
    </row>
    <row r="401" spans="1:10" x14ac:dyDescent="0.35">
      <c r="A401" s="3" t="s">
        <v>446</v>
      </c>
      <c r="B401" s="4">
        <v>43223</v>
      </c>
      <c r="C401">
        <v>19</v>
      </c>
      <c r="D401" t="s">
        <v>56</v>
      </c>
      <c r="E401" t="s">
        <v>27</v>
      </c>
      <c r="F401" t="s">
        <v>28</v>
      </c>
      <c r="G401" t="s">
        <v>19</v>
      </c>
      <c r="H401">
        <v>289</v>
      </c>
      <c r="I401">
        <v>6</v>
      </c>
      <c r="J401">
        <v>1734</v>
      </c>
    </row>
    <row r="402" spans="1:10" x14ac:dyDescent="0.35">
      <c r="A402" s="3" t="s">
        <v>447</v>
      </c>
      <c r="B402" s="4">
        <v>43224</v>
      </c>
      <c r="C402">
        <v>5</v>
      </c>
      <c r="D402" t="s">
        <v>60</v>
      </c>
      <c r="E402" t="s">
        <v>17</v>
      </c>
      <c r="F402" t="s">
        <v>18</v>
      </c>
      <c r="G402" t="s">
        <v>31</v>
      </c>
      <c r="H402">
        <v>69</v>
      </c>
      <c r="I402">
        <v>0</v>
      </c>
      <c r="J402">
        <v>0</v>
      </c>
    </row>
    <row r="403" spans="1:10" x14ac:dyDescent="0.35">
      <c r="A403" s="3" t="s">
        <v>448</v>
      </c>
      <c r="B403" s="4">
        <v>43225</v>
      </c>
      <c r="C403">
        <v>16</v>
      </c>
      <c r="D403" t="s">
        <v>30</v>
      </c>
      <c r="E403" t="s">
        <v>36</v>
      </c>
      <c r="F403" t="s">
        <v>28</v>
      </c>
      <c r="G403" t="s">
        <v>19</v>
      </c>
      <c r="H403">
        <v>289</v>
      </c>
      <c r="I403">
        <v>8</v>
      </c>
      <c r="J403">
        <v>2312</v>
      </c>
    </row>
    <row r="404" spans="1:10" x14ac:dyDescent="0.35">
      <c r="A404" s="3" t="s">
        <v>449</v>
      </c>
      <c r="B404" s="4">
        <v>43225</v>
      </c>
      <c r="C404">
        <v>12</v>
      </c>
      <c r="D404" t="s">
        <v>66</v>
      </c>
      <c r="E404" t="s">
        <v>63</v>
      </c>
      <c r="F404" t="s">
        <v>13</v>
      </c>
      <c r="G404" t="s">
        <v>41</v>
      </c>
      <c r="H404">
        <v>399</v>
      </c>
      <c r="I404">
        <v>6</v>
      </c>
      <c r="J404">
        <v>2394</v>
      </c>
    </row>
    <row r="405" spans="1:10" x14ac:dyDescent="0.35">
      <c r="A405" s="3" t="s">
        <v>450</v>
      </c>
      <c r="B405" s="4">
        <v>43226</v>
      </c>
      <c r="C405">
        <v>5</v>
      </c>
      <c r="D405" t="s">
        <v>60</v>
      </c>
      <c r="E405" t="s">
        <v>17</v>
      </c>
      <c r="F405" t="s">
        <v>18</v>
      </c>
      <c r="G405" t="s">
        <v>24</v>
      </c>
      <c r="H405">
        <v>159</v>
      </c>
      <c r="I405">
        <v>9</v>
      </c>
      <c r="J405">
        <v>1431</v>
      </c>
    </row>
    <row r="406" spans="1:10" x14ac:dyDescent="0.35">
      <c r="A406" s="3" t="s">
        <v>451</v>
      </c>
      <c r="B406" s="4">
        <v>43226</v>
      </c>
      <c r="C406">
        <v>1</v>
      </c>
      <c r="D406" t="s">
        <v>16</v>
      </c>
      <c r="E406" t="s">
        <v>17</v>
      </c>
      <c r="F406" t="s">
        <v>18</v>
      </c>
      <c r="G406" t="s">
        <v>24</v>
      </c>
      <c r="H406">
        <v>159</v>
      </c>
      <c r="I406">
        <v>5</v>
      </c>
      <c r="J406">
        <v>795</v>
      </c>
    </row>
    <row r="407" spans="1:10" x14ac:dyDescent="0.35">
      <c r="A407" s="3" t="s">
        <v>452</v>
      </c>
      <c r="B407" s="4">
        <v>43226</v>
      </c>
      <c r="C407">
        <v>6</v>
      </c>
      <c r="D407" t="s">
        <v>48</v>
      </c>
      <c r="E407" t="s">
        <v>46</v>
      </c>
      <c r="F407" t="s">
        <v>23</v>
      </c>
      <c r="G407" t="s">
        <v>24</v>
      </c>
      <c r="H407">
        <v>159</v>
      </c>
      <c r="I407">
        <v>8</v>
      </c>
      <c r="J407">
        <v>1272</v>
      </c>
    </row>
    <row r="408" spans="1:10" x14ac:dyDescent="0.35">
      <c r="A408" s="3" t="s">
        <v>453</v>
      </c>
      <c r="B408" s="4">
        <v>43226</v>
      </c>
      <c r="C408">
        <v>16</v>
      </c>
      <c r="D408" t="s">
        <v>30</v>
      </c>
      <c r="E408" t="s">
        <v>36</v>
      </c>
      <c r="F408" t="s">
        <v>28</v>
      </c>
      <c r="G408" t="s">
        <v>31</v>
      </c>
      <c r="H408">
        <v>69</v>
      </c>
      <c r="I408">
        <v>7</v>
      </c>
      <c r="J408">
        <v>483</v>
      </c>
    </row>
    <row r="409" spans="1:10" x14ac:dyDescent="0.35">
      <c r="A409" s="3" t="s">
        <v>454</v>
      </c>
      <c r="B409" s="4">
        <v>43226</v>
      </c>
      <c r="C409">
        <v>4</v>
      </c>
      <c r="D409" t="s">
        <v>51</v>
      </c>
      <c r="E409" t="s">
        <v>68</v>
      </c>
      <c r="F409" t="s">
        <v>18</v>
      </c>
      <c r="G409" t="s">
        <v>19</v>
      </c>
      <c r="H409">
        <v>289</v>
      </c>
      <c r="I409">
        <v>6</v>
      </c>
      <c r="J409">
        <v>1734</v>
      </c>
    </row>
    <row r="410" spans="1:10" x14ac:dyDescent="0.35">
      <c r="A410" s="3" t="s">
        <v>455</v>
      </c>
      <c r="B410" s="4">
        <v>43226</v>
      </c>
      <c r="C410">
        <v>16</v>
      </c>
      <c r="D410" t="s">
        <v>30</v>
      </c>
      <c r="E410" t="s">
        <v>27</v>
      </c>
      <c r="F410" t="s">
        <v>28</v>
      </c>
      <c r="G410" t="s">
        <v>14</v>
      </c>
      <c r="H410">
        <v>199</v>
      </c>
      <c r="I410">
        <v>3</v>
      </c>
      <c r="J410">
        <v>597</v>
      </c>
    </row>
    <row r="411" spans="1:10" x14ac:dyDescent="0.35">
      <c r="A411" s="3" t="s">
        <v>456</v>
      </c>
      <c r="B411" s="4">
        <v>43226</v>
      </c>
      <c r="C411">
        <v>16</v>
      </c>
      <c r="D411" t="s">
        <v>30</v>
      </c>
      <c r="E411" t="s">
        <v>36</v>
      </c>
      <c r="F411" t="s">
        <v>28</v>
      </c>
      <c r="G411" t="s">
        <v>24</v>
      </c>
      <c r="H411">
        <v>159</v>
      </c>
      <c r="I411">
        <v>4</v>
      </c>
      <c r="J411">
        <v>636</v>
      </c>
    </row>
    <row r="412" spans="1:10" x14ac:dyDescent="0.35">
      <c r="A412" s="3" t="s">
        <v>457</v>
      </c>
      <c r="B412" s="4">
        <v>43226</v>
      </c>
      <c r="C412">
        <v>8</v>
      </c>
      <c r="D412" t="s">
        <v>45</v>
      </c>
      <c r="E412" t="s">
        <v>46</v>
      </c>
      <c r="F412" t="s">
        <v>23</v>
      </c>
      <c r="G412" t="s">
        <v>24</v>
      </c>
      <c r="H412">
        <v>159</v>
      </c>
      <c r="I412">
        <v>4</v>
      </c>
      <c r="J412">
        <v>636</v>
      </c>
    </row>
    <row r="413" spans="1:10" x14ac:dyDescent="0.35">
      <c r="A413" s="3" t="s">
        <v>458</v>
      </c>
      <c r="B413" s="4">
        <v>43226</v>
      </c>
      <c r="C413">
        <v>13</v>
      </c>
      <c r="D413" t="s">
        <v>33</v>
      </c>
      <c r="E413" t="s">
        <v>12</v>
      </c>
      <c r="F413" t="s">
        <v>13</v>
      </c>
      <c r="G413" t="s">
        <v>31</v>
      </c>
      <c r="H413">
        <v>69</v>
      </c>
      <c r="I413">
        <v>7</v>
      </c>
      <c r="J413">
        <v>483</v>
      </c>
    </row>
    <row r="414" spans="1:10" x14ac:dyDescent="0.35">
      <c r="A414" s="3" t="s">
        <v>459</v>
      </c>
      <c r="B414" s="4">
        <v>43226</v>
      </c>
      <c r="C414">
        <v>3</v>
      </c>
      <c r="D414" t="s">
        <v>43</v>
      </c>
      <c r="E414" t="s">
        <v>68</v>
      </c>
      <c r="F414" t="s">
        <v>18</v>
      </c>
      <c r="G414" t="s">
        <v>14</v>
      </c>
      <c r="H414">
        <v>199</v>
      </c>
      <c r="I414">
        <v>1</v>
      </c>
      <c r="J414">
        <v>199</v>
      </c>
    </row>
    <row r="415" spans="1:10" x14ac:dyDescent="0.35">
      <c r="A415" s="3" t="s">
        <v>460</v>
      </c>
      <c r="B415" s="4">
        <v>43227</v>
      </c>
      <c r="C415">
        <v>19</v>
      </c>
      <c r="D415" t="s">
        <v>56</v>
      </c>
      <c r="E415" t="s">
        <v>27</v>
      </c>
      <c r="F415" t="s">
        <v>28</v>
      </c>
      <c r="G415" t="s">
        <v>31</v>
      </c>
      <c r="H415">
        <v>69</v>
      </c>
      <c r="I415">
        <v>6</v>
      </c>
      <c r="J415">
        <v>414</v>
      </c>
    </row>
    <row r="416" spans="1:10" x14ac:dyDescent="0.35">
      <c r="A416" s="3" t="s">
        <v>461</v>
      </c>
      <c r="B416" s="4">
        <v>43228</v>
      </c>
      <c r="C416">
        <v>17</v>
      </c>
      <c r="D416" t="s">
        <v>35</v>
      </c>
      <c r="E416" t="s">
        <v>36</v>
      </c>
      <c r="F416" t="s">
        <v>28</v>
      </c>
      <c r="G416" t="s">
        <v>24</v>
      </c>
      <c r="H416">
        <v>159</v>
      </c>
      <c r="I416">
        <v>7</v>
      </c>
      <c r="J416">
        <v>1113</v>
      </c>
    </row>
    <row r="417" spans="1:10" x14ac:dyDescent="0.35">
      <c r="A417" s="3" t="s">
        <v>462</v>
      </c>
      <c r="B417" s="4">
        <v>43228</v>
      </c>
      <c r="C417">
        <v>13</v>
      </c>
      <c r="D417" t="s">
        <v>33</v>
      </c>
      <c r="E417" t="s">
        <v>12</v>
      </c>
      <c r="F417" t="s">
        <v>13</v>
      </c>
      <c r="G417" t="s">
        <v>14</v>
      </c>
      <c r="H417">
        <v>199</v>
      </c>
      <c r="I417">
        <v>1</v>
      </c>
      <c r="J417">
        <v>199</v>
      </c>
    </row>
    <row r="418" spans="1:10" x14ac:dyDescent="0.35">
      <c r="A418" s="3" t="s">
        <v>463</v>
      </c>
      <c r="B418" s="4">
        <v>43229</v>
      </c>
      <c r="C418">
        <v>2</v>
      </c>
      <c r="D418" t="s">
        <v>106</v>
      </c>
      <c r="E418" t="s">
        <v>17</v>
      </c>
      <c r="F418" t="s">
        <v>18</v>
      </c>
      <c r="G418" t="s">
        <v>41</v>
      </c>
      <c r="H418">
        <v>399</v>
      </c>
      <c r="I418">
        <v>1</v>
      </c>
      <c r="J418">
        <v>399</v>
      </c>
    </row>
    <row r="419" spans="1:10" x14ac:dyDescent="0.35">
      <c r="A419" s="3" t="s">
        <v>464</v>
      </c>
      <c r="B419" s="4">
        <v>43230</v>
      </c>
      <c r="C419">
        <v>6</v>
      </c>
      <c r="D419" t="s">
        <v>48</v>
      </c>
      <c r="E419" t="s">
        <v>46</v>
      </c>
      <c r="F419" t="s">
        <v>23</v>
      </c>
      <c r="G419" t="s">
        <v>24</v>
      </c>
      <c r="H419">
        <v>159</v>
      </c>
      <c r="I419">
        <v>9</v>
      </c>
      <c r="J419">
        <v>1431</v>
      </c>
    </row>
    <row r="420" spans="1:10" x14ac:dyDescent="0.35">
      <c r="A420" s="3" t="s">
        <v>465</v>
      </c>
      <c r="B420" s="4">
        <v>43230</v>
      </c>
      <c r="C420">
        <v>14</v>
      </c>
      <c r="D420" t="s">
        <v>38</v>
      </c>
      <c r="E420" t="s">
        <v>12</v>
      </c>
      <c r="F420" t="s">
        <v>13</v>
      </c>
      <c r="G420" t="s">
        <v>14</v>
      </c>
      <c r="H420">
        <v>199</v>
      </c>
      <c r="I420">
        <v>3</v>
      </c>
      <c r="J420">
        <v>597</v>
      </c>
    </row>
    <row r="421" spans="1:10" x14ac:dyDescent="0.35">
      <c r="A421" s="3" t="s">
        <v>466</v>
      </c>
      <c r="B421" s="4">
        <v>43231</v>
      </c>
      <c r="C421">
        <v>18</v>
      </c>
      <c r="D421" t="s">
        <v>26</v>
      </c>
      <c r="E421" t="s">
        <v>36</v>
      </c>
      <c r="F421" t="s">
        <v>28</v>
      </c>
      <c r="G421" t="s">
        <v>24</v>
      </c>
      <c r="H421">
        <v>159</v>
      </c>
      <c r="I421">
        <v>9</v>
      </c>
      <c r="J421">
        <v>1431</v>
      </c>
    </row>
    <row r="422" spans="1:10" x14ac:dyDescent="0.35">
      <c r="A422" s="3" t="s">
        <v>467</v>
      </c>
      <c r="B422" s="4">
        <v>43231</v>
      </c>
      <c r="C422">
        <v>6</v>
      </c>
      <c r="D422" t="s">
        <v>48</v>
      </c>
      <c r="E422" t="s">
        <v>46</v>
      </c>
      <c r="F422" t="s">
        <v>23</v>
      </c>
      <c r="G422" t="s">
        <v>24</v>
      </c>
      <c r="H422">
        <v>159</v>
      </c>
      <c r="I422">
        <v>4</v>
      </c>
      <c r="J422">
        <v>636</v>
      </c>
    </row>
    <row r="423" spans="1:10" x14ac:dyDescent="0.35">
      <c r="A423" s="3" t="s">
        <v>468</v>
      </c>
      <c r="B423" s="4">
        <v>43232</v>
      </c>
      <c r="C423">
        <v>4</v>
      </c>
      <c r="D423" t="s">
        <v>51</v>
      </c>
      <c r="E423" t="s">
        <v>68</v>
      </c>
      <c r="F423" t="s">
        <v>18</v>
      </c>
      <c r="G423" t="s">
        <v>24</v>
      </c>
      <c r="H423">
        <v>159</v>
      </c>
      <c r="I423">
        <v>9</v>
      </c>
      <c r="J423">
        <v>1431</v>
      </c>
    </row>
    <row r="424" spans="1:10" x14ac:dyDescent="0.35">
      <c r="A424" s="3" t="s">
        <v>469</v>
      </c>
      <c r="B424" s="4">
        <v>43232</v>
      </c>
      <c r="C424">
        <v>5</v>
      </c>
      <c r="D424" t="s">
        <v>60</v>
      </c>
      <c r="E424" t="s">
        <v>68</v>
      </c>
      <c r="F424" t="s">
        <v>18</v>
      </c>
      <c r="G424" t="s">
        <v>31</v>
      </c>
      <c r="H424">
        <v>69</v>
      </c>
      <c r="I424">
        <v>4</v>
      </c>
      <c r="J424">
        <v>276</v>
      </c>
    </row>
    <row r="425" spans="1:10" x14ac:dyDescent="0.35">
      <c r="A425" s="3" t="s">
        <v>470</v>
      </c>
      <c r="B425" s="4">
        <v>43232</v>
      </c>
      <c r="C425">
        <v>1</v>
      </c>
      <c r="D425" t="s">
        <v>16</v>
      </c>
      <c r="E425" t="s">
        <v>68</v>
      </c>
      <c r="F425" t="s">
        <v>18</v>
      </c>
      <c r="G425" t="s">
        <v>31</v>
      </c>
      <c r="H425">
        <v>69</v>
      </c>
      <c r="I425">
        <v>8</v>
      </c>
      <c r="J425">
        <v>552</v>
      </c>
    </row>
    <row r="426" spans="1:10" x14ac:dyDescent="0.35">
      <c r="A426" s="3" t="s">
        <v>471</v>
      </c>
      <c r="B426" s="4">
        <v>43232</v>
      </c>
      <c r="C426">
        <v>1</v>
      </c>
      <c r="D426" t="s">
        <v>16</v>
      </c>
      <c r="E426" t="s">
        <v>68</v>
      </c>
      <c r="F426" t="s">
        <v>18</v>
      </c>
      <c r="G426" t="s">
        <v>19</v>
      </c>
      <c r="H426">
        <v>289</v>
      </c>
      <c r="I426">
        <v>7</v>
      </c>
      <c r="J426">
        <v>2023</v>
      </c>
    </row>
    <row r="427" spans="1:10" x14ac:dyDescent="0.35">
      <c r="A427" s="3" t="s">
        <v>472</v>
      </c>
      <c r="B427" s="4">
        <v>43232</v>
      </c>
      <c r="C427">
        <v>17</v>
      </c>
      <c r="D427" t="s">
        <v>35</v>
      </c>
      <c r="E427" t="s">
        <v>36</v>
      </c>
      <c r="F427" t="s">
        <v>28</v>
      </c>
      <c r="G427" t="s">
        <v>14</v>
      </c>
      <c r="H427">
        <v>199</v>
      </c>
      <c r="I427">
        <v>8</v>
      </c>
      <c r="J427">
        <v>1592</v>
      </c>
    </row>
    <row r="428" spans="1:10" x14ac:dyDescent="0.35">
      <c r="A428" s="3" t="s">
        <v>473</v>
      </c>
      <c r="B428" s="4">
        <v>43233</v>
      </c>
      <c r="C428">
        <v>5</v>
      </c>
      <c r="D428" t="s">
        <v>60</v>
      </c>
      <c r="E428" t="s">
        <v>17</v>
      </c>
      <c r="F428" t="s">
        <v>18</v>
      </c>
      <c r="G428" t="s">
        <v>14</v>
      </c>
      <c r="H428">
        <v>199</v>
      </c>
      <c r="I428">
        <v>6</v>
      </c>
      <c r="J428">
        <v>1194</v>
      </c>
    </row>
    <row r="429" spans="1:10" x14ac:dyDescent="0.35">
      <c r="A429" s="3" t="s">
        <v>474</v>
      </c>
      <c r="B429" s="4">
        <v>43233</v>
      </c>
      <c r="C429">
        <v>13</v>
      </c>
      <c r="D429" t="s">
        <v>33</v>
      </c>
      <c r="E429" t="s">
        <v>63</v>
      </c>
      <c r="F429" t="s">
        <v>13</v>
      </c>
      <c r="G429" t="s">
        <v>31</v>
      </c>
      <c r="H429">
        <v>69</v>
      </c>
      <c r="I429">
        <v>3</v>
      </c>
      <c r="J429">
        <v>207</v>
      </c>
    </row>
    <row r="430" spans="1:10" x14ac:dyDescent="0.35">
      <c r="A430" s="3" t="s">
        <v>475</v>
      </c>
      <c r="B430" s="4">
        <v>43234</v>
      </c>
      <c r="C430">
        <v>18</v>
      </c>
      <c r="D430" t="s">
        <v>26</v>
      </c>
      <c r="E430" t="s">
        <v>36</v>
      </c>
      <c r="F430" t="s">
        <v>28</v>
      </c>
      <c r="G430" t="s">
        <v>31</v>
      </c>
      <c r="H430">
        <v>69</v>
      </c>
      <c r="I430">
        <v>9</v>
      </c>
      <c r="J430">
        <v>621</v>
      </c>
    </row>
    <row r="431" spans="1:10" x14ac:dyDescent="0.35">
      <c r="A431" s="3" t="s">
        <v>476</v>
      </c>
      <c r="B431" s="4">
        <v>43235</v>
      </c>
      <c r="C431">
        <v>16</v>
      </c>
      <c r="D431" t="s">
        <v>30</v>
      </c>
      <c r="E431" t="s">
        <v>36</v>
      </c>
      <c r="F431" t="s">
        <v>28</v>
      </c>
      <c r="G431" t="s">
        <v>19</v>
      </c>
      <c r="H431">
        <v>289</v>
      </c>
      <c r="I431">
        <v>7</v>
      </c>
      <c r="J431">
        <v>2023</v>
      </c>
    </row>
    <row r="432" spans="1:10" x14ac:dyDescent="0.35">
      <c r="A432" s="3" t="s">
        <v>477</v>
      </c>
      <c r="B432" s="4">
        <v>43235</v>
      </c>
      <c r="C432">
        <v>4</v>
      </c>
      <c r="D432" t="s">
        <v>51</v>
      </c>
      <c r="E432" t="s">
        <v>68</v>
      </c>
      <c r="F432" t="s">
        <v>18</v>
      </c>
      <c r="G432" t="s">
        <v>19</v>
      </c>
      <c r="H432">
        <v>289</v>
      </c>
      <c r="I432">
        <v>6</v>
      </c>
      <c r="J432">
        <v>1734</v>
      </c>
    </row>
    <row r="433" spans="1:10" x14ac:dyDescent="0.35">
      <c r="A433" s="3" t="s">
        <v>478</v>
      </c>
      <c r="B433" s="4">
        <v>43235</v>
      </c>
      <c r="C433">
        <v>2</v>
      </c>
      <c r="D433" t="s">
        <v>106</v>
      </c>
      <c r="E433" t="s">
        <v>17</v>
      </c>
      <c r="F433" t="s">
        <v>18</v>
      </c>
      <c r="G433" t="s">
        <v>41</v>
      </c>
      <c r="H433">
        <v>399</v>
      </c>
      <c r="I433">
        <v>3</v>
      </c>
      <c r="J433">
        <v>1197</v>
      </c>
    </row>
    <row r="434" spans="1:10" x14ac:dyDescent="0.35">
      <c r="A434" s="3" t="s">
        <v>479</v>
      </c>
      <c r="B434" s="4">
        <v>43235</v>
      </c>
      <c r="C434">
        <v>3</v>
      </c>
      <c r="D434" t="s">
        <v>43</v>
      </c>
      <c r="E434" t="s">
        <v>17</v>
      </c>
      <c r="F434" t="s">
        <v>18</v>
      </c>
      <c r="G434" t="s">
        <v>19</v>
      </c>
      <c r="H434">
        <v>289</v>
      </c>
      <c r="I434">
        <v>0</v>
      </c>
      <c r="J434">
        <v>0</v>
      </c>
    </row>
    <row r="435" spans="1:10" x14ac:dyDescent="0.35">
      <c r="A435" s="3" t="s">
        <v>480</v>
      </c>
      <c r="B435" s="4">
        <v>43235</v>
      </c>
      <c r="C435">
        <v>9</v>
      </c>
      <c r="D435" t="s">
        <v>21</v>
      </c>
      <c r="E435" t="s">
        <v>22</v>
      </c>
      <c r="F435" t="s">
        <v>23</v>
      </c>
      <c r="G435" t="s">
        <v>19</v>
      </c>
      <c r="H435">
        <v>289</v>
      </c>
      <c r="I435">
        <v>5</v>
      </c>
      <c r="J435">
        <v>1445</v>
      </c>
    </row>
    <row r="436" spans="1:10" x14ac:dyDescent="0.35">
      <c r="A436" s="3" t="s">
        <v>481</v>
      </c>
      <c r="B436" s="4">
        <v>43235</v>
      </c>
      <c r="C436">
        <v>8</v>
      </c>
      <c r="D436" t="s">
        <v>45</v>
      </c>
      <c r="E436" t="s">
        <v>46</v>
      </c>
      <c r="F436" t="s">
        <v>23</v>
      </c>
      <c r="G436" t="s">
        <v>19</v>
      </c>
      <c r="H436">
        <v>289</v>
      </c>
      <c r="I436">
        <v>5</v>
      </c>
      <c r="J436">
        <v>1445</v>
      </c>
    </row>
    <row r="437" spans="1:10" x14ac:dyDescent="0.35">
      <c r="A437" s="3" t="s">
        <v>482</v>
      </c>
      <c r="B437" s="4">
        <v>43235</v>
      </c>
      <c r="C437">
        <v>17</v>
      </c>
      <c r="D437" t="s">
        <v>35</v>
      </c>
      <c r="E437" t="s">
        <v>36</v>
      </c>
      <c r="F437" t="s">
        <v>28</v>
      </c>
      <c r="G437" t="s">
        <v>14</v>
      </c>
      <c r="H437">
        <v>199</v>
      </c>
      <c r="I437">
        <v>0</v>
      </c>
      <c r="J437">
        <v>0</v>
      </c>
    </row>
    <row r="438" spans="1:10" x14ac:dyDescent="0.35">
      <c r="A438" s="3" t="s">
        <v>483</v>
      </c>
      <c r="B438" s="4">
        <v>43235</v>
      </c>
      <c r="C438">
        <v>2</v>
      </c>
      <c r="D438" t="s">
        <v>106</v>
      </c>
      <c r="E438" t="s">
        <v>68</v>
      </c>
      <c r="F438" t="s">
        <v>18</v>
      </c>
      <c r="G438" t="s">
        <v>31</v>
      </c>
      <c r="H438">
        <v>69</v>
      </c>
      <c r="I438">
        <v>7</v>
      </c>
      <c r="J438">
        <v>483</v>
      </c>
    </row>
    <row r="439" spans="1:10" x14ac:dyDescent="0.35">
      <c r="A439" s="3" t="s">
        <v>484</v>
      </c>
      <c r="B439" s="4">
        <v>43235</v>
      </c>
      <c r="C439">
        <v>2</v>
      </c>
      <c r="D439" t="s">
        <v>106</v>
      </c>
      <c r="E439" t="s">
        <v>68</v>
      </c>
      <c r="F439" t="s">
        <v>18</v>
      </c>
      <c r="G439" t="s">
        <v>31</v>
      </c>
      <c r="H439">
        <v>69</v>
      </c>
      <c r="I439">
        <v>6</v>
      </c>
      <c r="J439">
        <v>414</v>
      </c>
    </row>
    <row r="440" spans="1:10" x14ac:dyDescent="0.35">
      <c r="A440" s="3" t="s">
        <v>485</v>
      </c>
      <c r="B440" s="4">
        <v>43235</v>
      </c>
      <c r="C440">
        <v>16</v>
      </c>
      <c r="D440" t="s">
        <v>30</v>
      </c>
      <c r="E440" t="s">
        <v>36</v>
      </c>
      <c r="F440" t="s">
        <v>28</v>
      </c>
      <c r="G440" t="s">
        <v>24</v>
      </c>
      <c r="H440">
        <v>159</v>
      </c>
      <c r="I440">
        <v>1</v>
      </c>
      <c r="J440">
        <v>159</v>
      </c>
    </row>
    <row r="441" spans="1:10" x14ac:dyDescent="0.35">
      <c r="A441" s="3" t="s">
        <v>486</v>
      </c>
      <c r="B441" s="4">
        <v>43235</v>
      </c>
      <c r="C441">
        <v>19</v>
      </c>
      <c r="D441" t="s">
        <v>56</v>
      </c>
      <c r="E441" t="s">
        <v>36</v>
      </c>
      <c r="F441" t="s">
        <v>28</v>
      </c>
      <c r="G441" t="s">
        <v>31</v>
      </c>
      <c r="H441">
        <v>69</v>
      </c>
      <c r="I441">
        <v>8</v>
      </c>
      <c r="J441">
        <v>552</v>
      </c>
    </row>
    <row r="442" spans="1:10" x14ac:dyDescent="0.35">
      <c r="A442" s="3" t="s">
        <v>487</v>
      </c>
      <c r="B442" s="4">
        <v>43235</v>
      </c>
      <c r="C442">
        <v>18</v>
      </c>
      <c r="D442" t="s">
        <v>26</v>
      </c>
      <c r="E442" t="s">
        <v>36</v>
      </c>
      <c r="F442" t="s">
        <v>28</v>
      </c>
      <c r="G442" t="s">
        <v>14</v>
      </c>
      <c r="H442">
        <v>199</v>
      </c>
      <c r="I442">
        <v>6</v>
      </c>
      <c r="J442">
        <v>1194</v>
      </c>
    </row>
    <row r="443" spans="1:10" x14ac:dyDescent="0.35">
      <c r="A443" s="3" t="s">
        <v>488</v>
      </c>
      <c r="B443" s="4">
        <v>43235</v>
      </c>
      <c r="C443">
        <v>1</v>
      </c>
      <c r="D443" t="s">
        <v>16</v>
      </c>
      <c r="E443" t="s">
        <v>17</v>
      </c>
      <c r="F443" t="s">
        <v>18</v>
      </c>
      <c r="G443" t="s">
        <v>41</v>
      </c>
      <c r="H443">
        <v>399</v>
      </c>
      <c r="I443">
        <v>1</v>
      </c>
      <c r="J443">
        <v>399</v>
      </c>
    </row>
    <row r="444" spans="1:10" x14ac:dyDescent="0.35">
      <c r="A444" s="3" t="s">
        <v>489</v>
      </c>
      <c r="B444" s="4">
        <v>43235</v>
      </c>
      <c r="C444">
        <v>14</v>
      </c>
      <c r="D444" t="s">
        <v>38</v>
      </c>
      <c r="E444" t="s">
        <v>12</v>
      </c>
      <c r="F444" t="s">
        <v>13</v>
      </c>
      <c r="G444" t="s">
        <v>31</v>
      </c>
      <c r="H444">
        <v>69</v>
      </c>
      <c r="I444">
        <v>6</v>
      </c>
      <c r="J444">
        <v>414</v>
      </c>
    </row>
    <row r="445" spans="1:10" x14ac:dyDescent="0.35">
      <c r="A445" s="3" t="s">
        <v>490</v>
      </c>
      <c r="B445" s="4">
        <v>43236</v>
      </c>
      <c r="C445">
        <v>17</v>
      </c>
      <c r="D445" t="s">
        <v>35</v>
      </c>
      <c r="E445" t="s">
        <v>36</v>
      </c>
      <c r="F445" t="s">
        <v>28</v>
      </c>
      <c r="G445" t="s">
        <v>31</v>
      </c>
      <c r="H445">
        <v>69</v>
      </c>
      <c r="I445">
        <v>7</v>
      </c>
      <c r="J445">
        <v>483</v>
      </c>
    </row>
    <row r="446" spans="1:10" x14ac:dyDescent="0.35">
      <c r="A446" s="3" t="s">
        <v>491</v>
      </c>
      <c r="B446" s="4">
        <v>43236</v>
      </c>
      <c r="C446">
        <v>9</v>
      </c>
      <c r="D446" t="s">
        <v>21</v>
      </c>
      <c r="E446" t="s">
        <v>46</v>
      </c>
      <c r="F446" t="s">
        <v>23</v>
      </c>
      <c r="G446" t="s">
        <v>14</v>
      </c>
      <c r="H446">
        <v>199</v>
      </c>
      <c r="I446">
        <v>2</v>
      </c>
      <c r="J446">
        <v>398</v>
      </c>
    </row>
    <row r="447" spans="1:10" x14ac:dyDescent="0.35">
      <c r="A447" s="3" t="s">
        <v>492</v>
      </c>
      <c r="B447" s="4">
        <v>43236</v>
      </c>
      <c r="C447">
        <v>18</v>
      </c>
      <c r="D447" t="s">
        <v>26</v>
      </c>
      <c r="E447" t="s">
        <v>36</v>
      </c>
      <c r="F447" t="s">
        <v>28</v>
      </c>
      <c r="G447" t="s">
        <v>31</v>
      </c>
      <c r="H447">
        <v>69</v>
      </c>
      <c r="I447">
        <v>7</v>
      </c>
      <c r="J447">
        <v>483</v>
      </c>
    </row>
    <row r="448" spans="1:10" x14ac:dyDescent="0.35">
      <c r="A448" s="3" t="s">
        <v>493</v>
      </c>
      <c r="B448" s="4">
        <v>43236</v>
      </c>
      <c r="C448">
        <v>16</v>
      </c>
      <c r="D448" t="s">
        <v>30</v>
      </c>
      <c r="E448" t="s">
        <v>36</v>
      </c>
      <c r="F448" t="s">
        <v>28</v>
      </c>
      <c r="G448" t="s">
        <v>41</v>
      </c>
      <c r="H448">
        <v>399</v>
      </c>
      <c r="I448">
        <v>5</v>
      </c>
      <c r="J448">
        <v>1995</v>
      </c>
    </row>
    <row r="449" spans="1:10" x14ac:dyDescent="0.35">
      <c r="A449" s="3" t="s">
        <v>494</v>
      </c>
      <c r="B449" s="4">
        <v>43236</v>
      </c>
      <c r="C449">
        <v>10</v>
      </c>
      <c r="D449" t="s">
        <v>58</v>
      </c>
      <c r="E449" t="s">
        <v>22</v>
      </c>
      <c r="F449" t="s">
        <v>23</v>
      </c>
      <c r="G449" t="s">
        <v>24</v>
      </c>
      <c r="H449">
        <v>159</v>
      </c>
      <c r="I449">
        <v>1</v>
      </c>
      <c r="J449">
        <v>159</v>
      </c>
    </row>
    <row r="450" spans="1:10" x14ac:dyDescent="0.35">
      <c r="A450" s="3" t="s">
        <v>495</v>
      </c>
      <c r="B450" s="4">
        <v>43236</v>
      </c>
      <c r="C450">
        <v>10</v>
      </c>
      <c r="D450" t="s">
        <v>58</v>
      </c>
      <c r="E450" t="s">
        <v>22</v>
      </c>
      <c r="F450" t="s">
        <v>23</v>
      </c>
      <c r="G450" t="s">
        <v>19</v>
      </c>
      <c r="H450">
        <v>289</v>
      </c>
      <c r="I450">
        <v>6</v>
      </c>
      <c r="J450">
        <v>1734</v>
      </c>
    </row>
    <row r="451" spans="1:10" x14ac:dyDescent="0.35">
      <c r="A451" s="3" t="s">
        <v>496</v>
      </c>
      <c r="B451" s="4">
        <v>43236</v>
      </c>
      <c r="C451">
        <v>5</v>
      </c>
      <c r="D451" t="s">
        <v>60</v>
      </c>
      <c r="E451" t="s">
        <v>68</v>
      </c>
      <c r="F451" t="s">
        <v>18</v>
      </c>
      <c r="G451" t="s">
        <v>19</v>
      </c>
      <c r="H451">
        <v>289</v>
      </c>
      <c r="I451">
        <v>8</v>
      </c>
      <c r="J451">
        <v>2312</v>
      </c>
    </row>
    <row r="452" spans="1:10" x14ac:dyDescent="0.35">
      <c r="A452" s="3" t="s">
        <v>497</v>
      </c>
      <c r="B452" s="4">
        <v>43236</v>
      </c>
      <c r="C452">
        <v>10</v>
      </c>
      <c r="D452" t="s">
        <v>58</v>
      </c>
      <c r="E452" t="s">
        <v>22</v>
      </c>
      <c r="F452" t="s">
        <v>23</v>
      </c>
      <c r="G452" t="s">
        <v>31</v>
      </c>
      <c r="H452">
        <v>69</v>
      </c>
      <c r="I452">
        <v>7</v>
      </c>
      <c r="J452">
        <v>483</v>
      </c>
    </row>
    <row r="453" spans="1:10" x14ac:dyDescent="0.35">
      <c r="A453" s="3" t="s">
        <v>498</v>
      </c>
      <c r="B453" s="4">
        <v>43236</v>
      </c>
      <c r="C453">
        <v>7</v>
      </c>
      <c r="D453" t="s">
        <v>88</v>
      </c>
      <c r="E453" t="s">
        <v>46</v>
      </c>
      <c r="F453" t="s">
        <v>23</v>
      </c>
      <c r="G453" t="s">
        <v>31</v>
      </c>
      <c r="H453">
        <v>69</v>
      </c>
      <c r="I453">
        <v>3</v>
      </c>
      <c r="J453">
        <v>207</v>
      </c>
    </row>
    <row r="454" spans="1:10" x14ac:dyDescent="0.35">
      <c r="A454" s="3" t="s">
        <v>499</v>
      </c>
      <c r="B454" s="4">
        <v>43236</v>
      </c>
      <c r="C454">
        <v>6</v>
      </c>
      <c r="D454" t="s">
        <v>48</v>
      </c>
      <c r="E454" t="s">
        <v>46</v>
      </c>
      <c r="F454" t="s">
        <v>23</v>
      </c>
      <c r="G454" t="s">
        <v>41</v>
      </c>
      <c r="H454">
        <v>399</v>
      </c>
      <c r="I454">
        <v>3</v>
      </c>
      <c r="J454">
        <v>1197</v>
      </c>
    </row>
    <row r="455" spans="1:10" x14ac:dyDescent="0.35">
      <c r="A455" s="3" t="s">
        <v>500</v>
      </c>
      <c r="B455" s="4">
        <v>43236</v>
      </c>
      <c r="C455">
        <v>13</v>
      </c>
      <c r="D455" t="s">
        <v>33</v>
      </c>
      <c r="E455" t="s">
        <v>12</v>
      </c>
      <c r="F455" t="s">
        <v>13</v>
      </c>
      <c r="G455" t="s">
        <v>24</v>
      </c>
      <c r="H455">
        <v>159</v>
      </c>
      <c r="I455">
        <v>8</v>
      </c>
      <c r="J455">
        <v>1272</v>
      </c>
    </row>
    <row r="456" spans="1:10" x14ac:dyDescent="0.35">
      <c r="A456" s="3" t="s">
        <v>501</v>
      </c>
      <c r="B456" s="4">
        <v>43237</v>
      </c>
      <c r="C456">
        <v>14</v>
      </c>
      <c r="D456" t="s">
        <v>38</v>
      </c>
      <c r="E456" t="s">
        <v>63</v>
      </c>
      <c r="F456" t="s">
        <v>13</v>
      </c>
      <c r="G456" t="s">
        <v>31</v>
      </c>
      <c r="H456">
        <v>69</v>
      </c>
      <c r="I456">
        <v>9</v>
      </c>
      <c r="J456">
        <v>621</v>
      </c>
    </row>
    <row r="457" spans="1:10" x14ac:dyDescent="0.35">
      <c r="A457" s="3" t="s">
        <v>502</v>
      </c>
      <c r="B457" s="4">
        <v>43237</v>
      </c>
      <c r="C457">
        <v>3</v>
      </c>
      <c r="D457" t="s">
        <v>43</v>
      </c>
      <c r="E457" t="s">
        <v>17</v>
      </c>
      <c r="F457" t="s">
        <v>18</v>
      </c>
      <c r="G457" t="s">
        <v>41</v>
      </c>
      <c r="H457">
        <v>399</v>
      </c>
      <c r="I457">
        <v>7</v>
      </c>
      <c r="J457">
        <v>2793</v>
      </c>
    </row>
    <row r="458" spans="1:10" x14ac:dyDescent="0.35">
      <c r="A458" s="3" t="s">
        <v>503</v>
      </c>
      <c r="B458" s="4">
        <v>43237</v>
      </c>
      <c r="C458">
        <v>3</v>
      </c>
      <c r="D458" t="s">
        <v>43</v>
      </c>
      <c r="E458" t="s">
        <v>17</v>
      </c>
      <c r="F458" t="s">
        <v>18</v>
      </c>
      <c r="G458" t="s">
        <v>24</v>
      </c>
      <c r="H458">
        <v>159</v>
      </c>
      <c r="I458">
        <v>9</v>
      </c>
      <c r="J458">
        <v>1431</v>
      </c>
    </row>
    <row r="459" spans="1:10" x14ac:dyDescent="0.35">
      <c r="A459" s="3" t="s">
        <v>504</v>
      </c>
      <c r="B459" s="4">
        <v>43237</v>
      </c>
      <c r="C459">
        <v>12</v>
      </c>
      <c r="D459" t="s">
        <v>66</v>
      </c>
      <c r="E459" t="s">
        <v>63</v>
      </c>
      <c r="F459" t="s">
        <v>13</v>
      </c>
      <c r="G459" t="s">
        <v>14</v>
      </c>
      <c r="H459">
        <v>199</v>
      </c>
      <c r="I459">
        <v>3</v>
      </c>
      <c r="J459">
        <v>597</v>
      </c>
    </row>
    <row r="460" spans="1:10" x14ac:dyDescent="0.35">
      <c r="A460" s="3" t="s">
        <v>505</v>
      </c>
      <c r="B460" s="4">
        <v>43237</v>
      </c>
      <c r="C460">
        <v>5</v>
      </c>
      <c r="D460" t="s">
        <v>60</v>
      </c>
      <c r="E460" t="s">
        <v>68</v>
      </c>
      <c r="F460" t="s">
        <v>18</v>
      </c>
      <c r="G460" t="s">
        <v>24</v>
      </c>
      <c r="H460">
        <v>159</v>
      </c>
      <c r="I460">
        <v>1</v>
      </c>
      <c r="J460">
        <v>159</v>
      </c>
    </row>
    <row r="461" spans="1:10" x14ac:dyDescent="0.35">
      <c r="A461" s="3" t="s">
        <v>506</v>
      </c>
      <c r="B461" s="4">
        <v>43238</v>
      </c>
      <c r="C461">
        <v>11</v>
      </c>
      <c r="D461" t="s">
        <v>11</v>
      </c>
      <c r="E461" t="s">
        <v>63</v>
      </c>
      <c r="F461" t="s">
        <v>13</v>
      </c>
      <c r="G461" t="s">
        <v>24</v>
      </c>
      <c r="H461">
        <v>159</v>
      </c>
      <c r="I461">
        <v>4</v>
      </c>
      <c r="J461">
        <v>636</v>
      </c>
    </row>
    <row r="462" spans="1:10" x14ac:dyDescent="0.35">
      <c r="A462" s="3" t="s">
        <v>507</v>
      </c>
      <c r="B462" s="4">
        <v>43238</v>
      </c>
      <c r="C462">
        <v>7</v>
      </c>
      <c r="D462" t="s">
        <v>88</v>
      </c>
      <c r="E462" t="s">
        <v>46</v>
      </c>
      <c r="F462" t="s">
        <v>23</v>
      </c>
      <c r="G462" t="s">
        <v>41</v>
      </c>
      <c r="H462">
        <v>399</v>
      </c>
      <c r="I462">
        <v>0</v>
      </c>
      <c r="J462">
        <v>0</v>
      </c>
    </row>
    <row r="463" spans="1:10" x14ac:dyDescent="0.35">
      <c r="A463" s="3" t="s">
        <v>508</v>
      </c>
      <c r="B463" s="4">
        <v>43238</v>
      </c>
      <c r="C463">
        <v>1</v>
      </c>
      <c r="D463" t="s">
        <v>16</v>
      </c>
      <c r="E463" t="s">
        <v>17</v>
      </c>
      <c r="F463" t="s">
        <v>18</v>
      </c>
      <c r="G463" t="s">
        <v>41</v>
      </c>
      <c r="H463">
        <v>399</v>
      </c>
      <c r="I463">
        <v>3</v>
      </c>
      <c r="J463">
        <v>1197</v>
      </c>
    </row>
    <row r="464" spans="1:10" x14ac:dyDescent="0.35">
      <c r="A464" s="3" t="s">
        <v>509</v>
      </c>
      <c r="B464" s="4">
        <v>43239</v>
      </c>
      <c r="C464">
        <v>10</v>
      </c>
      <c r="D464" t="s">
        <v>58</v>
      </c>
      <c r="E464" t="s">
        <v>22</v>
      </c>
      <c r="F464" t="s">
        <v>23</v>
      </c>
      <c r="G464" t="s">
        <v>41</v>
      </c>
      <c r="H464">
        <v>399</v>
      </c>
      <c r="I464">
        <v>9</v>
      </c>
      <c r="J464">
        <v>3591</v>
      </c>
    </row>
    <row r="465" spans="1:10" x14ac:dyDescent="0.35">
      <c r="A465" s="3" t="s">
        <v>510</v>
      </c>
      <c r="B465" s="4">
        <v>43239</v>
      </c>
      <c r="C465">
        <v>4</v>
      </c>
      <c r="D465" t="s">
        <v>51</v>
      </c>
      <c r="E465" t="s">
        <v>68</v>
      </c>
      <c r="F465" t="s">
        <v>18</v>
      </c>
      <c r="G465" t="s">
        <v>19</v>
      </c>
      <c r="H465">
        <v>289</v>
      </c>
      <c r="I465">
        <v>2</v>
      </c>
      <c r="J465">
        <v>578</v>
      </c>
    </row>
    <row r="466" spans="1:10" x14ac:dyDescent="0.35">
      <c r="A466" s="3" t="s">
        <v>511</v>
      </c>
      <c r="B466" s="4">
        <v>43239</v>
      </c>
      <c r="C466">
        <v>11</v>
      </c>
      <c r="D466" t="s">
        <v>11</v>
      </c>
      <c r="E466" t="s">
        <v>63</v>
      </c>
      <c r="F466" t="s">
        <v>13</v>
      </c>
      <c r="G466" t="s">
        <v>24</v>
      </c>
      <c r="H466">
        <v>159</v>
      </c>
      <c r="I466">
        <v>9</v>
      </c>
      <c r="J466">
        <v>1431</v>
      </c>
    </row>
    <row r="467" spans="1:10" x14ac:dyDescent="0.35">
      <c r="A467" s="3" t="s">
        <v>512</v>
      </c>
      <c r="B467" s="4">
        <v>43239</v>
      </c>
      <c r="C467">
        <v>2</v>
      </c>
      <c r="D467" t="s">
        <v>106</v>
      </c>
      <c r="E467" t="s">
        <v>17</v>
      </c>
      <c r="F467" t="s">
        <v>18</v>
      </c>
      <c r="G467" t="s">
        <v>24</v>
      </c>
      <c r="H467">
        <v>159</v>
      </c>
      <c r="I467">
        <v>3</v>
      </c>
      <c r="J467">
        <v>477</v>
      </c>
    </row>
    <row r="468" spans="1:10" x14ac:dyDescent="0.35">
      <c r="A468" s="3" t="s">
        <v>513</v>
      </c>
      <c r="B468" s="4">
        <v>43239</v>
      </c>
      <c r="C468">
        <v>4</v>
      </c>
      <c r="D468" t="s">
        <v>51</v>
      </c>
      <c r="E468" t="s">
        <v>17</v>
      </c>
      <c r="F468" t="s">
        <v>18</v>
      </c>
      <c r="G468" t="s">
        <v>14</v>
      </c>
      <c r="H468">
        <v>199</v>
      </c>
      <c r="I468">
        <v>0</v>
      </c>
      <c r="J468">
        <v>0</v>
      </c>
    </row>
    <row r="469" spans="1:10" x14ac:dyDescent="0.35">
      <c r="A469" s="3" t="s">
        <v>514</v>
      </c>
      <c r="B469" s="4">
        <v>43239</v>
      </c>
      <c r="C469">
        <v>18</v>
      </c>
      <c r="D469" t="s">
        <v>26</v>
      </c>
      <c r="E469" t="s">
        <v>36</v>
      </c>
      <c r="F469" t="s">
        <v>28</v>
      </c>
      <c r="G469" t="s">
        <v>24</v>
      </c>
      <c r="H469">
        <v>159</v>
      </c>
      <c r="I469">
        <v>9</v>
      </c>
      <c r="J469">
        <v>1431</v>
      </c>
    </row>
    <row r="470" spans="1:10" x14ac:dyDescent="0.35">
      <c r="A470" s="3" t="s">
        <v>515</v>
      </c>
      <c r="B470" s="4">
        <v>43240</v>
      </c>
      <c r="C470">
        <v>2</v>
      </c>
      <c r="D470" t="s">
        <v>106</v>
      </c>
      <c r="E470" t="s">
        <v>17</v>
      </c>
      <c r="F470" t="s">
        <v>18</v>
      </c>
      <c r="G470" t="s">
        <v>19</v>
      </c>
      <c r="H470">
        <v>289</v>
      </c>
      <c r="I470">
        <v>1</v>
      </c>
      <c r="J470">
        <v>289</v>
      </c>
    </row>
    <row r="471" spans="1:10" x14ac:dyDescent="0.35">
      <c r="A471" s="3" t="s">
        <v>516</v>
      </c>
      <c r="B471" s="4">
        <v>43240</v>
      </c>
      <c r="C471">
        <v>14</v>
      </c>
      <c r="D471" t="s">
        <v>38</v>
      </c>
      <c r="E471" t="s">
        <v>12</v>
      </c>
      <c r="F471" t="s">
        <v>13</v>
      </c>
      <c r="G471" t="s">
        <v>41</v>
      </c>
      <c r="H471">
        <v>399</v>
      </c>
      <c r="I471">
        <v>9</v>
      </c>
      <c r="J471">
        <v>3591</v>
      </c>
    </row>
    <row r="472" spans="1:10" x14ac:dyDescent="0.35">
      <c r="A472" s="3" t="s">
        <v>517</v>
      </c>
      <c r="B472" s="4">
        <v>43241</v>
      </c>
      <c r="C472">
        <v>5</v>
      </c>
      <c r="D472" t="s">
        <v>60</v>
      </c>
      <c r="E472" t="s">
        <v>68</v>
      </c>
      <c r="F472" t="s">
        <v>18</v>
      </c>
      <c r="G472" t="s">
        <v>19</v>
      </c>
      <c r="H472">
        <v>289</v>
      </c>
      <c r="I472">
        <v>4</v>
      </c>
      <c r="J472">
        <v>1156</v>
      </c>
    </row>
    <row r="473" spans="1:10" x14ac:dyDescent="0.35">
      <c r="A473" s="3" t="s">
        <v>518</v>
      </c>
      <c r="B473" s="4">
        <v>43242</v>
      </c>
      <c r="C473">
        <v>5</v>
      </c>
      <c r="D473" t="s">
        <v>60</v>
      </c>
      <c r="E473" t="s">
        <v>17</v>
      </c>
      <c r="F473" t="s">
        <v>18</v>
      </c>
      <c r="G473" t="s">
        <v>41</v>
      </c>
      <c r="H473">
        <v>399</v>
      </c>
      <c r="I473">
        <v>3</v>
      </c>
      <c r="J473">
        <v>1197</v>
      </c>
    </row>
    <row r="474" spans="1:10" x14ac:dyDescent="0.35">
      <c r="A474" s="3" t="s">
        <v>519</v>
      </c>
      <c r="B474" s="4">
        <v>43243</v>
      </c>
      <c r="C474">
        <v>13</v>
      </c>
      <c r="D474" t="s">
        <v>33</v>
      </c>
      <c r="E474" t="s">
        <v>12</v>
      </c>
      <c r="F474" t="s">
        <v>13</v>
      </c>
      <c r="G474" t="s">
        <v>19</v>
      </c>
      <c r="H474">
        <v>289</v>
      </c>
      <c r="I474">
        <v>8</v>
      </c>
      <c r="J474">
        <v>2312</v>
      </c>
    </row>
    <row r="475" spans="1:10" x14ac:dyDescent="0.35">
      <c r="A475" s="3" t="s">
        <v>520</v>
      </c>
      <c r="B475" s="4">
        <v>43243</v>
      </c>
      <c r="C475">
        <v>18</v>
      </c>
      <c r="D475" t="s">
        <v>26</v>
      </c>
      <c r="E475" t="s">
        <v>36</v>
      </c>
      <c r="F475" t="s">
        <v>28</v>
      </c>
      <c r="G475" t="s">
        <v>41</v>
      </c>
      <c r="H475">
        <v>399</v>
      </c>
      <c r="I475">
        <v>3</v>
      </c>
      <c r="J475">
        <v>1197</v>
      </c>
    </row>
    <row r="476" spans="1:10" x14ac:dyDescent="0.35">
      <c r="A476" s="3" t="s">
        <v>521</v>
      </c>
      <c r="B476" s="4">
        <v>43243</v>
      </c>
      <c r="C476">
        <v>13</v>
      </c>
      <c r="D476" t="s">
        <v>33</v>
      </c>
      <c r="E476" t="s">
        <v>12</v>
      </c>
      <c r="F476" t="s">
        <v>13</v>
      </c>
      <c r="G476" t="s">
        <v>14</v>
      </c>
      <c r="H476">
        <v>199</v>
      </c>
      <c r="I476">
        <v>2</v>
      </c>
      <c r="J476">
        <v>398</v>
      </c>
    </row>
    <row r="477" spans="1:10" x14ac:dyDescent="0.35">
      <c r="A477" s="3" t="s">
        <v>522</v>
      </c>
      <c r="B477" s="4">
        <v>43243</v>
      </c>
      <c r="C477">
        <v>8</v>
      </c>
      <c r="D477" t="s">
        <v>45</v>
      </c>
      <c r="E477" t="s">
        <v>22</v>
      </c>
      <c r="F477" t="s">
        <v>23</v>
      </c>
      <c r="G477" t="s">
        <v>24</v>
      </c>
      <c r="H477">
        <v>159</v>
      </c>
      <c r="I477">
        <v>3</v>
      </c>
      <c r="J477">
        <v>477</v>
      </c>
    </row>
    <row r="478" spans="1:10" x14ac:dyDescent="0.35">
      <c r="A478" s="3" t="s">
        <v>523</v>
      </c>
      <c r="B478" s="4">
        <v>43243</v>
      </c>
      <c r="C478">
        <v>7</v>
      </c>
      <c r="D478" t="s">
        <v>88</v>
      </c>
      <c r="E478" t="s">
        <v>22</v>
      </c>
      <c r="F478" t="s">
        <v>23</v>
      </c>
      <c r="G478" t="s">
        <v>19</v>
      </c>
      <c r="H478">
        <v>289</v>
      </c>
      <c r="I478">
        <v>5</v>
      </c>
      <c r="J478">
        <v>1445</v>
      </c>
    </row>
    <row r="479" spans="1:10" x14ac:dyDescent="0.35">
      <c r="A479" s="3" t="s">
        <v>524</v>
      </c>
      <c r="B479" s="4">
        <v>43243</v>
      </c>
      <c r="C479">
        <v>6</v>
      </c>
      <c r="D479" t="s">
        <v>48</v>
      </c>
      <c r="E479" t="s">
        <v>22</v>
      </c>
      <c r="F479" t="s">
        <v>23</v>
      </c>
      <c r="G479" t="s">
        <v>24</v>
      </c>
      <c r="H479">
        <v>159</v>
      </c>
      <c r="I479">
        <v>3</v>
      </c>
      <c r="J479">
        <v>477</v>
      </c>
    </row>
    <row r="480" spans="1:10" x14ac:dyDescent="0.35">
      <c r="A480" s="3" t="s">
        <v>525</v>
      </c>
      <c r="B480" s="4">
        <v>43243</v>
      </c>
      <c r="C480">
        <v>7</v>
      </c>
      <c r="D480" t="s">
        <v>88</v>
      </c>
      <c r="E480" t="s">
        <v>22</v>
      </c>
      <c r="F480" t="s">
        <v>23</v>
      </c>
      <c r="G480" t="s">
        <v>24</v>
      </c>
      <c r="H480">
        <v>159</v>
      </c>
      <c r="I480">
        <v>2</v>
      </c>
      <c r="J480">
        <v>318</v>
      </c>
    </row>
    <row r="481" spans="1:10" x14ac:dyDescent="0.35">
      <c r="A481" s="3" t="s">
        <v>526</v>
      </c>
      <c r="B481" s="4">
        <v>43243</v>
      </c>
      <c r="C481">
        <v>18</v>
      </c>
      <c r="D481" t="s">
        <v>26</v>
      </c>
      <c r="E481" t="s">
        <v>27</v>
      </c>
      <c r="F481" t="s">
        <v>28</v>
      </c>
      <c r="G481" t="s">
        <v>31</v>
      </c>
      <c r="H481">
        <v>69</v>
      </c>
      <c r="I481">
        <v>9</v>
      </c>
      <c r="J481">
        <v>621</v>
      </c>
    </row>
    <row r="482" spans="1:10" x14ac:dyDescent="0.35">
      <c r="A482" s="3" t="s">
        <v>527</v>
      </c>
      <c r="B482" s="4">
        <v>43244</v>
      </c>
      <c r="C482">
        <v>17</v>
      </c>
      <c r="D482" t="s">
        <v>35</v>
      </c>
      <c r="E482" t="s">
        <v>27</v>
      </c>
      <c r="F482" t="s">
        <v>28</v>
      </c>
      <c r="G482" t="s">
        <v>19</v>
      </c>
      <c r="H482">
        <v>289</v>
      </c>
      <c r="I482">
        <v>3</v>
      </c>
      <c r="J482">
        <v>867</v>
      </c>
    </row>
    <row r="483" spans="1:10" x14ac:dyDescent="0.35">
      <c r="A483" s="3" t="s">
        <v>528</v>
      </c>
      <c r="B483" s="4">
        <v>43244</v>
      </c>
      <c r="C483">
        <v>11</v>
      </c>
      <c r="D483" t="s">
        <v>11</v>
      </c>
      <c r="E483" t="s">
        <v>12</v>
      </c>
      <c r="F483" t="s">
        <v>13</v>
      </c>
      <c r="G483" t="s">
        <v>31</v>
      </c>
      <c r="H483">
        <v>69</v>
      </c>
      <c r="I483">
        <v>6</v>
      </c>
      <c r="J483">
        <v>414</v>
      </c>
    </row>
    <row r="484" spans="1:10" x14ac:dyDescent="0.35">
      <c r="A484" s="3" t="s">
        <v>529</v>
      </c>
      <c r="B484" s="4">
        <v>43244</v>
      </c>
      <c r="C484">
        <v>16</v>
      </c>
      <c r="D484" t="s">
        <v>30</v>
      </c>
      <c r="E484" t="s">
        <v>27</v>
      </c>
      <c r="F484" t="s">
        <v>28</v>
      </c>
      <c r="G484" t="s">
        <v>31</v>
      </c>
      <c r="H484">
        <v>69</v>
      </c>
      <c r="I484">
        <v>6</v>
      </c>
      <c r="J484">
        <v>414</v>
      </c>
    </row>
    <row r="485" spans="1:10" x14ac:dyDescent="0.35">
      <c r="A485" s="3" t="s">
        <v>530</v>
      </c>
      <c r="B485" s="4">
        <v>43244</v>
      </c>
      <c r="C485">
        <v>4</v>
      </c>
      <c r="D485" t="s">
        <v>51</v>
      </c>
      <c r="E485" t="s">
        <v>68</v>
      </c>
      <c r="F485" t="s">
        <v>18</v>
      </c>
      <c r="G485" t="s">
        <v>14</v>
      </c>
      <c r="H485">
        <v>199</v>
      </c>
      <c r="I485">
        <v>4</v>
      </c>
      <c r="J485">
        <v>796</v>
      </c>
    </row>
    <row r="486" spans="1:10" x14ac:dyDescent="0.35">
      <c r="A486" s="3" t="s">
        <v>531</v>
      </c>
      <c r="B486" s="4">
        <v>43245</v>
      </c>
      <c r="C486">
        <v>16</v>
      </c>
      <c r="D486" t="s">
        <v>30</v>
      </c>
      <c r="E486" t="s">
        <v>27</v>
      </c>
      <c r="F486" t="s">
        <v>28</v>
      </c>
      <c r="G486" t="s">
        <v>14</v>
      </c>
      <c r="H486">
        <v>199</v>
      </c>
      <c r="I486">
        <v>7</v>
      </c>
      <c r="J486">
        <v>1393</v>
      </c>
    </row>
    <row r="487" spans="1:10" x14ac:dyDescent="0.35">
      <c r="A487" s="3" t="s">
        <v>532</v>
      </c>
      <c r="B487" s="4">
        <v>43245</v>
      </c>
      <c r="C487">
        <v>8</v>
      </c>
      <c r="D487" t="s">
        <v>45</v>
      </c>
      <c r="E487" t="s">
        <v>22</v>
      </c>
      <c r="F487" t="s">
        <v>23</v>
      </c>
      <c r="G487" t="s">
        <v>24</v>
      </c>
      <c r="H487">
        <v>159</v>
      </c>
      <c r="I487">
        <v>4</v>
      </c>
      <c r="J487">
        <v>636</v>
      </c>
    </row>
    <row r="488" spans="1:10" x14ac:dyDescent="0.35">
      <c r="A488" s="3" t="s">
        <v>533</v>
      </c>
      <c r="B488" s="4">
        <v>43245</v>
      </c>
      <c r="C488">
        <v>4</v>
      </c>
      <c r="D488" t="s">
        <v>51</v>
      </c>
      <c r="E488" t="s">
        <v>68</v>
      </c>
      <c r="F488" t="s">
        <v>18</v>
      </c>
      <c r="G488" t="s">
        <v>19</v>
      </c>
      <c r="H488">
        <v>289</v>
      </c>
      <c r="I488">
        <v>4</v>
      </c>
      <c r="J488">
        <v>1156</v>
      </c>
    </row>
    <row r="489" spans="1:10" x14ac:dyDescent="0.35">
      <c r="A489" s="3" t="s">
        <v>534</v>
      </c>
      <c r="B489" s="4">
        <v>43245</v>
      </c>
      <c r="C489">
        <v>20</v>
      </c>
      <c r="D489" t="s">
        <v>40</v>
      </c>
      <c r="E489" t="s">
        <v>27</v>
      </c>
      <c r="F489" t="s">
        <v>28</v>
      </c>
      <c r="G489" t="s">
        <v>24</v>
      </c>
      <c r="H489">
        <v>159</v>
      </c>
      <c r="I489">
        <v>2</v>
      </c>
      <c r="J489">
        <v>318</v>
      </c>
    </row>
    <row r="490" spans="1:10" x14ac:dyDescent="0.35">
      <c r="A490" s="3" t="s">
        <v>535</v>
      </c>
      <c r="B490" s="4">
        <v>43245</v>
      </c>
      <c r="C490">
        <v>13</v>
      </c>
      <c r="D490" t="s">
        <v>33</v>
      </c>
      <c r="E490" t="s">
        <v>12</v>
      </c>
      <c r="F490" t="s">
        <v>13</v>
      </c>
      <c r="G490" t="s">
        <v>24</v>
      </c>
      <c r="H490">
        <v>159</v>
      </c>
      <c r="I490">
        <v>7</v>
      </c>
      <c r="J490">
        <v>1113</v>
      </c>
    </row>
    <row r="491" spans="1:10" x14ac:dyDescent="0.35">
      <c r="A491" s="3" t="s">
        <v>536</v>
      </c>
      <c r="B491" s="4">
        <v>43245</v>
      </c>
      <c r="C491">
        <v>13</v>
      </c>
      <c r="D491" t="s">
        <v>33</v>
      </c>
      <c r="E491" t="s">
        <v>12</v>
      </c>
      <c r="F491" t="s">
        <v>13</v>
      </c>
      <c r="G491" t="s">
        <v>24</v>
      </c>
      <c r="H491">
        <v>159</v>
      </c>
      <c r="I491">
        <v>4</v>
      </c>
      <c r="J491">
        <v>636</v>
      </c>
    </row>
    <row r="492" spans="1:10" x14ac:dyDescent="0.35">
      <c r="A492" s="3" t="s">
        <v>537</v>
      </c>
      <c r="B492" s="4">
        <v>43245</v>
      </c>
      <c r="C492">
        <v>17</v>
      </c>
      <c r="D492" t="s">
        <v>35</v>
      </c>
      <c r="E492" t="s">
        <v>36</v>
      </c>
      <c r="F492" t="s">
        <v>28</v>
      </c>
      <c r="G492" t="s">
        <v>31</v>
      </c>
      <c r="H492">
        <v>69</v>
      </c>
      <c r="I492">
        <v>3</v>
      </c>
      <c r="J492">
        <v>207</v>
      </c>
    </row>
    <row r="493" spans="1:10" x14ac:dyDescent="0.35">
      <c r="A493" s="3" t="s">
        <v>538</v>
      </c>
      <c r="B493" s="4">
        <v>43245</v>
      </c>
      <c r="C493">
        <v>3</v>
      </c>
      <c r="D493" t="s">
        <v>43</v>
      </c>
      <c r="E493" t="s">
        <v>17</v>
      </c>
      <c r="F493" t="s">
        <v>18</v>
      </c>
      <c r="G493" t="s">
        <v>19</v>
      </c>
      <c r="H493">
        <v>289</v>
      </c>
      <c r="I493">
        <v>6</v>
      </c>
      <c r="J493">
        <v>1734</v>
      </c>
    </row>
    <row r="494" spans="1:10" x14ac:dyDescent="0.35">
      <c r="A494" s="3" t="s">
        <v>539</v>
      </c>
      <c r="B494" s="4">
        <v>43246</v>
      </c>
      <c r="C494">
        <v>9</v>
      </c>
      <c r="D494" t="s">
        <v>21</v>
      </c>
      <c r="E494" t="s">
        <v>46</v>
      </c>
      <c r="F494" t="s">
        <v>23</v>
      </c>
      <c r="G494" t="s">
        <v>41</v>
      </c>
      <c r="H494">
        <v>399</v>
      </c>
      <c r="I494">
        <v>2</v>
      </c>
      <c r="J494">
        <v>798</v>
      </c>
    </row>
    <row r="495" spans="1:10" x14ac:dyDescent="0.35">
      <c r="A495" s="3" t="s">
        <v>540</v>
      </c>
      <c r="B495" s="4">
        <v>43246</v>
      </c>
      <c r="C495">
        <v>16</v>
      </c>
      <c r="D495" t="s">
        <v>30</v>
      </c>
      <c r="E495" t="s">
        <v>36</v>
      </c>
      <c r="F495" t="s">
        <v>28</v>
      </c>
      <c r="G495" t="s">
        <v>24</v>
      </c>
      <c r="H495">
        <v>159</v>
      </c>
      <c r="I495">
        <v>9</v>
      </c>
      <c r="J495">
        <v>1431</v>
      </c>
    </row>
    <row r="496" spans="1:10" x14ac:dyDescent="0.35">
      <c r="A496" s="3" t="s">
        <v>541</v>
      </c>
      <c r="B496" s="4">
        <v>43246</v>
      </c>
      <c r="C496">
        <v>13</v>
      </c>
      <c r="D496" t="s">
        <v>33</v>
      </c>
      <c r="E496" t="s">
        <v>12</v>
      </c>
      <c r="F496" t="s">
        <v>13</v>
      </c>
      <c r="G496" t="s">
        <v>14</v>
      </c>
      <c r="H496">
        <v>199</v>
      </c>
      <c r="I496">
        <v>5</v>
      </c>
      <c r="J496">
        <v>995</v>
      </c>
    </row>
    <row r="497" spans="1:10" x14ac:dyDescent="0.35">
      <c r="A497" s="3" t="s">
        <v>542</v>
      </c>
      <c r="B497" s="4">
        <v>43246</v>
      </c>
      <c r="C497">
        <v>9</v>
      </c>
      <c r="D497" t="s">
        <v>21</v>
      </c>
      <c r="E497" t="s">
        <v>22</v>
      </c>
      <c r="F497" t="s">
        <v>23</v>
      </c>
      <c r="G497" t="s">
        <v>19</v>
      </c>
      <c r="H497">
        <v>289</v>
      </c>
      <c r="I497">
        <v>6</v>
      </c>
      <c r="J497">
        <v>1734</v>
      </c>
    </row>
    <row r="498" spans="1:10" x14ac:dyDescent="0.35">
      <c r="A498" s="3" t="s">
        <v>543</v>
      </c>
      <c r="B498" s="4">
        <v>43246</v>
      </c>
      <c r="C498">
        <v>4</v>
      </c>
      <c r="D498" t="s">
        <v>51</v>
      </c>
      <c r="E498" t="s">
        <v>68</v>
      </c>
      <c r="F498" t="s">
        <v>18</v>
      </c>
      <c r="G498" t="s">
        <v>19</v>
      </c>
      <c r="H498">
        <v>289</v>
      </c>
      <c r="I498">
        <v>1</v>
      </c>
      <c r="J498">
        <v>289</v>
      </c>
    </row>
    <row r="499" spans="1:10" x14ac:dyDescent="0.35">
      <c r="A499" s="3" t="s">
        <v>544</v>
      </c>
      <c r="B499" s="4">
        <v>43246</v>
      </c>
      <c r="C499">
        <v>8</v>
      </c>
      <c r="D499" t="s">
        <v>45</v>
      </c>
      <c r="E499" t="s">
        <v>46</v>
      </c>
      <c r="F499" t="s">
        <v>23</v>
      </c>
      <c r="G499" t="s">
        <v>31</v>
      </c>
      <c r="H499">
        <v>69</v>
      </c>
      <c r="I499">
        <v>8</v>
      </c>
      <c r="J499">
        <v>552</v>
      </c>
    </row>
    <row r="500" spans="1:10" x14ac:dyDescent="0.35">
      <c r="A500" s="3" t="s">
        <v>545</v>
      </c>
      <c r="B500" s="4">
        <v>43246</v>
      </c>
      <c r="C500">
        <v>18</v>
      </c>
      <c r="D500" t="s">
        <v>26</v>
      </c>
      <c r="E500" t="s">
        <v>27</v>
      </c>
      <c r="F500" t="s">
        <v>28</v>
      </c>
      <c r="G500" t="s">
        <v>14</v>
      </c>
      <c r="H500">
        <v>199</v>
      </c>
      <c r="I500">
        <v>8</v>
      </c>
      <c r="J500">
        <v>1592</v>
      </c>
    </row>
    <row r="501" spans="1:10" x14ac:dyDescent="0.35">
      <c r="A501" s="3" t="s">
        <v>546</v>
      </c>
      <c r="B501" s="4">
        <v>43246</v>
      </c>
      <c r="C501">
        <v>4</v>
      </c>
      <c r="D501" t="s">
        <v>51</v>
      </c>
      <c r="E501" t="s">
        <v>17</v>
      </c>
      <c r="F501" t="s">
        <v>18</v>
      </c>
      <c r="G501" t="s">
        <v>19</v>
      </c>
      <c r="H501">
        <v>289</v>
      </c>
      <c r="I501">
        <v>6</v>
      </c>
      <c r="J501">
        <v>1734</v>
      </c>
    </row>
    <row r="502" spans="1:10" x14ac:dyDescent="0.35">
      <c r="A502" s="3" t="s">
        <v>547</v>
      </c>
      <c r="B502" s="4">
        <v>43247</v>
      </c>
      <c r="C502">
        <v>2</v>
      </c>
      <c r="D502" t="s">
        <v>106</v>
      </c>
      <c r="E502" t="s">
        <v>17</v>
      </c>
      <c r="F502" t="s">
        <v>18</v>
      </c>
      <c r="G502" t="s">
        <v>14</v>
      </c>
      <c r="H502">
        <v>199</v>
      </c>
      <c r="I502">
        <v>5</v>
      </c>
      <c r="J502">
        <v>995</v>
      </c>
    </row>
    <row r="503" spans="1:10" x14ac:dyDescent="0.35">
      <c r="A503" s="3" t="s">
        <v>548</v>
      </c>
      <c r="B503" s="4">
        <v>43247</v>
      </c>
      <c r="C503">
        <v>2</v>
      </c>
      <c r="D503" t="s">
        <v>106</v>
      </c>
      <c r="E503" t="s">
        <v>17</v>
      </c>
      <c r="F503" t="s">
        <v>18</v>
      </c>
      <c r="G503" t="s">
        <v>14</v>
      </c>
      <c r="H503">
        <v>199</v>
      </c>
      <c r="I503">
        <v>0</v>
      </c>
      <c r="J503">
        <v>0</v>
      </c>
    </row>
    <row r="504" spans="1:10" x14ac:dyDescent="0.35">
      <c r="A504" s="3" t="s">
        <v>549</v>
      </c>
      <c r="B504" s="4">
        <v>43247</v>
      </c>
      <c r="C504">
        <v>10</v>
      </c>
      <c r="D504" t="s">
        <v>58</v>
      </c>
      <c r="E504" t="s">
        <v>46</v>
      </c>
      <c r="F504" t="s">
        <v>23</v>
      </c>
      <c r="G504" t="s">
        <v>19</v>
      </c>
      <c r="H504">
        <v>289</v>
      </c>
      <c r="I504">
        <v>8</v>
      </c>
      <c r="J504">
        <v>2312</v>
      </c>
    </row>
    <row r="505" spans="1:10" x14ac:dyDescent="0.35">
      <c r="A505" s="3" t="s">
        <v>550</v>
      </c>
      <c r="B505" s="4">
        <v>43248</v>
      </c>
      <c r="C505">
        <v>9</v>
      </c>
      <c r="D505" t="s">
        <v>21</v>
      </c>
      <c r="E505" t="s">
        <v>22</v>
      </c>
      <c r="F505" t="s">
        <v>23</v>
      </c>
      <c r="G505" t="s">
        <v>14</v>
      </c>
      <c r="H505">
        <v>199</v>
      </c>
      <c r="I505">
        <v>6</v>
      </c>
      <c r="J505">
        <v>1194</v>
      </c>
    </row>
    <row r="506" spans="1:10" x14ac:dyDescent="0.35">
      <c r="A506" s="3" t="s">
        <v>551</v>
      </c>
      <c r="B506" s="4">
        <v>43249</v>
      </c>
      <c r="C506">
        <v>12</v>
      </c>
      <c r="D506" t="s">
        <v>66</v>
      </c>
      <c r="E506" t="s">
        <v>63</v>
      </c>
      <c r="F506" t="s">
        <v>13</v>
      </c>
      <c r="G506" t="s">
        <v>14</v>
      </c>
      <c r="H506">
        <v>199</v>
      </c>
      <c r="I506">
        <v>2</v>
      </c>
      <c r="J506">
        <v>398</v>
      </c>
    </row>
    <row r="507" spans="1:10" x14ac:dyDescent="0.35">
      <c r="A507" s="3" t="s">
        <v>552</v>
      </c>
      <c r="B507" s="4">
        <v>43249</v>
      </c>
      <c r="C507">
        <v>17</v>
      </c>
      <c r="D507" t="s">
        <v>35</v>
      </c>
      <c r="E507" t="s">
        <v>27</v>
      </c>
      <c r="F507" t="s">
        <v>28</v>
      </c>
      <c r="G507" t="s">
        <v>31</v>
      </c>
      <c r="H507">
        <v>69</v>
      </c>
      <c r="I507">
        <v>4</v>
      </c>
      <c r="J507">
        <v>276</v>
      </c>
    </row>
    <row r="508" spans="1:10" x14ac:dyDescent="0.35">
      <c r="A508" s="3" t="s">
        <v>553</v>
      </c>
      <c r="B508" s="4">
        <v>43249</v>
      </c>
      <c r="C508">
        <v>2</v>
      </c>
      <c r="D508" t="s">
        <v>106</v>
      </c>
      <c r="E508" t="s">
        <v>68</v>
      </c>
      <c r="F508" t="s">
        <v>18</v>
      </c>
      <c r="G508" t="s">
        <v>41</v>
      </c>
      <c r="H508">
        <v>399</v>
      </c>
      <c r="I508">
        <v>9</v>
      </c>
      <c r="J508">
        <v>3591</v>
      </c>
    </row>
    <row r="509" spans="1:10" x14ac:dyDescent="0.35">
      <c r="A509" s="3" t="s">
        <v>554</v>
      </c>
      <c r="B509" s="4">
        <v>43249</v>
      </c>
      <c r="C509">
        <v>19</v>
      </c>
      <c r="D509" t="s">
        <v>56</v>
      </c>
      <c r="E509" t="s">
        <v>36</v>
      </c>
      <c r="F509" t="s">
        <v>28</v>
      </c>
      <c r="G509" t="s">
        <v>41</v>
      </c>
      <c r="H509">
        <v>399</v>
      </c>
      <c r="I509">
        <v>6</v>
      </c>
      <c r="J509">
        <v>2394</v>
      </c>
    </row>
    <row r="510" spans="1:10" x14ac:dyDescent="0.35">
      <c r="A510" s="3" t="s">
        <v>555</v>
      </c>
      <c r="B510" s="4">
        <v>43250</v>
      </c>
      <c r="C510">
        <v>19</v>
      </c>
      <c r="D510" t="s">
        <v>56</v>
      </c>
      <c r="E510" t="s">
        <v>27</v>
      </c>
      <c r="F510" t="s">
        <v>28</v>
      </c>
      <c r="G510" t="s">
        <v>24</v>
      </c>
      <c r="H510">
        <v>159</v>
      </c>
      <c r="I510">
        <v>8</v>
      </c>
      <c r="J510">
        <v>1272</v>
      </c>
    </row>
    <row r="511" spans="1:10" x14ac:dyDescent="0.35">
      <c r="A511" s="3" t="s">
        <v>556</v>
      </c>
      <c r="B511" s="4">
        <v>43250</v>
      </c>
      <c r="C511">
        <v>2</v>
      </c>
      <c r="D511" t="s">
        <v>106</v>
      </c>
      <c r="E511" t="s">
        <v>17</v>
      </c>
      <c r="F511" t="s">
        <v>18</v>
      </c>
      <c r="G511" t="s">
        <v>31</v>
      </c>
      <c r="H511">
        <v>69</v>
      </c>
      <c r="I511">
        <v>5</v>
      </c>
      <c r="J511">
        <v>345</v>
      </c>
    </row>
    <row r="512" spans="1:10" x14ac:dyDescent="0.35">
      <c r="A512" s="3" t="s">
        <v>557</v>
      </c>
      <c r="B512" s="4">
        <v>43250</v>
      </c>
      <c r="C512">
        <v>19</v>
      </c>
      <c r="D512" t="s">
        <v>56</v>
      </c>
      <c r="E512" t="s">
        <v>27</v>
      </c>
      <c r="F512" t="s">
        <v>28</v>
      </c>
      <c r="G512" t="s">
        <v>19</v>
      </c>
      <c r="H512">
        <v>289</v>
      </c>
      <c r="I512">
        <v>9</v>
      </c>
      <c r="J512">
        <v>2601</v>
      </c>
    </row>
    <row r="513" spans="1:10" x14ac:dyDescent="0.35">
      <c r="A513" s="3" t="s">
        <v>558</v>
      </c>
      <c r="B513" s="4">
        <v>43250</v>
      </c>
      <c r="C513">
        <v>2</v>
      </c>
      <c r="D513" t="s">
        <v>106</v>
      </c>
      <c r="E513" t="s">
        <v>68</v>
      </c>
      <c r="F513" t="s">
        <v>18</v>
      </c>
      <c r="G513" t="s">
        <v>31</v>
      </c>
      <c r="H513">
        <v>69</v>
      </c>
      <c r="I513">
        <v>9</v>
      </c>
      <c r="J513">
        <v>621</v>
      </c>
    </row>
    <row r="514" spans="1:10" x14ac:dyDescent="0.35">
      <c r="A514" s="3" t="s">
        <v>559</v>
      </c>
      <c r="B514" s="4">
        <v>43251</v>
      </c>
      <c r="C514">
        <v>14</v>
      </c>
      <c r="D514" t="s">
        <v>38</v>
      </c>
      <c r="E514" t="s">
        <v>63</v>
      </c>
      <c r="F514" t="s">
        <v>13</v>
      </c>
      <c r="G514" t="s">
        <v>31</v>
      </c>
      <c r="H514">
        <v>69</v>
      </c>
      <c r="I514">
        <v>3</v>
      </c>
      <c r="J514">
        <v>207</v>
      </c>
    </row>
    <row r="515" spans="1:10" x14ac:dyDescent="0.35">
      <c r="A515" s="3" t="s">
        <v>560</v>
      </c>
      <c r="B515" s="4">
        <v>43252</v>
      </c>
      <c r="C515">
        <v>14</v>
      </c>
      <c r="D515" t="s">
        <v>38</v>
      </c>
      <c r="E515" t="s">
        <v>12</v>
      </c>
      <c r="F515" t="s">
        <v>13</v>
      </c>
      <c r="G515" t="s">
        <v>31</v>
      </c>
      <c r="H515">
        <v>69</v>
      </c>
      <c r="I515">
        <v>0</v>
      </c>
      <c r="J515">
        <v>0</v>
      </c>
    </row>
    <row r="516" spans="1:10" x14ac:dyDescent="0.35">
      <c r="A516" s="3" t="s">
        <v>561</v>
      </c>
      <c r="B516" s="4">
        <v>43252</v>
      </c>
      <c r="C516">
        <v>8</v>
      </c>
      <c r="D516" t="s">
        <v>45</v>
      </c>
      <c r="E516" t="s">
        <v>46</v>
      </c>
      <c r="F516" t="s">
        <v>23</v>
      </c>
      <c r="G516" t="s">
        <v>19</v>
      </c>
      <c r="H516">
        <v>289</v>
      </c>
      <c r="I516">
        <v>4</v>
      </c>
      <c r="J516">
        <v>1156</v>
      </c>
    </row>
    <row r="517" spans="1:10" x14ac:dyDescent="0.35">
      <c r="A517" s="3" t="s">
        <v>562</v>
      </c>
      <c r="B517" s="4">
        <v>43252</v>
      </c>
      <c r="C517">
        <v>4</v>
      </c>
      <c r="D517" t="s">
        <v>51</v>
      </c>
      <c r="E517" t="s">
        <v>68</v>
      </c>
      <c r="F517" t="s">
        <v>18</v>
      </c>
      <c r="G517" t="s">
        <v>19</v>
      </c>
      <c r="H517">
        <v>289</v>
      </c>
      <c r="I517">
        <v>3</v>
      </c>
      <c r="J517">
        <v>867</v>
      </c>
    </row>
    <row r="518" spans="1:10" x14ac:dyDescent="0.35">
      <c r="A518" s="3" t="s">
        <v>563</v>
      </c>
      <c r="B518" s="4">
        <v>43253</v>
      </c>
      <c r="C518">
        <v>19</v>
      </c>
      <c r="D518" t="s">
        <v>56</v>
      </c>
      <c r="E518" t="s">
        <v>27</v>
      </c>
      <c r="F518" t="s">
        <v>28</v>
      </c>
      <c r="G518" t="s">
        <v>19</v>
      </c>
      <c r="H518">
        <v>289</v>
      </c>
      <c r="I518">
        <v>4</v>
      </c>
      <c r="J518">
        <v>1156</v>
      </c>
    </row>
    <row r="519" spans="1:10" x14ac:dyDescent="0.35">
      <c r="A519" s="3" t="s">
        <v>564</v>
      </c>
      <c r="B519" s="4">
        <v>43253</v>
      </c>
      <c r="C519">
        <v>9</v>
      </c>
      <c r="D519" t="s">
        <v>21</v>
      </c>
      <c r="E519" t="s">
        <v>22</v>
      </c>
      <c r="F519" t="s">
        <v>23</v>
      </c>
      <c r="G519" t="s">
        <v>14</v>
      </c>
      <c r="H519">
        <v>199</v>
      </c>
      <c r="I519">
        <v>7</v>
      </c>
      <c r="J519">
        <v>1393</v>
      </c>
    </row>
    <row r="520" spans="1:10" x14ac:dyDescent="0.35">
      <c r="A520" s="3" t="s">
        <v>565</v>
      </c>
      <c r="B520" s="4">
        <v>43254</v>
      </c>
      <c r="C520">
        <v>5</v>
      </c>
      <c r="D520" t="s">
        <v>60</v>
      </c>
      <c r="E520" t="s">
        <v>68</v>
      </c>
      <c r="F520" t="s">
        <v>18</v>
      </c>
      <c r="G520" t="s">
        <v>14</v>
      </c>
      <c r="H520">
        <v>199</v>
      </c>
      <c r="I520">
        <v>9</v>
      </c>
      <c r="J520">
        <v>1791</v>
      </c>
    </row>
    <row r="521" spans="1:10" x14ac:dyDescent="0.35">
      <c r="A521" s="3" t="s">
        <v>566</v>
      </c>
      <c r="B521" s="4">
        <v>43254</v>
      </c>
      <c r="C521">
        <v>18</v>
      </c>
      <c r="D521" t="s">
        <v>26</v>
      </c>
      <c r="E521" t="s">
        <v>27</v>
      </c>
      <c r="F521" t="s">
        <v>28</v>
      </c>
      <c r="G521" t="s">
        <v>41</v>
      </c>
      <c r="H521">
        <v>399</v>
      </c>
      <c r="I521">
        <v>7</v>
      </c>
      <c r="J521">
        <v>2793</v>
      </c>
    </row>
    <row r="522" spans="1:10" x14ac:dyDescent="0.35">
      <c r="A522" s="3" t="s">
        <v>567</v>
      </c>
      <c r="B522" s="4">
        <v>43254</v>
      </c>
      <c r="C522">
        <v>5</v>
      </c>
      <c r="D522" t="s">
        <v>60</v>
      </c>
      <c r="E522" t="s">
        <v>68</v>
      </c>
      <c r="F522" t="s">
        <v>18</v>
      </c>
      <c r="G522" t="s">
        <v>19</v>
      </c>
      <c r="H522">
        <v>289</v>
      </c>
      <c r="I522">
        <v>3</v>
      </c>
      <c r="J522">
        <v>867</v>
      </c>
    </row>
    <row r="523" spans="1:10" x14ac:dyDescent="0.35">
      <c r="A523" s="3" t="s">
        <v>568</v>
      </c>
      <c r="B523" s="4">
        <v>43254</v>
      </c>
      <c r="C523">
        <v>12</v>
      </c>
      <c r="D523" t="s">
        <v>66</v>
      </c>
      <c r="E523" t="s">
        <v>63</v>
      </c>
      <c r="F523" t="s">
        <v>13</v>
      </c>
      <c r="G523" t="s">
        <v>14</v>
      </c>
      <c r="H523">
        <v>199</v>
      </c>
      <c r="I523">
        <v>9</v>
      </c>
      <c r="J523">
        <v>1791</v>
      </c>
    </row>
    <row r="524" spans="1:10" x14ac:dyDescent="0.35">
      <c r="A524" s="3" t="s">
        <v>569</v>
      </c>
      <c r="B524" s="4">
        <v>43254</v>
      </c>
      <c r="C524">
        <v>18</v>
      </c>
      <c r="D524" t="s">
        <v>26</v>
      </c>
      <c r="E524" t="s">
        <v>27</v>
      </c>
      <c r="F524" t="s">
        <v>28</v>
      </c>
      <c r="G524" t="s">
        <v>19</v>
      </c>
      <c r="H524">
        <v>289</v>
      </c>
      <c r="I524">
        <v>7</v>
      </c>
      <c r="J524">
        <v>2023</v>
      </c>
    </row>
    <row r="525" spans="1:10" x14ac:dyDescent="0.35">
      <c r="A525" s="3" t="s">
        <v>570</v>
      </c>
      <c r="B525" s="4">
        <v>43254</v>
      </c>
      <c r="C525">
        <v>4</v>
      </c>
      <c r="D525" t="s">
        <v>51</v>
      </c>
      <c r="E525" t="s">
        <v>17</v>
      </c>
      <c r="F525" t="s">
        <v>18</v>
      </c>
      <c r="G525" t="s">
        <v>31</v>
      </c>
      <c r="H525">
        <v>69</v>
      </c>
      <c r="I525">
        <v>9</v>
      </c>
      <c r="J525">
        <v>621</v>
      </c>
    </row>
    <row r="526" spans="1:10" x14ac:dyDescent="0.35">
      <c r="A526" s="3" t="s">
        <v>571</v>
      </c>
      <c r="B526" s="4">
        <v>43254</v>
      </c>
      <c r="C526">
        <v>7</v>
      </c>
      <c r="D526" t="s">
        <v>88</v>
      </c>
      <c r="E526" t="s">
        <v>22</v>
      </c>
      <c r="F526" t="s">
        <v>23</v>
      </c>
      <c r="G526" t="s">
        <v>24</v>
      </c>
      <c r="H526">
        <v>159</v>
      </c>
      <c r="I526">
        <v>3</v>
      </c>
      <c r="J526">
        <v>477</v>
      </c>
    </row>
    <row r="527" spans="1:10" x14ac:dyDescent="0.35">
      <c r="A527" s="3" t="s">
        <v>572</v>
      </c>
      <c r="B527" s="4">
        <v>43254</v>
      </c>
      <c r="C527">
        <v>20</v>
      </c>
      <c r="D527" t="s">
        <v>40</v>
      </c>
      <c r="E527" t="s">
        <v>36</v>
      </c>
      <c r="F527" t="s">
        <v>28</v>
      </c>
      <c r="G527" t="s">
        <v>19</v>
      </c>
      <c r="H527">
        <v>289</v>
      </c>
      <c r="I527">
        <v>7</v>
      </c>
      <c r="J527">
        <v>2023</v>
      </c>
    </row>
    <row r="528" spans="1:10" x14ac:dyDescent="0.35">
      <c r="A528" s="3" t="s">
        <v>573</v>
      </c>
      <c r="B528" s="4">
        <v>43254</v>
      </c>
      <c r="C528">
        <v>1</v>
      </c>
      <c r="D528" t="s">
        <v>16</v>
      </c>
      <c r="E528" t="s">
        <v>68</v>
      </c>
      <c r="F528" t="s">
        <v>18</v>
      </c>
      <c r="G528" t="s">
        <v>19</v>
      </c>
      <c r="H528">
        <v>289</v>
      </c>
      <c r="I528">
        <v>7</v>
      </c>
      <c r="J528">
        <v>2023</v>
      </c>
    </row>
    <row r="529" spans="1:10" x14ac:dyDescent="0.35">
      <c r="A529" s="3" t="s">
        <v>574</v>
      </c>
      <c r="B529" s="4">
        <v>43254</v>
      </c>
      <c r="C529">
        <v>4</v>
      </c>
      <c r="D529" t="s">
        <v>51</v>
      </c>
      <c r="E529" t="s">
        <v>17</v>
      </c>
      <c r="F529" t="s">
        <v>18</v>
      </c>
      <c r="G529" t="s">
        <v>19</v>
      </c>
      <c r="H529">
        <v>289</v>
      </c>
      <c r="I529">
        <v>9</v>
      </c>
      <c r="J529">
        <v>2601</v>
      </c>
    </row>
    <row r="530" spans="1:10" x14ac:dyDescent="0.35">
      <c r="A530" s="3" t="s">
        <v>575</v>
      </c>
      <c r="B530" s="4">
        <v>43254</v>
      </c>
      <c r="C530">
        <v>13</v>
      </c>
      <c r="D530" t="s">
        <v>33</v>
      </c>
      <c r="E530" t="s">
        <v>63</v>
      </c>
      <c r="F530" t="s">
        <v>13</v>
      </c>
      <c r="G530" t="s">
        <v>14</v>
      </c>
      <c r="H530">
        <v>199</v>
      </c>
      <c r="I530">
        <v>8</v>
      </c>
      <c r="J530">
        <v>1592</v>
      </c>
    </row>
    <row r="531" spans="1:10" x14ac:dyDescent="0.35">
      <c r="A531" s="3" t="s">
        <v>576</v>
      </c>
      <c r="B531" s="4">
        <v>43254</v>
      </c>
      <c r="C531">
        <v>16</v>
      </c>
      <c r="D531" t="s">
        <v>30</v>
      </c>
      <c r="E531" t="s">
        <v>36</v>
      </c>
      <c r="F531" t="s">
        <v>28</v>
      </c>
      <c r="G531" t="s">
        <v>41</v>
      </c>
      <c r="H531">
        <v>399</v>
      </c>
      <c r="I531">
        <v>7</v>
      </c>
      <c r="J531">
        <v>2793</v>
      </c>
    </row>
    <row r="532" spans="1:10" x14ac:dyDescent="0.35">
      <c r="A532" s="3" t="s">
        <v>577</v>
      </c>
      <c r="B532" s="4">
        <v>43255</v>
      </c>
      <c r="C532">
        <v>8</v>
      </c>
      <c r="D532" t="s">
        <v>45</v>
      </c>
      <c r="E532" t="s">
        <v>22</v>
      </c>
      <c r="F532" t="s">
        <v>23</v>
      </c>
      <c r="G532" t="s">
        <v>14</v>
      </c>
      <c r="H532">
        <v>199</v>
      </c>
      <c r="I532">
        <v>3</v>
      </c>
      <c r="J532">
        <v>597</v>
      </c>
    </row>
    <row r="533" spans="1:10" x14ac:dyDescent="0.35">
      <c r="A533" s="3" t="s">
        <v>578</v>
      </c>
      <c r="B533" s="4">
        <v>43255</v>
      </c>
      <c r="C533">
        <v>11</v>
      </c>
      <c r="D533" t="s">
        <v>11</v>
      </c>
      <c r="E533" t="s">
        <v>63</v>
      </c>
      <c r="F533" t="s">
        <v>13</v>
      </c>
      <c r="G533" t="s">
        <v>41</v>
      </c>
      <c r="H533">
        <v>399</v>
      </c>
      <c r="I533">
        <v>8</v>
      </c>
      <c r="J533">
        <v>3192</v>
      </c>
    </row>
    <row r="534" spans="1:10" x14ac:dyDescent="0.35">
      <c r="A534" s="3" t="s">
        <v>579</v>
      </c>
      <c r="B534" s="4">
        <v>43256</v>
      </c>
      <c r="C534">
        <v>8</v>
      </c>
      <c r="D534" t="s">
        <v>45</v>
      </c>
      <c r="E534" t="s">
        <v>46</v>
      </c>
      <c r="F534" t="s">
        <v>23</v>
      </c>
      <c r="G534" t="s">
        <v>14</v>
      </c>
      <c r="H534">
        <v>199</v>
      </c>
      <c r="I534">
        <v>5</v>
      </c>
      <c r="J534">
        <v>995</v>
      </c>
    </row>
    <row r="535" spans="1:10" x14ac:dyDescent="0.35">
      <c r="A535" s="3" t="s">
        <v>580</v>
      </c>
      <c r="B535" s="4">
        <v>43256</v>
      </c>
      <c r="C535">
        <v>7</v>
      </c>
      <c r="D535" t="s">
        <v>88</v>
      </c>
      <c r="E535" t="s">
        <v>46</v>
      </c>
      <c r="F535" t="s">
        <v>23</v>
      </c>
      <c r="G535" t="s">
        <v>24</v>
      </c>
      <c r="H535">
        <v>159</v>
      </c>
      <c r="I535">
        <v>9</v>
      </c>
      <c r="J535">
        <v>1431</v>
      </c>
    </row>
    <row r="536" spans="1:10" x14ac:dyDescent="0.35">
      <c r="A536" s="3" t="s">
        <v>581</v>
      </c>
      <c r="B536" s="4">
        <v>43256</v>
      </c>
      <c r="C536">
        <v>19</v>
      </c>
      <c r="D536" t="s">
        <v>56</v>
      </c>
      <c r="E536" t="s">
        <v>27</v>
      </c>
      <c r="F536" t="s">
        <v>28</v>
      </c>
      <c r="G536" t="s">
        <v>14</v>
      </c>
      <c r="H536">
        <v>199</v>
      </c>
      <c r="I536">
        <v>2</v>
      </c>
      <c r="J536">
        <v>398</v>
      </c>
    </row>
    <row r="537" spans="1:10" x14ac:dyDescent="0.35">
      <c r="A537" s="3" t="s">
        <v>582</v>
      </c>
      <c r="B537" s="4">
        <v>43256</v>
      </c>
      <c r="C537">
        <v>17</v>
      </c>
      <c r="D537" t="s">
        <v>35</v>
      </c>
      <c r="E537" t="s">
        <v>36</v>
      </c>
      <c r="F537" t="s">
        <v>28</v>
      </c>
      <c r="G537" t="s">
        <v>31</v>
      </c>
      <c r="H537">
        <v>69</v>
      </c>
      <c r="I537">
        <v>0</v>
      </c>
      <c r="J537">
        <v>0</v>
      </c>
    </row>
    <row r="538" spans="1:10" x14ac:dyDescent="0.35">
      <c r="A538" s="3" t="s">
        <v>583</v>
      </c>
      <c r="B538" s="4">
        <v>43257</v>
      </c>
      <c r="C538">
        <v>9</v>
      </c>
      <c r="D538" t="s">
        <v>21</v>
      </c>
      <c r="E538" t="s">
        <v>46</v>
      </c>
      <c r="F538" t="s">
        <v>23</v>
      </c>
      <c r="G538" t="s">
        <v>14</v>
      </c>
      <c r="H538">
        <v>199</v>
      </c>
      <c r="I538">
        <v>1</v>
      </c>
      <c r="J538">
        <v>199</v>
      </c>
    </row>
    <row r="539" spans="1:10" x14ac:dyDescent="0.35">
      <c r="A539" s="3" t="s">
        <v>584</v>
      </c>
      <c r="B539" s="4">
        <v>43257</v>
      </c>
      <c r="C539">
        <v>8</v>
      </c>
      <c r="D539" t="s">
        <v>45</v>
      </c>
      <c r="E539" t="s">
        <v>46</v>
      </c>
      <c r="F539" t="s">
        <v>23</v>
      </c>
      <c r="G539" t="s">
        <v>14</v>
      </c>
      <c r="H539">
        <v>199</v>
      </c>
      <c r="I539">
        <v>2</v>
      </c>
      <c r="J539">
        <v>398</v>
      </c>
    </row>
    <row r="540" spans="1:10" x14ac:dyDescent="0.35">
      <c r="A540" s="3" t="s">
        <v>585</v>
      </c>
      <c r="B540" s="4">
        <v>43258</v>
      </c>
      <c r="C540">
        <v>19</v>
      </c>
      <c r="D540" t="s">
        <v>56</v>
      </c>
      <c r="E540" t="s">
        <v>27</v>
      </c>
      <c r="F540" t="s">
        <v>28</v>
      </c>
      <c r="G540" t="s">
        <v>14</v>
      </c>
      <c r="H540">
        <v>199</v>
      </c>
      <c r="I540">
        <v>0</v>
      </c>
      <c r="J540">
        <v>0</v>
      </c>
    </row>
    <row r="541" spans="1:10" x14ac:dyDescent="0.35">
      <c r="A541" s="3" t="s">
        <v>586</v>
      </c>
      <c r="B541" s="4">
        <v>43259</v>
      </c>
      <c r="C541">
        <v>9</v>
      </c>
      <c r="D541" t="s">
        <v>21</v>
      </c>
      <c r="E541" t="s">
        <v>46</v>
      </c>
      <c r="F541" t="s">
        <v>23</v>
      </c>
      <c r="G541" t="s">
        <v>24</v>
      </c>
      <c r="H541">
        <v>159</v>
      </c>
      <c r="I541">
        <v>3</v>
      </c>
      <c r="J541">
        <v>477</v>
      </c>
    </row>
    <row r="542" spans="1:10" x14ac:dyDescent="0.35">
      <c r="A542" s="3" t="s">
        <v>587</v>
      </c>
      <c r="B542" s="4">
        <v>43259</v>
      </c>
      <c r="C542">
        <v>9</v>
      </c>
      <c r="D542" t="s">
        <v>21</v>
      </c>
      <c r="E542" t="s">
        <v>46</v>
      </c>
      <c r="F542" t="s">
        <v>23</v>
      </c>
      <c r="G542" t="s">
        <v>19</v>
      </c>
      <c r="H542">
        <v>289</v>
      </c>
      <c r="I542">
        <v>9</v>
      </c>
      <c r="J542">
        <v>2601</v>
      </c>
    </row>
    <row r="543" spans="1:10" x14ac:dyDescent="0.35">
      <c r="A543" s="3" t="s">
        <v>588</v>
      </c>
      <c r="B543" s="4">
        <v>43259</v>
      </c>
      <c r="C543">
        <v>9</v>
      </c>
      <c r="D543" t="s">
        <v>21</v>
      </c>
      <c r="E543" t="s">
        <v>46</v>
      </c>
      <c r="F543" t="s">
        <v>23</v>
      </c>
      <c r="G543" t="s">
        <v>41</v>
      </c>
      <c r="H543">
        <v>399</v>
      </c>
      <c r="I543">
        <v>5</v>
      </c>
      <c r="J543">
        <v>1995</v>
      </c>
    </row>
    <row r="544" spans="1:10" x14ac:dyDescent="0.35">
      <c r="A544" s="3" t="s">
        <v>589</v>
      </c>
      <c r="B544" s="4">
        <v>43259</v>
      </c>
      <c r="C544">
        <v>20</v>
      </c>
      <c r="D544" t="s">
        <v>40</v>
      </c>
      <c r="E544" t="s">
        <v>36</v>
      </c>
      <c r="F544" t="s">
        <v>28</v>
      </c>
      <c r="G544" t="s">
        <v>24</v>
      </c>
      <c r="H544">
        <v>159</v>
      </c>
      <c r="I544">
        <v>5</v>
      </c>
      <c r="J544">
        <v>795</v>
      </c>
    </row>
    <row r="545" spans="1:10" x14ac:dyDescent="0.35">
      <c r="A545" s="3" t="s">
        <v>590</v>
      </c>
      <c r="B545" s="4">
        <v>43260</v>
      </c>
      <c r="C545">
        <v>9</v>
      </c>
      <c r="D545" t="s">
        <v>21</v>
      </c>
      <c r="E545" t="s">
        <v>46</v>
      </c>
      <c r="F545" t="s">
        <v>23</v>
      </c>
      <c r="G545" t="s">
        <v>19</v>
      </c>
      <c r="H545">
        <v>289</v>
      </c>
      <c r="I545">
        <v>6</v>
      </c>
      <c r="J545">
        <v>1734</v>
      </c>
    </row>
    <row r="546" spans="1:10" x14ac:dyDescent="0.35">
      <c r="A546" s="3" t="s">
        <v>591</v>
      </c>
      <c r="B546" s="4">
        <v>43260</v>
      </c>
      <c r="C546">
        <v>14</v>
      </c>
      <c r="D546" t="s">
        <v>38</v>
      </c>
      <c r="E546" t="s">
        <v>63</v>
      </c>
      <c r="F546" t="s">
        <v>13</v>
      </c>
      <c r="G546" t="s">
        <v>41</v>
      </c>
      <c r="H546">
        <v>399</v>
      </c>
      <c r="I546">
        <v>0</v>
      </c>
      <c r="J546">
        <v>0</v>
      </c>
    </row>
    <row r="547" spans="1:10" x14ac:dyDescent="0.35">
      <c r="A547" s="3" t="s">
        <v>592</v>
      </c>
      <c r="B547" s="4">
        <v>43261</v>
      </c>
      <c r="C547">
        <v>4</v>
      </c>
      <c r="D547" t="s">
        <v>51</v>
      </c>
      <c r="E547" t="s">
        <v>68</v>
      </c>
      <c r="F547" t="s">
        <v>18</v>
      </c>
      <c r="G547" t="s">
        <v>14</v>
      </c>
      <c r="H547">
        <v>199</v>
      </c>
      <c r="I547">
        <v>5</v>
      </c>
      <c r="J547">
        <v>995</v>
      </c>
    </row>
    <row r="548" spans="1:10" x14ac:dyDescent="0.35">
      <c r="A548" s="3" t="s">
        <v>593</v>
      </c>
      <c r="B548" s="4">
        <v>43262</v>
      </c>
      <c r="C548">
        <v>6</v>
      </c>
      <c r="D548" t="s">
        <v>48</v>
      </c>
      <c r="E548" t="s">
        <v>22</v>
      </c>
      <c r="F548" t="s">
        <v>23</v>
      </c>
      <c r="G548" t="s">
        <v>31</v>
      </c>
      <c r="H548">
        <v>69</v>
      </c>
      <c r="I548">
        <v>7</v>
      </c>
      <c r="J548">
        <v>483</v>
      </c>
    </row>
    <row r="549" spans="1:10" x14ac:dyDescent="0.35">
      <c r="A549" s="3" t="s">
        <v>594</v>
      </c>
      <c r="B549" s="4">
        <v>43262</v>
      </c>
      <c r="C549">
        <v>2</v>
      </c>
      <c r="D549" t="s">
        <v>106</v>
      </c>
      <c r="E549" t="s">
        <v>68</v>
      </c>
      <c r="F549" t="s">
        <v>18</v>
      </c>
      <c r="G549" t="s">
        <v>14</v>
      </c>
      <c r="H549">
        <v>199</v>
      </c>
      <c r="I549">
        <v>7</v>
      </c>
      <c r="J549">
        <v>1393</v>
      </c>
    </row>
    <row r="550" spans="1:10" x14ac:dyDescent="0.35">
      <c r="A550" s="3" t="s">
        <v>595</v>
      </c>
      <c r="B550" s="4">
        <v>43262</v>
      </c>
      <c r="C550">
        <v>17</v>
      </c>
      <c r="D550" t="s">
        <v>35</v>
      </c>
      <c r="E550" t="s">
        <v>27</v>
      </c>
      <c r="F550" t="s">
        <v>28</v>
      </c>
      <c r="G550" t="s">
        <v>14</v>
      </c>
      <c r="H550">
        <v>199</v>
      </c>
      <c r="I550">
        <v>2</v>
      </c>
      <c r="J550">
        <v>398</v>
      </c>
    </row>
    <row r="551" spans="1:10" x14ac:dyDescent="0.35">
      <c r="A551" s="3" t="s">
        <v>596</v>
      </c>
      <c r="B551" s="4">
        <v>43262</v>
      </c>
      <c r="C551">
        <v>18</v>
      </c>
      <c r="D551" t="s">
        <v>26</v>
      </c>
      <c r="E551" t="s">
        <v>27</v>
      </c>
      <c r="F551" t="s">
        <v>28</v>
      </c>
      <c r="G551" t="s">
        <v>24</v>
      </c>
      <c r="H551">
        <v>159</v>
      </c>
      <c r="I551">
        <v>0</v>
      </c>
      <c r="J551">
        <v>0</v>
      </c>
    </row>
    <row r="552" spans="1:10" x14ac:dyDescent="0.35">
      <c r="A552" s="3" t="s">
        <v>597</v>
      </c>
      <c r="B552" s="4">
        <v>43262</v>
      </c>
      <c r="C552">
        <v>5</v>
      </c>
      <c r="D552" t="s">
        <v>60</v>
      </c>
      <c r="E552" t="s">
        <v>17</v>
      </c>
      <c r="F552" t="s">
        <v>18</v>
      </c>
      <c r="G552" t="s">
        <v>31</v>
      </c>
      <c r="H552">
        <v>69</v>
      </c>
      <c r="I552">
        <v>5</v>
      </c>
      <c r="J552">
        <v>345</v>
      </c>
    </row>
    <row r="553" spans="1:10" x14ac:dyDescent="0.35">
      <c r="A553" s="3" t="s">
        <v>598</v>
      </c>
      <c r="B553" s="4">
        <v>43262</v>
      </c>
      <c r="C553">
        <v>2</v>
      </c>
      <c r="D553" t="s">
        <v>106</v>
      </c>
      <c r="E553" t="s">
        <v>68</v>
      </c>
      <c r="F553" t="s">
        <v>18</v>
      </c>
      <c r="G553" t="s">
        <v>19</v>
      </c>
      <c r="H553">
        <v>289</v>
      </c>
      <c r="I553">
        <v>5</v>
      </c>
      <c r="J553">
        <v>1445</v>
      </c>
    </row>
    <row r="554" spans="1:10" x14ac:dyDescent="0.35">
      <c r="A554" s="3" t="s">
        <v>599</v>
      </c>
      <c r="B554" s="4">
        <v>43262</v>
      </c>
      <c r="C554">
        <v>11</v>
      </c>
      <c r="D554" t="s">
        <v>11</v>
      </c>
      <c r="E554" t="s">
        <v>12</v>
      </c>
      <c r="F554" t="s">
        <v>13</v>
      </c>
      <c r="G554" t="s">
        <v>41</v>
      </c>
      <c r="H554">
        <v>399</v>
      </c>
      <c r="I554">
        <v>0</v>
      </c>
      <c r="J554">
        <v>0</v>
      </c>
    </row>
    <row r="555" spans="1:10" x14ac:dyDescent="0.35">
      <c r="A555" s="3" t="s">
        <v>600</v>
      </c>
      <c r="B555" s="4">
        <v>43263</v>
      </c>
      <c r="C555">
        <v>19</v>
      </c>
      <c r="D555" t="s">
        <v>56</v>
      </c>
      <c r="E555" t="s">
        <v>27</v>
      </c>
      <c r="F555" t="s">
        <v>28</v>
      </c>
      <c r="G555" t="s">
        <v>14</v>
      </c>
      <c r="H555">
        <v>199</v>
      </c>
      <c r="I555">
        <v>4</v>
      </c>
      <c r="J555">
        <v>796</v>
      </c>
    </row>
    <row r="556" spans="1:10" x14ac:dyDescent="0.35">
      <c r="A556" s="3" t="s">
        <v>601</v>
      </c>
      <c r="B556" s="4">
        <v>43263</v>
      </c>
      <c r="C556">
        <v>6</v>
      </c>
      <c r="D556" t="s">
        <v>48</v>
      </c>
      <c r="E556" t="s">
        <v>22</v>
      </c>
      <c r="F556" t="s">
        <v>23</v>
      </c>
      <c r="G556" t="s">
        <v>14</v>
      </c>
      <c r="H556">
        <v>199</v>
      </c>
      <c r="I556">
        <v>9</v>
      </c>
      <c r="J556">
        <v>1791</v>
      </c>
    </row>
    <row r="557" spans="1:10" x14ac:dyDescent="0.35">
      <c r="A557" s="3" t="s">
        <v>602</v>
      </c>
      <c r="B557" s="4">
        <v>43263</v>
      </c>
      <c r="C557">
        <v>10</v>
      </c>
      <c r="D557" t="s">
        <v>58</v>
      </c>
      <c r="E557" t="s">
        <v>46</v>
      </c>
      <c r="F557" t="s">
        <v>23</v>
      </c>
      <c r="G557" t="s">
        <v>41</v>
      </c>
      <c r="H557">
        <v>399</v>
      </c>
      <c r="I557">
        <v>0</v>
      </c>
      <c r="J557">
        <v>0</v>
      </c>
    </row>
    <row r="558" spans="1:10" x14ac:dyDescent="0.35">
      <c r="A558" s="3" t="s">
        <v>603</v>
      </c>
      <c r="B558" s="4">
        <v>43263</v>
      </c>
      <c r="C558">
        <v>5</v>
      </c>
      <c r="D558" t="s">
        <v>60</v>
      </c>
      <c r="E558" t="s">
        <v>68</v>
      </c>
      <c r="F558" t="s">
        <v>18</v>
      </c>
      <c r="G558" t="s">
        <v>24</v>
      </c>
      <c r="H558">
        <v>159</v>
      </c>
      <c r="I558">
        <v>1</v>
      </c>
      <c r="J558">
        <v>159</v>
      </c>
    </row>
    <row r="559" spans="1:10" x14ac:dyDescent="0.35">
      <c r="A559" s="3" t="s">
        <v>604</v>
      </c>
      <c r="B559" s="4">
        <v>43264</v>
      </c>
      <c r="C559">
        <v>14</v>
      </c>
      <c r="D559" t="s">
        <v>38</v>
      </c>
      <c r="E559" t="s">
        <v>63</v>
      </c>
      <c r="F559" t="s">
        <v>13</v>
      </c>
      <c r="G559" t="s">
        <v>41</v>
      </c>
      <c r="H559">
        <v>399</v>
      </c>
      <c r="I559">
        <v>9</v>
      </c>
      <c r="J559">
        <v>3591</v>
      </c>
    </row>
    <row r="560" spans="1:10" x14ac:dyDescent="0.35">
      <c r="A560" s="3" t="s">
        <v>605</v>
      </c>
      <c r="B560" s="4">
        <v>43264</v>
      </c>
      <c r="C560">
        <v>2</v>
      </c>
      <c r="D560" t="s">
        <v>106</v>
      </c>
      <c r="E560" t="s">
        <v>68</v>
      </c>
      <c r="F560" t="s">
        <v>18</v>
      </c>
      <c r="G560" t="s">
        <v>19</v>
      </c>
      <c r="H560">
        <v>289</v>
      </c>
      <c r="I560">
        <v>2</v>
      </c>
      <c r="J560">
        <v>578</v>
      </c>
    </row>
    <row r="561" spans="1:10" x14ac:dyDescent="0.35">
      <c r="A561" s="3" t="s">
        <v>606</v>
      </c>
      <c r="B561" s="4">
        <v>43264</v>
      </c>
      <c r="C561">
        <v>15</v>
      </c>
      <c r="D561" t="s">
        <v>118</v>
      </c>
      <c r="E561" t="s">
        <v>63</v>
      </c>
      <c r="F561" t="s">
        <v>13</v>
      </c>
      <c r="G561" t="s">
        <v>19</v>
      </c>
      <c r="H561">
        <v>289</v>
      </c>
      <c r="I561">
        <v>5</v>
      </c>
      <c r="J561">
        <v>1445</v>
      </c>
    </row>
    <row r="562" spans="1:10" x14ac:dyDescent="0.35">
      <c r="A562" s="3" t="s">
        <v>607</v>
      </c>
      <c r="B562" s="4">
        <v>43265</v>
      </c>
      <c r="C562">
        <v>13</v>
      </c>
      <c r="D562" t="s">
        <v>33</v>
      </c>
      <c r="E562" t="s">
        <v>12</v>
      </c>
      <c r="F562" t="s">
        <v>13</v>
      </c>
      <c r="G562" t="s">
        <v>19</v>
      </c>
      <c r="H562">
        <v>289</v>
      </c>
      <c r="I562">
        <v>3</v>
      </c>
      <c r="J562">
        <v>867</v>
      </c>
    </row>
    <row r="563" spans="1:10" x14ac:dyDescent="0.35">
      <c r="A563" s="3" t="s">
        <v>608</v>
      </c>
      <c r="B563" s="4">
        <v>43266</v>
      </c>
      <c r="C563">
        <v>17</v>
      </c>
      <c r="D563" t="s">
        <v>35</v>
      </c>
      <c r="E563" t="s">
        <v>36</v>
      </c>
      <c r="F563" t="s">
        <v>28</v>
      </c>
      <c r="G563" t="s">
        <v>19</v>
      </c>
      <c r="H563">
        <v>289</v>
      </c>
      <c r="I563">
        <v>6</v>
      </c>
      <c r="J563">
        <v>1734</v>
      </c>
    </row>
    <row r="564" spans="1:10" x14ac:dyDescent="0.35">
      <c r="A564" s="3" t="s">
        <v>609</v>
      </c>
      <c r="B564" s="4">
        <v>43267</v>
      </c>
      <c r="C564">
        <v>13</v>
      </c>
      <c r="D564" t="s">
        <v>33</v>
      </c>
      <c r="E564" t="s">
        <v>12</v>
      </c>
      <c r="F564" t="s">
        <v>13</v>
      </c>
      <c r="G564" t="s">
        <v>41</v>
      </c>
      <c r="H564">
        <v>399</v>
      </c>
      <c r="I564">
        <v>0</v>
      </c>
      <c r="J564">
        <v>0</v>
      </c>
    </row>
    <row r="565" spans="1:10" x14ac:dyDescent="0.35">
      <c r="A565" s="3" t="s">
        <v>610</v>
      </c>
      <c r="B565" s="4">
        <v>43267</v>
      </c>
      <c r="C565">
        <v>15</v>
      </c>
      <c r="D565" t="s">
        <v>118</v>
      </c>
      <c r="E565" t="s">
        <v>12</v>
      </c>
      <c r="F565" t="s">
        <v>13</v>
      </c>
      <c r="G565" t="s">
        <v>41</v>
      </c>
      <c r="H565">
        <v>399</v>
      </c>
      <c r="I565">
        <v>6</v>
      </c>
      <c r="J565">
        <v>2394</v>
      </c>
    </row>
    <row r="566" spans="1:10" x14ac:dyDescent="0.35">
      <c r="A566" s="3" t="s">
        <v>611</v>
      </c>
      <c r="B566" s="4">
        <v>43267</v>
      </c>
      <c r="C566">
        <v>1</v>
      </c>
      <c r="D566" t="s">
        <v>16</v>
      </c>
      <c r="E566" t="s">
        <v>17</v>
      </c>
      <c r="F566" t="s">
        <v>18</v>
      </c>
      <c r="G566" t="s">
        <v>14</v>
      </c>
      <c r="H566">
        <v>199</v>
      </c>
      <c r="I566">
        <v>0</v>
      </c>
      <c r="J566">
        <v>0</v>
      </c>
    </row>
    <row r="567" spans="1:10" x14ac:dyDescent="0.35">
      <c r="A567" s="3" t="s">
        <v>612</v>
      </c>
      <c r="B567" s="4">
        <v>43267</v>
      </c>
      <c r="C567">
        <v>10</v>
      </c>
      <c r="D567" t="s">
        <v>58</v>
      </c>
      <c r="E567" t="s">
        <v>22</v>
      </c>
      <c r="F567" t="s">
        <v>23</v>
      </c>
      <c r="G567" t="s">
        <v>24</v>
      </c>
      <c r="H567">
        <v>159</v>
      </c>
      <c r="I567">
        <v>8</v>
      </c>
      <c r="J567">
        <v>1272</v>
      </c>
    </row>
    <row r="568" spans="1:10" x14ac:dyDescent="0.35">
      <c r="A568" s="3" t="s">
        <v>613</v>
      </c>
      <c r="B568" s="4">
        <v>43267</v>
      </c>
      <c r="C568">
        <v>1</v>
      </c>
      <c r="D568" t="s">
        <v>16</v>
      </c>
      <c r="E568" t="s">
        <v>68</v>
      </c>
      <c r="F568" t="s">
        <v>18</v>
      </c>
      <c r="G568" t="s">
        <v>24</v>
      </c>
      <c r="H568">
        <v>159</v>
      </c>
      <c r="I568">
        <v>8</v>
      </c>
      <c r="J568">
        <v>1272</v>
      </c>
    </row>
    <row r="569" spans="1:10" x14ac:dyDescent="0.35">
      <c r="A569" s="3" t="s">
        <v>614</v>
      </c>
      <c r="B569" s="4">
        <v>43267</v>
      </c>
      <c r="C569">
        <v>14</v>
      </c>
      <c r="D569" t="s">
        <v>38</v>
      </c>
      <c r="E569" t="s">
        <v>63</v>
      </c>
      <c r="F569" t="s">
        <v>13</v>
      </c>
      <c r="G569" t="s">
        <v>41</v>
      </c>
      <c r="H569">
        <v>399</v>
      </c>
      <c r="I569">
        <v>0</v>
      </c>
      <c r="J569">
        <v>0</v>
      </c>
    </row>
    <row r="570" spans="1:10" x14ac:dyDescent="0.35">
      <c r="A570" s="3" t="s">
        <v>615</v>
      </c>
      <c r="B570" s="4">
        <v>43268</v>
      </c>
      <c r="C570">
        <v>18</v>
      </c>
      <c r="D570" t="s">
        <v>26</v>
      </c>
      <c r="E570" t="s">
        <v>27</v>
      </c>
      <c r="F570" t="s">
        <v>28</v>
      </c>
      <c r="G570" t="s">
        <v>24</v>
      </c>
      <c r="H570">
        <v>159</v>
      </c>
      <c r="I570">
        <v>7</v>
      </c>
      <c r="J570">
        <v>1113</v>
      </c>
    </row>
    <row r="571" spans="1:10" x14ac:dyDescent="0.35">
      <c r="A571" s="3" t="s">
        <v>616</v>
      </c>
      <c r="B571" s="4">
        <v>43269</v>
      </c>
      <c r="C571">
        <v>3</v>
      </c>
      <c r="D571" t="s">
        <v>43</v>
      </c>
      <c r="E571" t="s">
        <v>68</v>
      </c>
      <c r="F571" t="s">
        <v>18</v>
      </c>
      <c r="G571" t="s">
        <v>19</v>
      </c>
      <c r="H571">
        <v>289</v>
      </c>
      <c r="I571">
        <v>3</v>
      </c>
      <c r="J571">
        <v>867</v>
      </c>
    </row>
    <row r="572" spans="1:10" x14ac:dyDescent="0.35">
      <c r="A572" s="3" t="s">
        <v>617</v>
      </c>
      <c r="B572" s="4">
        <v>43269</v>
      </c>
      <c r="C572">
        <v>3</v>
      </c>
      <c r="D572" t="s">
        <v>43</v>
      </c>
      <c r="E572" t="s">
        <v>68</v>
      </c>
      <c r="F572" t="s">
        <v>18</v>
      </c>
      <c r="G572" t="s">
        <v>19</v>
      </c>
      <c r="H572">
        <v>289</v>
      </c>
      <c r="I572">
        <v>1</v>
      </c>
      <c r="J572">
        <v>289</v>
      </c>
    </row>
    <row r="573" spans="1:10" x14ac:dyDescent="0.35">
      <c r="A573" s="3" t="s">
        <v>618</v>
      </c>
      <c r="B573" s="4">
        <v>43269</v>
      </c>
      <c r="C573">
        <v>11</v>
      </c>
      <c r="D573" t="s">
        <v>11</v>
      </c>
      <c r="E573" t="s">
        <v>63</v>
      </c>
      <c r="F573" t="s">
        <v>13</v>
      </c>
      <c r="G573" t="s">
        <v>24</v>
      </c>
      <c r="H573">
        <v>159</v>
      </c>
      <c r="I573">
        <v>4</v>
      </c>
      <c r="J573">
        <v>636</v>
      </c>
    </row>
    <row r="574" spans="1:10" x14ac:dyDescent="0.35">
      <c r="A574" s="3" t="s">
        <v>619</v>
      </c>
      <c r="B574" s="4">
        <v>43270</v>
      </c>
      <c r="C574">
        <v>20</v>
      </c>
      <c r="D574" t="s">
        <v>40</v>
      </c>
      <c r="E574" t="s">
        <v>27</v>
      </c>
      <c r="F574" t="s">
        <v>28</v>
      </c>
      <c r="G574" t="s">
        <v>41</v>
      </c>
      <c r="H574">
        <v>399</v>
      </c>
      <c r="I574">
        <v>5</v>
      </c>
      <c r="J574">
        <v>1995</v>
      </c>
    </row>
    <row r="575" spans="1:10" x14ac:dyDescent="0.35">
      <c r="A575" s="3" t="s">
        <v>620</v>
      </c>
      <c r="B575" s="4">
        <v>43271</v>
      </c>
      <c r="C575">
        <v>5</v>
      </c>
      <c r="D575" t="s">
        <v>60</v>
      </c>
      <c r="E575" t="s">
        <v>17</v>
      </c>
      <c r="F575" t="s">
        <v>18</v>
      </c>
      <c r="G575" t="s">
        <v>24</v>
      </c>
      <c r="H575">
        <v>159</v>
      </c>
      <c r="I575">
        <v>3</v>
      </c>
      <c r="J575">
        <v>477</v>
      </c>
    </row>
    <row r="576" spans="1:10" x14ac:dyDescent="0.35">
      <c r="A576" s="3" t="s">
        <v>621</v>
      </c>
      <c r="B576" s="4">
        <v>43271</v>
      </c>
      <c r="C576">
        <v>18</v>
      </c>
      <c r="D576" t="s">
        <v>26</v>
      </c>
      <c r="E576" t="s">
        <v>36</v>
      </c>
      <c r="F576" t="s">
        <v>28</v>
      </c>
      <c r="G576" t="s">
        <v>31</v>
      </c>
      <c r="H576">
        <v>69</v>
      </c>
      <c r="I576">
        <v>1</v>
      </c>
      <c r="J576">
        <v>69</v>
      </c>
    </row>
    <row r="577" spans="1:10" x14ac:dyDescent="0.35">
      <c r="A577" s="3" t="s">
        <v>622</v>
      </c>
      <c r="B577" s="4">
        <v>43271</v>
      </c>
      <c r="C577">
        <v>4</v>
      </c>
      <c r="D577" t="s">
        <v>51</v>
      </c>
      <c r="E577" t="s">
        <v>68</v>
      </c>
      <c r="F577" t="s">
        <v>18</v>
      </c>
      <c r="G577" t="s">
        <v>31</v>
      </c>
      <c r="H577">
        <v>69</v>
      </c>
      <c r="I577">
        <v>3</v>
      </c>
      <c r="J577">
        <v>207</v>
      </c>
    </row>
    <row r="578" spans="1:10" x14ac:dyDescent="0.35">
      <c r="A578" s="3" t="s">
        <v>623</v>
      </c>
      <c r="B578" s="4">
        <v>43271</v>
      </c>
      <c r="C578">
        <v>12</v>
      </c>
      <c r="D578" t="s">
        <v>66</v>
      </c>
      <c r="E578" t="s">
        <v>12</v>
      </c>
      <c r="F578" t="s">
        <v>13</v>
      </c>
      <c r="G578" t="s">
        <v>24</v>
      </c>
      <c r="H578">
        <v>159</v>
      </c>
      <c r="I578">
        <v>6</v>
      </c>
      <c r="J578">
        <v>954</v>
      </c>
    </row>
    <row r="579" spans="1:10" x14ac:dyDescent="0.35">
      <c r="A579" s="3" t="s">
        <v>624</v>
      </c>
      <c r="B579" s="4">
        <v>43272</v>
      </c>
      <c r="C579">
        <v>14</v>
      </c>
      <c r="D579" t="s">
        <v>38</v>
      </c>
      <c r="E579" t="s">
        <v>12</v>
      </c>
      <c r="F579" t="s">
        <v>13</v>
      </c>
      <c r="G579" t="s">
        <v>41</v>
      </c>
      <c r="H579">
        <v>399</v>
      </c>
      <c r="I579">
        <v>9</v>
      </c>
      <c r="J579">
        <v>3591</v>
      </c>
    </row>
    <row r="580" spans="1:10" x14ac:dyDescent="0.35">
      <c r="A580" s="3" t="s">
        <v>625</v>
      </c>
      <c r="B580" s="4">
        <v>43273</v>
      </c>
      <c r="C580">
        <v>7</v>
      </c>
      <c r="D580" t="s">
        <v>88</v>
      </c>
      <c r="E580" t="s">
        <v>22</v>
      </c>
      <c r="F580" t="s">
        <v>23</v>
      </c>
      <c r="G580" t="s">
        <v>41</v>
      </c>
      <c r="H580">
        <v>399</v>
      </c>
      <c r="I580">
        <v>0</v>
      </c>
      <c r="J580">
        <v>0</v>
      </c>
    </row>
    <row r="581" spans="1:10" x14ac:dyDescent="0.35">
      <c r="A581" s="3" t="s">
        <v>626</v>
      </c>
      <c r="B581" s="4">
        <v>43273</v>
      </c>
      <c r="C581">
        <v>15</v>
      </c>
      <c r="D581" t="s">
        <v>118</v>
      </c>
      <c r="E581" t="s">
        <v>63</v>
      </c>
      <c r="F581" t="s">
        <v>13</v>
      </c>
      <c r="G581" t="s">
        <v>24</v>
      </c>
      <c r="H581">
        <v>159</v>
      </c>
      <c r="I581">
        <v>6</v>
      </c>
      <c r="J581">
        <v>954</v>
      </c>
    </row>
    <row r="582" spans="1:10" x14ac:dyDescent="0.35">
      <c r="A582" s="3" t="s">
        <v>627</v>
      </c>
      <c r="B582" s="4">
        <v>43273</v>
      </c>
      <c r="C582">
        <v>15</v>
      </c>
      <c r="D582" t="s">
        <v>118</v>
      </c>
      <c r="E582" t="s">
        <v>12</v>
      </c>
      <c r="F582" t="s">
        <v>13</v>
      </c>
      <c r="G582" t="s">
        <v>24</v>
      </c>
      <c r="H582">
        <v>159</v>
      </c>
      <c r="I582">
        <v>8</v>
      </c>
      <c r="J582">
        <v>1272</v>
      </c>
    </row>
    <row r="583" spans="1:10" x14ac:dyDescent="0.35">
      <c r="A583" s="3" t="s">
        <v>628</v>
      </c>
      <c r="B583" s="4">
        <v>43273</v>
      </c>
      <c r="C583">
        <v>15</v>
      </c>
      <c r="D583" t="s">
        <v>118</v>
      </c>
      <c r="E583" t="s">
        <v>63</v>
      </c>
      <c r="F583" t="s">
        <v>13</v>
      </c>
      <c r="G583" t="s">
        <v>41</v>
      </c>
      <c r="H583">
        <v>399</v>
      </c>
      <c r="I583">
        <v>4</v>
      </c>
      <c r="J583">
        <v>1596</v>
      </c>
    </row>
    <row r="584" spans="1:10" x14ac:dyDescent="0.35">
      <c r="A584" s="3" t="s">
        <v>629</v>
      </c>
      <c r="B584" s="4">
        <v>43273</v>
      </c>
      <c r="C584">
        <v>10</v>
      </c>
      <c r="D584" t="s">
        <v>58</v>
      </c>
      <c r="E584" t="s">
        <v>46</v>
      </c>
      <c r="F584" t="s">
        <v>23</v>
      </c>
      <c r="G584" t="s">
        <v>41</v>
      </c>
      <c r="H584">
        <v>399</v>
      </c>
      <c r="I584">
        <v>3</v>
      </c>
      <c r="J584">
        <v>1197</v>
      </c>
    </row>
    <row r="585" spans="1:10" x14ac:dyDescent="0.35">
      <c r="A585" s="3" t="s">
        <v>630</v>
      </c>
      <c r="B585" s="4">
        <v>43273</v>
      </c>
      <c r="C585">
        <v>18</v>
      </c>
      <c r="D585" t="s">
        <v>26</v>
      </c>
      <c r="E585" t="s">
        <v>36</v>
      </c>
      <c r="F585" t="s">
        <v>28</v>
      </c>
      <c r="G585" t="s">
        <v>31</v>
      </c>
      <c r="H585">
        <v>69</v>
      </c>
      <c r="I585">
        <v>0</v>
      </c>
      <c r="J585">
        <v>0</v>
      </c>
    </row>
    <row r="586" spans="1:10" x14ac:dyDescent="0.35">
      <c r="A586" s="3" t="s">
        <v>631</v>
      </c>
      <c r="B586" s="4">
        <v>43273</v>
      </c>
      <c r="C586">
        <v>5</v>
      </c>
      <c r="D586" t="s">
        <v>60</v>
      </c>
      <c r="E586" t="s">
        <v>17</v>
      </c>
      <c r="F586" t="s">
        <v>18</v>
      </c>
      <c r="G586" t="s">
        <v>14</v>
      </c>
      <c r="H586">
        <v>199</v>
      </c>
      <c r="I586">
        <v>1</v>
      </c>
      <c r="J586">
        <v>199</v>
      </c>
    </row>
    <row r="587" spans="1:10" x14ac:dyDescent="0.35">
      <c r="A587" s="3" t="s">
        <v>632</v>
      </c>
      <c r="B587" s="4">
        <v>43273</v>
      </c>
      <c r="C587">
        <v>4</v>
      </c>
      <c r="D587" t="s">
        <v>51</v>
      </c>
      <c r="E587" t="s">
        <v>17</v>
      </c>
      <c r="F587" t="s">
        <v>18</v>
      </c>
      <c r="G587" t="s">
        <v>19</v>
      </c>
      <c r="H587">
        <v>289</v>
      </c>
      <c r="I587">
        <v>5</v>
      </c>
      <c r="J587">
        <v>1445</v>
      </c>
    </row>
    <row r="588" spans="1:10" x14ac:dyDescent="0.35">
      <c r="A588" s="3" t="s">
        <v>633</v>
      </c>
      <c r="B588" s="4">
        <v>43273</v>
      </c>
      <c r="C588">
        <v>20</v>
      </c>
      <c r="D588" t="s">
        <v>40</v>
      </c>
      <c r="E588" t="s">
        <v>36</v>
      </c>
      <c r="F588" t="s">
        <v>28</v>
      </c>
      <c r="G588" t="s">
        <v>31</v>
      </c>
      <c r="H588">
        <v>69</v>
      </c>
      <c r="I588">
        <v>3</v>
      </c>
      <c r="J588">
        <v>207</v>
      </c>
    </row>
    <row r="589" spans="1:10" x14ac:dyDescent="0.35">
      <c r="A589" s="3" t="s">
        <v>634</v>
      </c>
      <c r="B589" s="4">
        <v>43274</v>
      </c>
      <c r="C589">
        <v>17</v>
      </c>
      <c r="D589" t="s">
        <v>35</v>
      </c>
      <c r="E589" t="s">
        <v>27</v>
      </c>
      <c r="F589" t="s">
        <v>28</v>
      </c>
      <c r="G589" t="s">
        <v>31</v>
      </c>
      <c r="H589">
        <v>69</v>
      </c>
      <c r="I589">
        <v>1</v>
      </c>
      <c r="J589">
        <v>69</v>
      </c>
    </row>
    <row r="590" spans="1:10" x14ac:dyDescent="0.35">
      <c r="A590" s="3" t="s">
        <v>635</v>
      </c>
      <c r="B590" s="4">
        <v>43275</v>
      </c>
      <c r="C590">
        <v>5</v>
      </c>
      <c r="D590" t="s">
        <v>60</v>
      </c>
      <c r="E590" t="s">
        <v>17</v>
      </c>
      <c r="F590" t="s">
        <v>18</v>
      </c>
      <c r="G590" t="s">
        <v>41</v>
      </c>
      <c r="H590">
        <v>399</v>
      </c>
      <c r="I590">
        <v>3</v>
      </c>
      <c r="J590">
        <v>1197</v>
      </c>
    </row>
    <row r="591" spans="1:10" x14ac:dyDescent="0.35">
      <c r="A591" s="3" t="s">
        <v>636</v>
      </c>
      <c r="B591" s="4">
        <v>43275</v>
      </c>
      <c r="C591">
        <v>18</v>
      </c>
      <c r="D591" t="s">
        <v>26</v>
      </c>
      <c r="E591" t="s">
        <v>36</v>
      </c>
      <c r="F591" t="s">
        <v>28</v>
      </c>
      <c r="G591" t="s">
        <v>24</v>
      </c>
      <c r="H591">
        <v>159</v>
      </c>
      <c r="I591">
        <v>5</v>
      </c>
      <c r="J591">
        <v>795</v>
      </c>
    </row>
    <row r="592" spans="1:10" x14ac:dyDescent="0.35">
      <c r="A592" s="3" t="s">
        <v>637</v>
      </c>
      <c r="B592" s="4">
        <v>43276</v>
      </c>
      <c r="C592">
        <v>4</v>
      </c>
      <c r="D592" t="s">
        <v>51</v>
      </c>
      <c r="E592" t="s">
        <v>68</v>
      </c>
      <c r="F592" t="s">
        <v>18</v>
      </c>
      <c r="G592" t="s">
        <v>19</v>
      </c>
      <c r="H592">
        <v>289</v>
      </c>
      <c r="I592">
        <v>3</v>
      </c>
      <c r="J592">
        <v>867</v>
      </c>
    </row>
    <row r="593" spans="1:10" x14ac:dyDescent="0.35">
      <c r="A593" s="3" t="s">
        <v>638</v>
      </c>
      <c r="B593" s="4">
        <v>43277</v>
      </c>
      <c r="C593">
        <v>6</v>
      </c>
      <c r="D593" t="s">
        <v>48</v>
      </c>
      <c r="E593" t="s">
        <v>46</v>
      </c>
      <c r="F593" t="s">
        <v>23</v>
      </c>
      <c r="G593" t="s">
        <v>19</v>
      </c>
      <c r="H593">
        <v>289</v>
      </c>
      <c r="I593">
        <v>9</v>
      </c>
      <c r="J593">
        <v>2601</v>
      </c>
    </row>
    <row r="594" spans="1:10" x14ac:dyDescent="0.35">
      <c r="A594" s="3" t="s">
        <v>639</v>
      </c>
      <c r="B594" s="4">
        <v>43277</v>
      </c>
      <c r="C594">
        <v>17</v>
      </c>
      <c r="D594" t="s">
        <v>35</v>
      </c>
      <c r="E594" t="s">
        <v>27</v>
      </c>
      <c r="F594" t="s">
        <v>28</v>
      </c>
      <c r="G594" t="s">
        <v>31</v>
      </c>
      <c r="H594">
        <v>69</v>
      </c>
      <c r="I594">
        <v>9</v>
      </c>
      <c r="J594">
        <v>621</v>
      </c>
    </row>
    <row r="595" spans="1:10" x14ac:dyDescent="0.35">
      <c r="A595" s="3" t="s">
        <v>640</v>
      </c>
      <c r="B595" s="4">
        <v>43277</v>
      </c>
      <c r="C595">
        <v>2</v>
      </c>
      <c r="D595" t="s">
        <v>106</v>
      </c>
      <c r="E595" t="s">
        <v>68</v>
      </c>
      <c r="F595" t="s">
        <v>18</v>
      </c>
      <c r="G595" t="s">
        <v>19</v>
      </c>
      <c r="H595">
        <v>289</v>
      </c>
      <c r="I595">
        <v>1</v>
      </c>
      <c r="J595">
        <v>289</v>
      </c>
    </row>
    <row r="596" spans="1:10" x14ac:dyDescent="0.35">
      <c r="A596" s="3" t="s">
        <v>641</v>
      </c>
      <c r="B596" s="4">
        <v>43277</v>
      </c>
      <c r="C596">
        <v>10</v>
      </c>
      <c r="D596" t="s">
        <v>58</v>
      </c>
      <c r="E596" t="s">
        <v>46</v>
      </c>
      <c r="F596" t="s">
        <v>23</v>
      </c>
      <c r="G596" t="s">
        <v>14</v>
      </c>
      <c r="H596">
        <v>199</v>
      </c>
      <c r="I596">
        <v>6</v>
      </c>
      <c r="J596">
        <v>1194</v>
      </c>
    </row>
    <row r="597" spans="1:10" x14ac:dyDescent="0.35">
      <c r="A597" s="3" t="s">
        <v>642</v>
      </c>
      <c r="B597" s="4">
        <v>43277</v>
      </c>
      <c r="C597">
        <v>11</v>
      </c>
      <c r="D597" t="s">
        <v>11</v>
      </c>
      <c r="E597" t="s">
        <v>63</v>
      </c>
      <c r="F597" t="s">
        <v>13</v>
      </c>
      <c r="G597" t="s">
        <v>41</v>
      </c>
      <c r="H597">
        <v>399</v>
      </c>
      <c r="I597">
        <v>9</v>
      </c>
      <c r="J597">
        <v>3591</v>
      </c>
    </row>
    <row r="598" spans="1:10" x14ac:dyDescent="0.35">
      <c r="A598" s="3" t="s">
        <v>643</v>
      </c>
      <c r="B598" s="4">
        <v>43278</v>
      </c>
      <c r="C598">
        <v>4</v>
      </c>
      <c r="D598" t="s">
        <v>51</v>
      </c>
      <c r="E598" t="s">
        <v>17</v>
      </c>
      <c r="F598" t="s">
        <v>18</v>
      </c>
      <c r="G598" t="s">
        <v>31</v>
      </c>
      <c r="H598">
        <v>69</v>
      </c>
      <c r="I598">
        <v>8</v>
      </c>
      <c r="J598">
        <v>552</v>
      </c>
    </row>
    <row r="599" spans="1:10" x14ac:dyDescent="0.35">
      <c r="A599" s="3" t="s">
        <v>644</v>
      </c>
      <c r="B599" s="4">
        <v>43279</v>
      </c>
      <c r="C599">
        <v>10</v>
      </c>
      <c r="D599" t="s">
        <v>58</v>
      </c>
      <c r="E599" t="s">
        <v>22</v>
      </c>
      <c r="F599" t="s">
        <v>23</v>
      </c>
      <c r="G599" t="s">
        <v>41</v>
      </c>
      <c r="H599">
        <v>399</v>
      </c>
      <c r="I599">
        <v>9</v>
      </c>
      <c r="J599">
        <v>3591</v>
      </c>
    </row>
    <row r="600" spans="1:10" x14ac:dyDescent="0.35">
      <c r="A600" s="3" t="s">
        <v>645</v>
      </c>
      <c r="B600" s="4">
        <v>43279</v>
      </c>
      <c r="C600">
        <v>2</v>
      </c>
      <c r="D600" t="s">
        <v>106</v>
      </c>
      <c r="E600" t="s">
        <v>17</v>
      </c>
      <c r="F600" t="s">
        <v>18</v>
      </c>
      <c r="G600" t="s">
        <v>24</v>
      </c>
      <c r="H600">
        <v>159</v>
      </c>
      <c r="I600">
        <v>5</v>
      </c>
      <c r="J600">
        <v>795</v>
      </c>
    </row>
    <row r="601" spans="1:10" x14ac:dyDescent="0.35">
      <c r="A601" s="3" t="s">
        <v>646</v>
      </c>
      <c r="B601" s="4">
        <v>43279</v>
      </c>
      <c r="C601">
        <v>5</v>
      </c>
      <c r="D601" t="s">
        <v>60</v>
      </c>
      <c r="E601" t="s">
        <v>17</v>
      </c>
      <c r="F601" t="s">
        <v>18</v>
      </c>
      <c r="G601" t="s">
        <v>19</v>
      </c>
      <c r="H601">
        <v>289</v>
      </c>
      <c r="I601">
        <v>0</v>
      </c>
      <c r="J601">
        <v>0</v>
      </c>
    </row>
    <row r="602" spans="1:10" x14ac:dyDescent="0.35">
      <c r="A602" s="3" t="s">
        <v>647</v>
      </c>
      <c r="B602" s="4">
        <v>43279</v>
      </c>
      <c r="C602">
        <v>10</v>
      </c>
      <c r="D602" t="s">
        <v>58</v>
      </c>
      <c r="E602" t="s">
        <v>46</v>
      </c>
      <c r="F602" t="s">
        <v>23</v>
      </c>
      <c r="G602" t="s">
        <v>31</v>
      </c>
      <c r="H602">
        <v>69</v>
      </c>
      <c r="I602">
        <v>3</v>
      </c>
      <c r="J602">
        <v>207</v>
      </c>
    </row>
    <row r="603" spans="1:10" x14ac:dyDescent="0.35">
      <c r="A603" s="3" t="s">
        <v>648</v>
      </c>
      <c r="B603" s="4">
        <v>43279</v>
      </c>
      <c r="C603">
        <v>12</v>
      </c>
      <c r="D603" t="s">
        <v>66</v>
      </c>
      <c r="E603" t="s">
        <v>63</v>
      </c>
      <c r="F603" t="s">
        <v>13</v>
      </c>
      <c r="G603" t="s">
        <v>14</v>
      </c>
      <c r="H603">
        <v>199</v>
      </c>
      <c r="I603">
        <v>3</v>
      </c>
      <c r="J603">
        <v>597</v>
      </c>
    </row>
    <row r="604" spans="1:10" x14ac:dyDescent="0.35">
      <c r="A604" s="3" t="s">
        <v>649</v>
      </c>
      <c r="B604" s="4">
        <v>43279</v>
      </c>
      <c r="C604">
        <v>11</v>
      </c>
      <c r="D604" t="s">
        <v>11</v>
      </c>
      <c r="E604" t="s">
        <v>12</v>
      </c>
      <c r="F604" t="s">
        <v>13</v>
      </c>
      <c r="G604" t="s">
        <v>19</v>
      </c>
      <c r="H604">
        <v>289</v>
      </c>
      <c r="I604">
        <v>7</v>
      </c>
      <c r="J604">
        <v>2023</v>
      </c>
    </row>
    <row r="605" spans="1:10" x14ac:dyDescent="0.35">
      <c r="A605" s="3" t="s">
        <v>650</v>
      </c>
      <c r="B605" s="4">
        <v>43279</v>
      </c>
      <c r="C605">
        <v>1</v>
      </c>
      <c r="D605" t="s">
        <v>16</v>
      </c>
      <c r="E605" t="s">
        <v>68</v>
      </c>
      <c r="F605" t="s">
        <v>18</v>
      </c>
      <c r="G605" t="s">
        <v>19</v>
      </c>
      <c r="H605">
        <v>289</v>
      </c>
      <c r="I605">
        <v>8</v>
      </c>
      <c r="J605">
        <v>2312</v>
      </c>
    </row>
    <row r="606" spans="1:10" x14ac:dyDescent="0.35">
      <c r="A606" s="3" t="s">
        <v>651</v>
      </c>
      <c r="B606" s="4">
        <v>43280</v>
      </c>
      <c r="C606">
        <v>15</v>
      </c>
      <c r="D606" t="s">
        <v>118</v>
      </c>
      <c r="E606" t="s">
        <v>63</v>
      </c>
      <c r="F606" t="s">
        <v>13</v>
      </c>
      <c r="G606" t="s">
        <v>24</v>
      </c>
      <c r="H606">
        <v>159</v>
      </c>
      <c r="I606">
        <v>5</v>
      </c>
      <c r="J606">
        <v>795</v>
      </c>
    </row>
    <row r="607" spans="1:10" x14ac:dyDescent="0.35">
      <c r="A607" s="3" t="s">
        <v>652</v>
      </c>
      <c r="B607" s="4">
        <v>43281</v>
      </c>
      <c r="C607">
        <v>12</v>
      </c>
      <c r="D607" t="s">
        <v>66</v>
      </c>
      <c r="E607" t="s">
        <v>12</v>
      </c>
      <c r="F607" t="s">
        <v>13</v>
      </c>
      <c r="G607" t="s">
        <v>19</v>
      </c>
      <c r="H607">
        <v>289</v>
      </c>
      <c r="I607">
        <v>3</v>
      </c>
      <c r="J607">
        <v>867</v>
      </c>
    </row>
    <row r="608" spans="1:10" x14ac:dyDescent="0.35">
      <c r="A608" s="3" t="s">
        <v>653</v>
      </c>
      <c r="B608" s="4">
        <v>43281</v>
      </c>
      <c r="C608">
        <v>20</v>
      </c>
      <c r="D608" t="s">
        <v>40</v>
      </c>
      <c r="E608" t="s">
        <v>27</v>
      </c>
      <c r="F608" t="s">
        <v>28</v>
      </c>
      <c r="G608" t="s">
        <v>41</v>
      </c>
      <c r="H608">
        <v>399</v>
      </c>
      <c r="I608">
        <v>7</v>
      </c>
      <c r="J608">
        <v>2793</v>
      </c>
    </row>
    <row r="609" spans="1:10" x14ac:dyDescent="0.35">
      <c r="A609" s="3" t="s">
        <v>654</v>
      </c>
      <c r="B609" s="4">
        <v>43281</v>
      </c>
      <c r="C609">
        <v>12</v>
      </c>
      <c r="D609" t="s">
        <v>66</v>
      </c>
      <c r="E609" t="s">
        <v>12</v>
      </c>
      <c r="F609" t="s">
        <v>13</v>
      </c>
      <c r="G609" t="s">
        <v>31</v>
      </c>
      <c r="H609">
        <v>69</v>
      </c>
      <c r="I609">
        <v>4</v>
      </c>
      <c r="J609">
        <v>276</v>
      </c>
    </row>
    <row r="610" spans="1:10" x14ac:dyDescent="0.35">
      <c r="A610" s="3" t="s">
        <v>655</v>
      </c>
      <c r="B610" s="4">
        <v>43281</v>
      </c>
      <c r="C610">
        <v>19</v>
      </c>
      <c r="D610" t="s">
        <v>56</v>
      </c>
      <c r="E610" t="s">
        <v>27</v>
      </c>
      <c r="F610" t="s">
        <v>28</v>
      </c>
      <c r="G610" t="s">
        <v>31</v>
      </c>
      <c r="H610">
        <v>69</v>
      </c>
      <c r="I610">
        <v>4</v>
      </c>
      <c r="J610">
        <v>276</v>
      </c>
    </row>
    <row r="611" spans="1:10" x14ac:dyDescent="0.35">
      <c r="A611" s="3" t="s">
        <v>656</v>
      </c>
      <c r="B611" s="4">
        <v>43282</v>
      </c>
      <c r="C611">
        <v>12</v>
      </c>
      <c r="D611" t="s">
        <v>66</v>
      </c>
      <c r="E611" t="s">
        <v>63</v>
      </c>
      <c r="F611" t="s">
        <v>13</v>
      </c>
      <c r="G611" t="s">
        <v>31</v>
      </c>
      <c r="H611">
        <v>69</v>
      </c>
      <c r="I611">
        <v>8</v>
      </c>
      <c r="J611">
        <v>552</v>
      </c>
    </row>
    <row r="612" spans="1:10" x14ac:dyDescent="0.35">
      <c r="A612" s="3" t="s">
        <v>657</v>
      </c>
      <c r="B612" s="4">
        <v>43282</v>
      </c>
      <c r="C612">
        <v>10</v>
      </c>
      <c r="D612" t="s">
        <v>58</v>
      </c>
      <c r="E612" t="s">
        <v>46</v>
      </c>
      <c r="F612" t="s">
        <v>23</v>
      </c>
      <c r="G612" t="s">
        <v>19</v>
      </c>
      <c r="H612">
        <v>289</v>
      </c>
      <c r="I612">
        <v>9</v>
      </c>
      <c r="J612">
        <v>2601</v>
      </c>
    </row>
    <row r="613" spans="1:10" x14ac:dyDescent="0.35">
      <c r="A613" s="3" t="s">
        <v>658</v>
      </c>
      <c r="B613" s="4">
        <v>43282</v>
      </c>
      <c r="C613">
        <v>17</v>
      </c>
      <c r="D613" t="s">
        <v>35</v>
      </c>
      <c r="E613" t="s">
        <v>27</v>
      </c>
      <c r="F613" t="s">
        <v>28</v>
      </c>
      <c r="G613" t="s">
        <v>19</v>
      </c>
      <c r="H613">
        <v>289</v>
      </c>
      <c r="I613">
        <v>9</v>
      </c>
      <c r="J613">
        <v>2601</v>
      </c>
    </row>
    <row r="614" spans="1:10" x14ac:dyDescent="0.35">
      <c r="A614" s="3" t="s">
        <v>659</v>
      </c>
      <c r="B614" s="4">
        <v>43283</v>
      </c>
      <c r="C614">
        <v>15</v>
      </c>
      <c r="D614" t="s">
        <v>118</v>
      </c>
      <c r="E614" t="s">
        <v>63</v>
      </c>
      <c r="F614" t="s">
        <v>13</v>
      </c>
      <c r="G614" t="s">
        <v>31</v>
      </c>
      <c r="H614">
        <v>69</v>
      </c>
      <c r="I614">
        <v>2</v>
      </c>
      <c r="J614">
        <v>138</v>
      </c>
    </row>
    <row r="615" spans="1:10" x14ac:dyDescent="0.35">
      <c r="A615" s="3" t="s">
        <v>660</v>
      </c>
      <c r="B615" s="4">
        <v>43284</v>
      </c>
      <c r="C615">
        <v>20</v>
      </c>
      <c r="D615" t="s">
        <v>40</v>
      </c>
      <c r="E615" t="s">
        <v>36</v>
      </c>
      <c r="F615" t="s">
        <v>28</v>
      </c>
      <c r="G615" t="s">
        <v>19</v>
      </c>
      <c r="H615">
        <v>289</v>
      </c>
      <c r="I615">
        <v>0</v>
      </c>
      <c r="J615">
        <v>0</v>
      </c>
    </row>
    <row r="616" spans="1:10" x14ac:dyDescent="0.35">
      <c r="A616" s="3" t="s">
        <v>661</v>
      </c>
      <c r="B616" s="4">
        <v>43285</v>
      </c>
      <c r="C616">
        <v>10</v>
      </c>
      <c r="D616" t="s">
        <v>58</v>
      </c>
      <c r="E616" t="s">
        <v>22</v>
      </c>
      <c r="F616" t="s">
        <v>23</v>
      </c>
      <c r="G616" t="s">
        <v>24</v>
      </c>
      <c r="H616">
        <v>159</v>
      </c>
      <c r="I616">
        <v>2</v>
      </c>
      <c r="J616">
        <v>318</v>
      </c>
    </row>
    <row r="617" spans="1:10" x14ac:dyDescent="0.35">
      <c r="A617" s="3" t="s">
        <v>662</v>
      </c>
      <c r="B617" s="4">
        <v>43286</v>
      </c>
      <c r="C617">
        <v>11</v>
      </c>
      <c r="D617" t="s">
        <v>11</v>
      </c>
      <c r="E617" t="s">
        <v>63</v>
      </c>
      <c r="F617" t="s">
        <v>13</v>
      </c>
      <c r="G617" t="s">
        <v>31</v>
      </c>
      <c r="H617">
        <v>69</v>
      </c>
      <c r="I617">
        <v>7</v>
      </c>
      <c r="J617">
        <v>483</v>
      </c>
    </row>
    <row r="618" spans="1:10" x14ac:dyDescent="0.35">
      <c r="A618" s="3" t="s">
        <v>663</v>
      </c>
      <c r="B618" s="4">
        <v>43287</v>
      </c>
      <c r="C618">
        <v>19</v>
      </c>
      <c r="D618" t="s">
        <v>56</v>
      </c>
      <c r="E618" t="s">
        <v>36</v>
      </c>
      <c r="F618" t="s">
        <v>28</v>
      </c>
      <c r="G618" t="s">
        <v>14</v>
      </c>
      <c r="H618">
        <v>199</v>
      </c>
      <c r="I618">
        <v>8</v>
      </c>
      <c r="J618">
        <v>1592</v>
      </c>
    </row>
    <row r="619" spans="1:10" x14ac:dyDescent="0.35">
      <c r="A619" s="3" t="s">
        <v>664</v>
      </c>
      <c r="B619" s="4">
        <v>43287</v>
      </c>
      <c r="C619">
        <v>19</v>
      </c>
      <c r="D619" t="s">
        <v>56</v>
      </c>
      <c r="E619" t="s">
        <v>36</v>
      </c>
      <c r="F619" t="s">
        <v>28</v>
      </c>
      <c r="G619" t="s">
        <v>41</v>
      </c>
      <c r="H619">
        <v>399</v>
      </c>
      <c r="I619">
        <v>0</v>
      </c>
      <c r="J619">
        <v>0</v>
      </c>
    </row>
    <row r="620" spans="1:10" x14ac:dyDescent="0.35">
      <c r="A620" s="3" t="s">
        <v>665</v>
      </c>
      <c r="B620" s="4">
        <v>43288</v>
      </c>
      <c r="C620">
        <v>17</v>
      </c>
      <c r="D620" t="s">
        <v>35</v>
      </c>
      <c r="E620" t="s">
        <v>36</v>
      </c>
      <c r="F620" t="s">
        <v>28</v>
      </c>
      <c r="G620" t="s">
        <v>19</v>
      </c>
      <c r="H620">
        <v>289</v>
      </c>
      <c r="I620">
        <v>6</v>
      </c>
      <c r="J620">
        <v>1734</v>
      </c>
    </row>
    <row r="621" spans="1:10" x14ac:dyDescent="0.35">
      <c r="A621" s="3" t="s">
        <v>666</v>
      </c>
      <c r="B621" s="4">
        <v>43288</v>
      </c>
      <c r="C621">
        <v>20</v>
      </c>
      <c r="D621" t="s">
        <v>40</v>
      </c>
      <c r="E621" t="s">
        <v>36</v>
      </c>
      <c r="F621" t="s">
        <v>28</v>
      </c>
      <c r="G621" t="s">
        <v>24</v>
      </c>
      <c r="H621">
        <v>159</v>
      </c>
      <c r="I621">
        <v>9</v>
      </c>
      <c r="J621">
        <v>1431</v>
      </c>
    </row>
    <row r="622" spans="1:10" x14ac:dyDescent="0.35">
      <c r="A622" s="3" t="s">
        <v>667</v>
      </c>
      <c r="B622" s="4">
        <v>43288</v>
      </c>
      <c r="C622">
        <v>10</v>
      </c>
      <c r="D622" t="s">
        <v>58</v>
      </c>
      <c r="E622" t="s">
        <v>46</v>
      </c>
      <c r="F622" t="s">
        <v>23</v>
      </c>
      <c r="G622" t="s">
        <v>24</v>
      </c>
      <c r="H622">
        <v>159</v>
      </c>
      <c r="I622">
        <v>7</v>
      </c>
      <c r="J622">
        <v>1113</v>
      </c>
    </row>
    <row r="623" spans="1:10" x14ac:dyDescent="0.35">
      <c r="A623" s="3" t="s">
        <v>668</v>
      </c>
      <c r="B623" s="4">
        <v>43288</v>
      </c>
      <c r="C623">
        <v>13</v>
      </c>
      <c r="D623" t="s">
        <v>33</v>
      </c>
      <c r="E623" t="s">
        <v>63</v>
      </c>
      <c r="F623" t="s">
        <v>13</v>
      </c>
      <c r="G623" t="s">
        <v>24</v>
      </c>
      <c r="H623">
        <v>159</v>
      </c>
      <c r="I623">
        <v>9</v>
      </c>
      <c r="J623">
        <v>1431</v>
      </c>
    </row>
    <row r="624" spans="1:10" x14ac:dyDescent="0.35">
      <c r="A624" s="3" t="s">
        <v>669</v>
      </c>
      <c r="B624" s="4">
        <v>43288</v>
      </c>
      <c r="C624">
        <v>14</v>
      </c>
      <c r="D624" t="s">
        <v>38</v>
      </c>
      <c r="E624" t="s">
        <v>63</v>
      </c>
      <c r="F624" t="s">
        <v>13</v>
      </c>
      <c r="G624" t="s">
        <v>14</v>
      </c>
      <c r="H624">
        <v>199</v>
      </c>
      <c r="I624">
        <v>0</v>
      </c>
      <c r="J624">
        <v>0</v>
      </c>
    </row>
    <row r="625" spans="1:10" x14ac:dyDescent="0.35">
      <c r="A625" s="3" t="s">
        <v>670</v>
      </c>
      <c r="B625" s="4">
        <v>43289</v>
      </c>
      <c r="C625">
        <v>3</v>
      </c>
      <c r="D625" t="s">
        <v>43</v>
      </c>
      <c r="E625" t="s">
        <v>68</v>
      </c>
      <c r="F625" t="s">
        <v>18</v>
      </c>
      <c r="G625" t="s">
        <v>14</v>
      </c>
      <c r="H625">
        <v>199</v>
      </c>
      <c r="I625">
        <v>4</v>
      </c>
      <c r="J625">
        <v>796</v>
      </c>
    </row>
    <row r="626" spans="1:10" x14ac:dyDescent="0.35">
      <c r="A626" s="3" t="s">
        <v>671</v>
      </c>
      <c r="B626" s="4">
        <v>43289</v>
      </c>
      <c r="C626">
        <v>17</v>
      </c>
      <c r="D626" t="s">
        <v>35</v>
      </c>
      <c r="E626" t="s">
        <v>27</v>
      </c>
      <c r="F626" t="s">
        <v>28</v>
      </c>
      <c r="G626" t="s">
        <v>41</v>
      </c>
      <c r="H626">
        <v>399</v>
      </c>
      <c r="I626">
        <v>8</v>
      </c>
      <c r="J626">
        <v>3192</v>
      </c>
    </row>
    <row r="627" spans="1:10" x14ac:dyDescent="0.35">
      <c r="A627" s="3" t="s">
        <v>672</v>
      </c>
      <c r="B627" s="4">
        <v>43289</v>
      </c>
      <c r="C627">
        <v>1</v>
      </c>
      <c r="D627" t="s">
        <v>16</v>
      </c>
      <c r="E627" t="s">
        <v>17</v>
      </c>
      <c r="F627" t="s">
        <v>18</v>
      </c>
      <c r="G627" t="s">
        <v>19</v>
      </c>
      <c r="H627">
        <v>289</v>
      </c>
      <c r="I627">
        <v>0</v>
      </c>
      <c r="J627">
        <v>0</v>
      </c>
    </row>
    <row r="628" spans="1:10" x14ac:dyDescent="0.35">
      <c r="A628" s="3" t="s">
        <v>673</v>
      </c>
      <c r="B628" s="4">
        <v>43289</v>
      </c>
      <c r="C628">
        <v>18</v>
      </c>
      <c r="D628" t="s">
        <v>26</v>
      </c>
      <c r="E628" t="s">
        <v>27</v>
      </c>
      <c r="F628" t="s">
        <v>28</v>
      </c>
      <c r="G628" t="s">
        <v>31</v>
      </c>
      <c r="H628">
        <v>69</v>
      </c>
      <c r="I628">
        <v>4</v>
      </c>
      <c r="J628">
        <v>276</v>
      </c>
    </row>
    <row r="629" spans="1:10" x14ac:dyDescent="0.35">
      <c r="A629" s="3" t="s">
        <v>674</v>
      </c>
      <c r="B629" s="4">
        <v>43289</v>
      </c>
      <c r="C629">
        <v>14</v>
      </c>
      <c r="D629" t="s">
        <v>38</v>
      </c>
      <c r="E629" t="s">
        <v>12</v>
      </c>
      <c r="F629" t="s">
        <v>13</v>
      </c>
      <c r="G629" t="s">
        <v>41</v>
      </c>
      <c r="H629">
        <v>399</v>
      </c>
      <c r="I629">
        <v>5</v>
      </c>
      <c r="J629">
        <v>1995</v>
      </c>
    </row>
    <row r="630" spans="1:10" x14ac:dyDescent="0.35">
      <c r="A630" s="3" t="s">
        <v>675</v>
      </c>
      <c r="B630" s="4">
        <v>43289</v>
      </c>
      <c r="C630">
        <v>2</v>
      </c>
      <c r="D630" t="s">
        <v>106</v>
      </c>
      <c r="E630" t="s">
        <v>68</v>
      </c>
      <c r="F630" t="s">
        <v>18</v>
      </c>
      <c r="G630" t="s">
        <v>31</v>
      </c>
      <c r="H630">
        <v>69</v>
      </c>
      <c r="I630">
        <v>6</v>
      </c>
      <c r="J630">
        <v>414</v>
      </c>
    </row>
    <row r="631" spans="1:10" x14ac:dyDescent="0.35">
      <c r="A631" s="3" t="s">
        <v>676</v>
      </c>
      <c r="B631" s="4">
        <v>43290</v>
      </c>
      <c r="C631">
        <v>10</v>
      </c>
      <c r="D631" t="s">
        <v>58</v>
      </c>
      <c r="E631" t="s">
        <v>22</v>
      </c>
      <c r="F631" t="s">
        <v>23</v>
      </c>
      <c r="G631" t="s">
        <v>24</v>
      </c>
      <c r="H631">
        <v>159</v>
      </c>
      <c r="I631">
        <v>3</v>
      </c>
      <c r="J631">
        <v>477</v>
      </c>
    </row>
    <row r="632" spans="1:10" x14ac:dyDescent="0.35">
      <c r="A632" s="3" t="s">
        <v>677</v>
      </c>
      <c r="B632" s="4">
        <v>43291</v>
      </c>
      <c r="C632">
        <v>13</v>
      </c>
      <c r="D632" t="s">
        <v>33</v>
      </c>
      <c r="E632" t="s">
        <v>12</v>
      </c>
      <c r="F632" t="s">
        <v>13</v>
      </c>
      <c r="G632" t="s">
        <v>14</v>
      </c>
      <c r="H632">
        <v>199</v>
      </c>
      <c r="I632">
        <v>4</v>
      </c>
      <c r="J632">
        <v>796</v>
      </c>
    </row>
    <row r="633" spans="1:10" x14ac:dyDescent="0.35">
      <c r="A633" s="3" t="s">
        <v>678</v>
      </c>
      <c r="B633" s="4">
        <v>43291</v>
      </c>
      <c r="C633">
        <v>17</v>
      </c>
      <c r="D633" t="s">
        <v>35</v>
      </c>
      <c r="E633" t="s">
        <v>27</v>
      </c>
      <c r="F633" t="s">
        <v>28</v>
      </c>
      <c r="G633" t="s">
        <v>31</v>
      </c>
      <c r="H633">
        <v>69</v>
      </c>
      <c r="I633">
        <v>3</v>
      </c>
      <c r="J633">
        <v>207</v>
      </c>
    </row>
    <row r="634" spans="1:10" x14ac:dyDescent="0.35">
      <c r="A634" s="3" t="s">
        <v>679</v>
      </c>
      <c r="B634" s="4">
        <v>43292</v>
      </c>
      <c r="C634">
        <v>20</v>
      </c>
      <c r="D634" t="s">
        <v>40</v>
      </c>
      <c r="E634" t="s">
        <v>27</v>
      </c>
      <c r="F634" t="s">
        <v>28</v>
      </c>
      <c r="G634" t="s">
        <v>24</v>
      </c>
      <c r="H634">
        <v>159</v>
      </c>
      <c r="I634">
        <v>3</v>
      </c>
      <c r="J634">
        <v>477</v>
      </c>
    </row>
    <row r="635" spans="1:10" x14ac:dyDescent="0.35">
      <c r="A635" s="3" t="s">
        <v>680</v>
      </c>
      <c r="B635" s="4">
        <v>43292</v>
      </c>
      <c r="C635">
        <v>5</v>
      </c>
      <c r="D635" t="s">
        <v>60</v>
      </c>
      <c r="E635" t="s">
        <v>17</v>
      </c>
      <c r="F635" t="s">
        <v>18</v>
      </c>
      <c r="G635" t="s">
        <v>41</v>
      </c>
      <c r="H635">
        <v>399</v>
      </c>
      <c r="I635">
        <v>0</v>
      </c>
      <c r="J635">
        <v>0</v>
      </c>
    </row>
    <row r="636" spans="1:10" x14ac:dyDescent="0.35">
      <c r="A636" s="3" t="s">
        <v>681</v>
      </c>
      <c r="B636" s="4">
        <v>43292</v>
      </c>
      <c r="C636">
        <v>3</v>
      </c>
      <c r="D636" t="s">
        <v>43</v>
      </c>
      <c r="E636" t="s">
        <v>17</v>
      </c>
      <c r="F636" t="s">
        <v>18</v>
      </c>
      <c r="G636" t="s">
        <v>24</v>
      </c>
      <c r="H636">
        <v>159</v>
      </c>
      <c r="I636">
        <v>5</v>
      </c>
      <c r="J636">
        <v>795</v>
      </c>
    </row>
    <row r="637" spans="1:10" x14ac:dyDescent="0.35">
      <c r="A637" s="3" t="s">
        <v>682</v>
      </c>
      <c r="B637" s="4">
        <v>43293</v>
      </c>
      <c r="C637">
        <v>16</v>
      </c>
      <c r="D637" t="s">
        <v>30</v>
      </c>
      <c r="E637" t="s">
        <v>27</v>
      </c>
      <c r="F637" t="s">
        <v>28</v>
      </c>
      <c r="G637" t="s">
        <v>31</v>
      </c>
      <c r="H637">
        <v>69</v>
      </c>
      <c r="I637">
        <v>5</v>
      </c>
      <c r="J637">
        <v>345</v>
      </c>
    </row>
    <row r="638" spans="1:10" x14ac:dyDescent="0.35">
      <c r="A638" s="3" t="s">
        <v>683</v>
      </c>
      <c r="B638" s="4">
        <v>43294</v>
      </c>
      <c r="C638">
        <v>17</v>
      </c>
      <c r="D638" t="s">
        <v>35</v>
      </c>
      <c r="E638" t="s">
        <v>27</v>
      </c>
      <c r="F638" t="s">
        <v>28</v>
      </c>
      <c r="G638" t="s">
        <v>24</v>
      </c>
      <c r="H638">
        <v>159</v>
      </c>
      <c r="I638">
        <v>6</v>
      </c>
      <c r="J638">
        <v>954</v>
      </c>
    </row>
    <row r="639" spans="1:10" x14ac:dyDescent="0.35">
      <c r="A639" s="3" t="s">
        <v>684</v>
      </c>
      <c r="B639" s="4">
        <v>43294</v>
      </c>
      <c r="C639">
        <v>11</v>
      </c>
      <c r="D639" t="s">
        <v>11</v>
      </c>
      <c r="E639" t="s">
        <v>12</v>
      </c>
      <c r="F639" t="s">
        <v>13</v>
      </c>
      <c r="G639" t="s">
        <v>24</v>
      </c>
      <c r="H639">
        <v>159</v>
      </c>
      <c r="I639">
        <v>5</v>
      </c>
      <c r="J639">
        <v>795</v>
      </c>
    </row>
    <row r="640" spans="1:10" x14ac:dyDescent="0.35">
      <c r="A640" s="3" t="s">
        <v>685</v>
      </c>
      <c r="B640" s="4">
        <v>43294</v>
      </c>
      <c r="C640">
        <v>16</v>
      </c>
      <c r="D640" t="s">
        <v>30</v>
      </c>
      <c r="E640" t="s">
        <v>27</v>
      </c>
      <c r="F640" t="s">
        <v>28</v>
      </c>
      <c r="G640" t="s">
        <v>41</v>
      </c>
      <c r="H640">
        <v>399</v>
      </c>
      <c r="I640">
        <v>3</v>
      </c>
      <c r="J640">
        <v>1197</v>
      </c>
    </row>
    <row r="641" spans="1:10" x14ac:dyDescent="0.35">
      <c r="A641" s="3" t="s">
        <v>686</v>
      </c>
      <c r="B641" s="4">
        <v>43295</v>
      </c>
      <c r="C641">
        <v>20</v>
      </c>
      <c r="D641" t="s">
        <v>40</v>
      </c>
      <c r="E641" t="s">
        <v>36</v>
      </c>
      <c r="F641" t="s">
        <v>28</v>
      </c>
      <c r="G641" t="s">
        <v>19</v>
      </c>
      <c r="H641">
        <v>289</v>
      </c>
      <c r="I641">
        <v>4</v>
      </c>
      <c r="J641">
        <v>1156</v>
      </c>
    </row>
    <row r="642" spans="1:10" x14ac:dyDescent="0.35">
      <c r="A642" s="3" t="s">
        <v>687</v>
      </c>
      <c r="B642" s="4">
        <v>43295</v>
      </c>
      <c r="C642">
        <v>10</v>
      </c>
      <c r="D642" t="s">
        <v>58</v>
      </c>
      <c r="E642" t="s">
        <v>46</v>
      </c>
      <c r="F642" t="s">
        <v>23</v>
      </c>
      <c r="G642" t="s">
        <v>41</v>
      </c>
      <c r="H642">
        <v>399</v>
      </c>
      <c r="I642">
        <v>7</v>
      </c>
      <c r="J642">
        <v>2793</v>
      </c>
    </row>
    <row r="643" spans="1:10" x14ac:dyDescent="0.35">
      <c r="A643" s="3" t="s">
        <v>688</v>
      </c>
      <c r="B643" s="4">
        <v>43296</v>
      </c>
      <c r="C643">
        <v>10</v>
      </c>
      <c r="D643" t="s">
        <v>58</v>
      </c>
      <c r="E643" t="s">
        <v>46</v>
      </c>
      <c r="F643" t="s">
        <v>23</v>
      </c>
      <c r="G643" t="s">
        <v>41</v>
      </c>
      <c r="H643">
        <v>399</v>
      </c>
      <c r="I643">
        <v>9</v>
      </c>
      <c r="J643">
        <v>3591</v>
      </c>
    </row>
    <row r="644" spans="1:10" x14ac:dyDescent="0.35">
      <c r="A644" s="3" t="s">
        <v>689</v>
      </c>
      <c r="B644" s="4">
        <v>43296</v>
      </c>
      <c r="C644">
        <v>13</v>
      </c>
      <c r="D644" t="s">
        <v>33</v>
      </c>
      <c r="E644" t="s">
        <v>12</v>
      </c>
      <c r="F644" t="s">
        <v>13</v>
      </c>
      <c r="G644" t="s">
        <v>41</v>
      </c>
      <c r="H644">
        <v>399</v>
      </c>
      <c r="I644">
        <v>8</v>
      </c>
      <c r="J644">
        <v>3192</v>
      </c>
    </row>
    <row r="645" spans="1:10" x14ac:dyDescent="0.35">
      <c r="A645" s="3" t="s">
        <v>690</v>
      </c>
      <c r="B645" s="4">
        <v>43297</v>
      </c>
      <c r="C645">
        <v>6</v>
      </c>
      <c r="D645" t="s">
        <v>48</v>
      </c>
      <c r="E645" t="s">
        <v>46</v>
      </c>
      <c r="F645" t="s">
        <v>23</v>
      </c>
      <c r="G645" t="s">
        <v>14</v>
      </c>
      <c r="H645">
        <v>199</v>
      </c>
      <c r="I645">
        <v>6</v>
      </c>
      <c r="J645">
        <v>1194</v>
      </c>
    </row>
    <row r="646" spans="1:10" x14ac:dyDescent="0.35">
      <c r="A646" s="3" t="s">
        <v>691</v>
      </c>
      <c r="B646" s="4">
        <v>43297</v>
      </c>
      <c r="C646">
        <v>1</v>
      </c>
      <c r="D646" t="s">
        <v>16</v>
      </c>
      <c r="E646" t="s">
        <v>17</v>
      </c>
      <c r="F646" t="s">
        <v>18</v>
      </c>
      <c r="G646" t="s">
        <v>31</v>
      </c>
      <c r="H646">
        <v>69</v>
      </c>
      <c r="I646">
        <v>9</v>
      </c>
      <c r="J646">
        <v>621</v>
      </c>
    </row>
    <row r="647" spans="1:10" x14ac:dyDescent="0.35">
      <c r="A647" s="3" t="s">
        <v>692</v>
      </c>
      <c r="B647" s="4">
        <v>43297</v>
      </c>
      <c r="C647">
        <v>14</v>
      </c>
      <c r="D647" t="s">
        <v>38</v>
      </c>
      <c r="E647" t="s">
        <v>12</v>
      </c>
      <c r="F647" t="s">
        <v>13</v>
      </c>
      <c r="G647" t="s">
        <v>14</v>
      </c>
      <c r="H647">
        <v>199</v>
      </c>
      <c r="I647">
        <v>0</v>
      </c>
      <c r="J647">
        <v>0</v>
      </c>
    </row>
    <row r="648" spans="1:10" x14ac:dyDescent="0.35">
      <c r="A648" s="3" t="s">
        <v>693</v>
      </c>
      <c r="B648" s="4">
        <v>43297</v>
      </c>
      <c r="C648">
        <v>13</v>
      </c>
      <c r="D648" t="s">
        <v>33</v>
      </c>
      <c r="E648" t="s">
        <v>12</v>
      </c>
      <c r="F648" t="s">
        <v>13</v>
      </c>
      <c r="G648" t="s">
        <v>19</v>
      </c>
      <c r="H648">
        <v>289</v>
      </c>
      <c r="I648">
        <v>3</v>
      </c>
      <c r="J648">
        <v>867</v>
      </c>
    </row>
    <row r="649" spans="1:10" x14ac:dyDescent="0.35">
      <c r="A649" s="3" t="s">
        <v>694</v>
      </c>
      <c r="B649" s="4">
        <v>43297</v>
      </c>
      <c r="C649">
        <v>8</v>
      </c>
      <c r="D649" t="s">
        <v>45</v>
      </c>
      <c r="E649" t="s">
        <v>22</v>
      </c>
      <c r="F649" t="s">
        <v>23</v>
      </c>
      <c r="G649" t="s">
        <v>14</v>
      </c>
      <c r="H649">
        <v>199</v>
      </c>
      <c r="I649">
        <v>1</v>
      </c>
      <c r="J649">
        <v>199</v>
      </c>
    </row>
    <row r="650" spans="1:10" x14ac:dyDescent="0.35">
      <c r="A650" s="3" t="s">
        <v>695</v>
      </c>
      <c r="B650" s="4">
        <v>43298</v>
      </c>
      <c r="C650">
        <v>8</v>
      </c>
      <c r="D650" t="s">
        <v>45</v>
      </c>
      <c r="E650" t="s">
        <v>46</v>
      </c>
      <c r="F650" t="s">
        <v>23</v>
      </c>
      <c r="G650" t="s">
        <v>41</v>
      </c>
      <c r="H650">
        <v>399</v>
      </c>
      <c r="I650">
        <v>5</v>
      </c>
      <c r="J650">
        <v>1995</v>
      </c>
    </row>
    <row r="651" spans="1:10" x14ac:dyDescent="0.35">
      <c r="A651" s="3" t="s">
        <v>696</v>
      </c>
      <c r="B651" s="4">
        <v>43298</v>
      </c>
      <c r="C651">
        <v>13</v>
      </c>
      <c r="D651" t="s">
        <v>33</v>
      </c>
      <c r="E651" t="s">
        <v>63</v>
      </c>
      <c r="F651" t="s">
        <v>13</v>
      </c>
      <c r="G651" t="s">
        <v>19</v>
      </c>
      <c r="H651">
        <v>289</v>
      </c>
      <c r="I651">
        <v>3</v>
      </c>
      <c r="J651">
        <v>867</v>
      </c>
    </row>
    <row r="652" spans="1:10" x14ac:dyDescent="0.35">
      <c r="A652" s="3" t="s">
        <v>697</v>
      </c>
      <c r="B652" s="4">
        <v>43298</v>
      </c>
      <c r="C652">
        <v>17</v>
      </c>
      <c r="D652" t="s">
        <v>35</v>
      </c>
      <c r="E652" t="s">
        <v>36</v>
      </c>
      <c r="F652" t="s">
        <v>28</v>
      </c>
      <c r="G652" t="s">
        <v>24</v>
      </c>
      <c r="H652">
        <v>159</v>
      </c>
      <c r="I652">
        <v>2</v>
      </c>
      <c r="J652">
        <v>318</v>
      </c>
    </row>
    <row r="653" spans="1:10" x14ac:dyDescent="0.35">
      <c r="A653" s="3" t="s">
        <v>698</v>
      </c>
      <c r="B653" s="4">
        <v>43298</v>
      </c>
      <c r="C653">
        <v>15</v>
      </c>
      <c r="D653" t="s">
        <v>118</v>
      </c>
      <c r="E653" t="s">
        <v>63</v>
      </c>
      <c r="F653" t="s">
        <v>13</v>
      </c>
      <c r="G653" t="s">
        <v>24</v>
      </c>
      <c r="H653">
        <v>159</v>
      </c>
      <c r="I653">
        <v>3</v>
      </c>
      <c r="J653">
        <v>477</v>
      </c>
    </row>
    <row r="654" spans="1:10" x14ac:dyDescent="0.35">
      <c r="A654" s="3" t="s">
        <v>699</v>
      </c>
      <c r="B654" s="4">
        <v>43299</v>
      </c>
      <c r="C654">
        <v>5</v>
      </c>
      <c r="D654" t="s">
        <v>60</v>
      </c>
      <c r="E654" t="s">
        <v>68</v>
      </c>
      <c r="F654" t="s">
        <v>18</v>
      </c>
      <c r="G654" t="s">
        <v>24</v>
      </c>
      <c r="H654">
        <v>159</v>
      </c>
      <c r="I654">
        <v>1</v>
      </c>
      <c r="J654">
        <v>159</v>
      </c>
    </row>
    <row r="655" spans="1:10" x14ac:dyDescent="0.35">
      <c r="A655" s="3" t="s">
        <v>700</v>
      </c>
      <c r="B655" s="4">
        <v>43299</v>
      </c>
      <c r="C655">
        <v>1</v>
      </c>
      <c r="D655" t="s">
        <v>16</v>
      </c>
      <c r="E655" t="s">
        <v>17</v>
      </c>
      <c r="F655" t="s">
        <v>18</v>
      </c>
      <c r="G655" t="s">
        <v>31</v>
      </c>
      <c r="H655">
        <v>69</v>
      </c>
      <c r="I655">
        <v>0</v>
      </c>
      <c r="J655">
        <v>0</v>
      </c>
    </row>
    <row r="656" spans="1:10" x14ac:dyDescent="0.35">
      <c r="A656" s="3" t="s">
        <v>701</v>
      </c>
      <c r="B656" s="4">
        <v>43299</v>
      </c>
      <c r="C656">
        <v>2</v>
      </c>
      <c r="D656" t="s">
        <v>106</v>
      </c>
      <c r="E656" t="s">
        <v>17</v>
      </c>
      <c r="F656" t="s">
        <v>18</v>
      </c>
      <c r="G656" t="s">
        <v>19</v>
      </c>
      <c r="H656">
        <v>289</v>
      </c>
      <c r="I656">
        <v>2</v>
      </c>
      <c r="J656">
        <v>578</v>
      </c>
    </row>
    <row r="657" spans="1:10" x14ac:dyDescent="0.35">
      <c r="A657" s="3" t="s">
        <v>702</v>
      </c>
      <c r="B657" s="4">
        <v>43299</v>
      </c>
      <c r="C657">
        <v>12</v>
      </c>
      <c r="D657" t="s">
        <v>66</v>
      </c>
      <c r="E657" t="s">
        <v>63</v>
      </c>
      <c r="F657" t="s">
        <v>13</v>
      </c>
      <c r="G657" t="s">
        <v>24</v>
      </c>
      <c r="H657">
        <v>159</v>
      </c>
      <c r="I657">
        <v>5</v>
      </c>
      <c r="J657">
        <v>795</v>
      </c>
    </row>
    <row r="658" spans="1:10" x14ac:dyDescent="0.35">
      <c r="A658" s="3" t="s">
        <v>703</v>
      </c>
      <c r="B658" s="4">
        <v>43299</v>
      </c>
      <c r="C658">
        <v>6</v>
      </c>
      <c r="D658" t="s">
        <v>48</v>
      </c>
      <c r="E658" t="s">
        <v>46</v>
      </c>
      <c r="F658" t="s">
        <v>23</v>
      </c>
      <c r="G658" t="s">
        <v>31</v>
      </c>
      <c r="H658">
        <v>69</v>
      </c>
      <c r="I658">
        <v>3</v>
      </c>
      <c r="J658">
        <v>207</v>
      </c>
    </row>
    <row r="659" spans="1:10" x14ac:dyDescent="0.35">
      <c r="A659" s="3" t="s">
        <v>704</v>
      </c>
      <c r="B659" s="4">
        <v>43299</v>
      </c>
      <c r="C659">
        <v>5</v>
      </c>
      <c r="D659" t="s">
        <v>60</v>
      </c>
      <c r="E659" t="s">
        <v>17</v>
      </c>
      <c r="F659" t="s">
        <v>18</v>
      </c>
      <c r="G659" t="s">
        <v>24</v>
      </c>
      <c r="H659">
        <v>159</v>
      </c>
      <c r="I659">
        <v>9</v>
      </c>
      <c r="J659">
        <v>1431</v>
      </c>
    </row>
    <row r="660" spans="1:10" x14ac:dyDescent="0.35">
      <c r="A660" s="3" t="s">
        <v>705</v>
      </c>
      <c r="B660" s="4">
        <v>43300</v>
      </c>
      <c r="C660">
        <v>15</v>
      </c>
      <c r="D660" t="s">
        <v>118</v>
      </c>
      <c r="E660" t="s">
        <v>63</v>
      </c>
      <c r="F660" t="s">
        <v>13</v>
      </c>
      <c r="G660" t="s">
        <v>14</v>
      </c>
      <c r="H660">
        <v>199</v>
      </c>
      <c r="I660">
        <v>1</v>
      </c>
      <c r="J660">
        <v>199</v>
      </c>
    </row>
    <row r="661" spans="1:10" x14ac:dyDescent="0.35">
      <c r="A661" s="3" t="s">
        <v>706</v>
      </c>
      <c r="B661" s="4">
        <v>43300</v>
      </c>
      <c r="C661">
        <v>1</v>
      </c>
      <c r="D661" t="s">
        <v>16</v>
      </c>
      <c r="E661" t="s">
        <v>17</v>
      </c>
      <c r="F661" t="s">
        <v>18</v>
      </c>
      <c r="G661" t="s">
        <v>19</v>
      </c>
      <c r="H661">
        <v>289</v>
      </c>
      <c r="I661">
        <v>4</v>
      </c>
      <c r="J661">
        <v>1156</v>
      </c>
    </row>
    <row r="662" spans="1:10" x14ac:dyDescent="0.35">
      <c r="A662" s="3" t="s">
        <v>707</v>
      </c>
      <c r="B662" s="4">
        <v>43301</v>
      </c>
      <c r="C662">
        <v>16</v>
      </c>
      <c r="D662" t="s">
        <v>30</v>
      </c>
      <c r="E662" t="s">
        <v>27</v>
      </c>
      <c r="F662" t="s">
        <v>28</v>
      </c>
      <c r="G662" t="s">
        <v>24</v>
      </c>
      <c r="H662">
        <v>159</v>
      </c>
      <c r="I662">
        <v>3</v>
      </c>
      <c r="J662">
        <v>477</v>
      </c>
    </row>
    <row r="663" spans="1:10" x14ac:dyDescent="0.35">
      <c r="A663" s="3" t="s">
        <v>708</v>
      </c>
      <c r="B663" s="4">
        <v>43301</v>
      </c>
      <c r="C663">
        <v>9</v>
      </c>
      <c r="D663" t="s">
        <v>21</v>
      </c>
      <c r="E663" t="s">
        <v>46</v>
      </c>
      <c r="F663" t="s">
        <v>23</v>
      </c>
      <c r="G663" t="s">
        <v>31</v>
      </c>
      <c r="H663">
        <v>69</v>
      </c>
      <c r="I663">
        <v>2</v>
      </c>
      <c r="J663">
        <v>138</v>
      </c>
    </row>
    <row r="664" spans="1:10" x14ac:dyDescent="0.35">
      <c r="A664" s="3" t="s">
        <v>709</v>
      </c>
      <c r="B664" s="4">
        <v>43301</v>
      </c>
      <c r="C664">
        <v>20</v>
      </c>
      <c r="D664" t="s">
        <v>40</v>
      </c>
      <c r="E664" t="s">
        <v>27</v>
      </c>
      <c r="F664" t="s">
        <v>28</v>
      </c>
      <c r="G664" t="s">
        <v>24</v>
      </c>
      <c r="H664">
        <v>159</v>
      </c>
      <c r="I664">
        <v>4</v>
      </c>
      <c r="J664">
        <v>636</v>
      </c>
    </row>
    <row r="665" spans="1:10" x14ac:dyDescent="0.35">
      <c r="A665" s="3" t="s">
        <v>710</v>
      </c>
      <c r="B665" s="4">
        <v>43302</v>
      </c>
      <c r="C665">
        <v>14</v>
      </c>
      <c r="D665" t="s">
        <v>38</v>
      </c>
      <c r="E665" t="s">
        <v>63</v>
      </c>
      <c r="F665" t="s">
        <v>13</v>
      </c>
      <c r="G665" t="s">
        <v>41</v>
      </c>
      <c r="H665">
        <v>399</v>
      </c>
      <c r="I665">
        <v>5</v>
      </c>
      <c r="J665">
        <v>1995</v>
      </c>
    </row>
    <row r="666" spans="1:10" x14ac:dyDescent="0.35">
      <c r="A666" s="3" t="s">
        <v>711</v>
      </c>
      <c r="B666" s="4">
        <v>43303</v>
      </c>
      <c r="C666">
        <v>1</v>
      </c>
      <c r="D666" t="s">
        <v>16</v>
      </c>
      <c r="E666" t="s">
        <v>17</v>
      </c>
      <c r="F666" t="s">
        <v>18</v>
      </c>
      <c r="G666" t="s">
        <v>41</v>
      </c>
      <c r="H666">
        <v>399</v>
      </c>
      <c r="I666">
        <v>8</v>
      </c>
      <c r="J666">
        <v>3192</v>
      </c>
    </row>
    <row r="667" spans="1:10" x14ac:dyDescent="0.35">
      <c r="A667" s="3" t="s">
        <v>712</v>
      </c>
      <c r="B667" s="4">
        <v>43303</v>
      </c>
      <c r="C667">
        <v>13</v>
      </c>
      <c r="D667" t="s">
        <v>33</v>
      </c>
      <c r="E667" t="s">
        <v>63</v>
      </c>
      <c r="F667" t="s">
        <v>13</v>
      </c>
      <c r="G667" t="s">
        <v>31</v>
      </c>
      <c r="H667">
        <v>69</v>
      </c>
      <c r="I667">
        <v>0</v>
      </c>
      <c r="J667">
        <v>0</v>
      </c>
    </row>
    <row r="668" spans="1:10" x14ac:dyDescent="0.35">
      <c r="A668" s="3" t="s">
        <v>713</v>
      </c>
      <c r="B668" s="4">
        <v>43304</v>
      </c>
      <c r="C668">
        <v>14</v>
      </c>
      <c r="D668" t="s">
        <v>38</v>
      </c>
      <c r="E668" t="s">
        <v>63</v>
      </c>
      <c r="F668" t="s">
        <v>13</v>
      </c>
      <c r="G668" t="s">
        <v>31</v>
      </c>
      <c r="H668">
        <v>69</v>
      </c>
      <c r="I668">
        <v>8</v>
      </c>
      <c r="J668">
        <v>552</v>
      </c>
    </row>
    <row r="669" spans="1:10" x14ac:dyDescent="0.35">
      <c r="A669" s="3" t="s">
        <v>714</v>
      </c>
      <c r="B669" s="4">
        <v>43305</v>
      </c>
      <c r="C669">
        <v>10</v>
      </c>
      <c r="D669" t="s">
        <v>58</v>
      </c>
      <c r="E669" t="s">
        <v>22</v>
      </c>
      <c r="F669" t="s">
        <v>23</v>
      </c>
      <c r="G669" t="s">
        <v>31</v>
      </c>
      <c r="H669">
        <v>69</v>
      </c>
      <c r="I669">
        <v>2</v>
      </c>
      <c r="J669">
        <v>138</v>
      </c>
    </row>
    <row r="670" spans="1:10" x14ac:dyDescent="0.35">
      <c r="A670" s="3" t="s">
        <v>715</v>
      </c>
      <c r="B670" s="4">
        <v>43305</v>
      </c>
      <c r="C670">
        <v>9</v>
      </c>
      <c r="D670" t="s">
        <v>21</v>
      </c>
      <c r="E670" t="s">
        <v>22</v>
      </c>
      <c r="F670" t="s">
        <v>23</v>
      </c>
      <c r="G670" t="s">
        <v>41</v>
      </c>
      <c r="H670">
        <v>399</v>
      </c>
      <c r="I670">
        <v>6</v>
      </c>
      <c r="J670">
        <v>2394</v>
      </c>
    </row>
    <row r="671" spans="1:10" x14ac:dyDescent="0.35">
      <c r="A671" s="3" t="s">
        <v>716</v>
      </c>
      <c r="B671" s="4">
        <v>43305</v>
      </c>
      <c r="C671">
        <v>2</v>
      </c>
      <c r="D671" t="s">
        <v>106</v>
      </c>
      <c r="E671" t="s">
        <v>17</v>
      </c>
      <c r="F671" t="s">
        <v>18</v>
      </c>
      <c r="G671" t="s">
        <v>14</v>
      </c>
      <c r="H671">
        <v>199</v>
      </c>
      <c r="I671">
        <v>1</v>
      </c>
      <c r="J671">
        <v>199</v>
      </c>
    </row>
    <row r="672" spans="1:10" x14ac:dyDescent="0.35">
      <c r="A672" s="3" t="s">
        <v>717</v>
      </c>
      <c r="B672" s="4">
        <v>43305</v>
      </c>
      <c r="C672">
        <v>13</v>
      </c>
      <c r="D672" t="s">
        <v>33</v>
      </c>
      <c r="E672" t="s">
        <v>12</v>
      </c>
      <c r="F672" t="s">
        <v>13</v>
      </c>
      <c r="G672" t="s">
        <v>41</v>
      </c>
      <c r="H672">
        <v>399</v>
      </c>
      <c r="I672">
        <v>1</v>
      </c>
      <c r="J672">
        <v>399</v>
      </c>
    </row>
    <row r="673" spans="1:10" x14ac:dyDescent="0.35">
      <c r="A673" s="3" t="s">
        <v>718</v>
      </c>
      <c r="B673" s="4">
        <v>43306</v>
      </c>
      <c r="C673">
        <v>12</v>
      </c>
      <c r="D673" t="s">
        <v>66</v>
      </c>
      <c r="E673" t="s">
        <v>12</v>
      </c>
      <c r="F673" t="s">
        <v>13</v>
      </c>
      <c r="G673" t="s">
        <v>24</v>
      </c>
      <c r="H673">
        <v>159</v>
      </c>
      <c r="I673">
        <v>7</v>
      </c>
      <c r="J673">
        <v>1113</v>
      </c>
    </row>
    <row r="674" spans="1:10" x14ac:dyDescent="0.35">
      <c r="A674" s="3" t="s">
        <v>719</v>
      </c>
      <c r="B674" s="4">
        <v>43306</v>
      </c>
      <c r="C674">
        <v>17</v>
      </c>
      <c r="D674" t="s">
        <v>35</v>
      </c>
      <c r="E674" t="s">
        <v>27</v>
      </c>
      <c r="F674" t="s">
        <v>28</v>
      </c>
      <c r="G674" t="s">
        <v>24</v>
      </c>
      <c r="H674">
        <v>159</v>
      </c>
      <c r="I674">
        <v>8</v>
      </c>
      <c r="J674">
        <v>1272</v>
      </c>
    </row>
    <row r="675" spans="1:10" x14ac:dyDescent="0.35">
      <c r="A675" s="3" t="s">
        <v>720</v>
      </c>
      <c r="B675" s="4">
        <v>43307</v>
      </c>
      <c r="C675">
        <v>18</v>
      </c>
      <c r="D675" t="s">
        <v>26</v>
      </c>
      <c r="E675" t="s">
        <v>36</v>
      </c>
      <c r="F675" t="s">
        <v>28</v>
      </c>
      <c r="G675" t="s">
        <v>19</v>
      </c>
      <c r="H675">
        <v>289</v>
      </c>
      <c r="I675">
        <v>8</v>
      </c>
      <c r="J675">
        <v>2312</v>
      </c>
    </row>
    <row r="676" spans="1:10" x14ac:dyDescent="0.35">
      <c r="A676" s="3" t="s">
        <v>721</v>
      </c>
      <c r="B676" s="4">
        <v>43307</v>
      </c>
      <c r="C676">
        <v>13</v>
      </c>
      <c r="D676" t="s">
        <v>33</v>
      </c>
      <c r="E676" t="s">
        <v>12</v>
      </c>
      <c r="F676" t="s">
        <v>13</v>
      </c>
      <c r="G676" t="s">
        <v>24</v>
      </c>
      <c r="H676">
        <v>159</v>
      </c>
      <c r="I676">
        <v>4</v>
      </c>
      <c r="J676">
        <v>636</v>
      </c>
    </row>
    <row r="677" spans="1:10" x14ac:dyDescent="0.35">
      <c r="A677" s="3" t="s">
        <v>722</v>
      </c>
      <c r="B677" s="4">
        <v>43307</v>
      </c>
      <c r="C677">
        <v>15</v>
      </c>
      <c r="D677" t="s">
        <v>118</v>
      </c>
      <c r="E677" t="s">
        <v>12</v>
      </c>
      <c r="F677" t="s">
        <v>13</v>
      </c>
      <c r="G677" t="s">
        <v>31</v>
      </c>
      <c r="H677">
        <v>69</v>
      </c>
      <c r="I677">
        <v>4</v>
      </c>
      <c r="J677">
        <v>276</v>
      </c>
    </row>
    <row r="678" spans="1:10" x14ac:dyDescent="0.35">
      <c r="A678" s="3" t="s">
        <v>723</v>
      </c>
      <c r="B678" s="4">
        <v>43307</v>
      </c>
      <c r="C678">
        <v>15</v>
      </c>
      <c r="D678" t="s">
        <v>118</v>
      </c>
      <c r="E678" t="s">
        <v>12</v>
      </c>
      <c r="F678" t="s">
        <v>13</v>
      </c>
      <c r="G678" t="s">
        <v>24</v>
      </c>
      <c r="H678">
        <v>159</v>
      </c>
      <c r="I678">
        <v>9</v>
      </c>
      <c r="J678">
        <v>1431</v>
      </c>
    </row>
    <row r="679" spans="1:10" x14ac:dyDescent="0.35">
      <c r="A679" s="3" t="s">
        <v>724</v>
      </c>
      <c r="B679" s="4">
        <v>43307</v>
      </c>
      <c r="C679">
        <v>18</v>
      </c>
      <c r="D679" t="s">
        <v>26</v>
      </c>
      <c r="E679" t="s">
        <v>36</v>
      </c>
      <c r="F679" t="s">
        <v>28</v>
      </c>
      <c r="G679" t="s">
        <v>31</v>
      </c>
      <c r="H679">
        <v>69</v>
      </c>
      <c r="I679">
        <v>6</v>
      </c>
      <c r="J679">
        <v>414</v>
      </c>
    </row>
    <row r="680" spans="1:10" x14ac:dyDescent="0.35">
      <c r="A680" s="3" t="s">
        <v>725</v>
      </c>
      <c r="B680" s="4">
        <v>43307</v>
      </c>
      <c r="C680">
        <v>7</v>
      </c>
      <c r="D680" t="s">
        <v>88</v>
      </c>
      <c r="E680" t="s">
        <v>22</v>
      </c>
      <c r="F680" t="s">
        <v>23</v>
      </c>
      <c r="G680" t="s">
        <v>24</v>
      </c>
      <c r="H680">
        <v>159</v>
      </c>
      <c r="I680">
        <v>6</v>
      </c>
      <c r="J680">
        <v>954</v>
      </c>
    </row>
    <row r="681" spans="1:10" x14ac:dyDescent="0.35">
      <c r="A681" s="3" t="s">
        <v>726</v>
      </c>
      <c r="B681" s="4">
        <v>43307</v>
      </c>
      <c r="C681">
        <v>13</v>
      </c>
      <c r="D681" t="s">
        <v>33</v>
      </c>
      <c r="E681" t="s">
        <v>12</v>
      </c>
      <c r="F681" t="s">
        <v>13</v>
      </c>
      <c r="G681" t="s">
        <v>31</v>
      </c>
      <c r="H681">
        <v>69</v>
      </c>
      <c r="I681">
        <v>3</v>
      </c>
      <c r="J681">
        <v>207</v>
      </c>
    </row>
    <row r="682" spans="1:10" x14ac:dyDescent="0.35">
      <c r="A682" s="3" t="s">
        <v>727</v>
      </c>
      <c r="B682" s="4">
        <v>43307</v>
      </c>
      <c r="C682">
        <v>3</v>
      </c>
      <c r="D682" t="s">
        <v>43</v>
      </c>
      <c r="E682" t="s">
        <v>68</v>
      </c>
      <c r="F682" t="s">
        <v>18</v>
      </c>
      <c r="G682" t="s">
        <v>31</v>
      </c>
      <c r="H682">
        <v>69</v>
      </c>
      <c r="I682">
        <v>4</v>
      </c>
      <c r="J682">
        <v>276</v>
      </c>
    </row>
    <row r="683" spans="1:10" x14ac:dyDescent="0.35">
      <c r="A683" s="3" t="s">
        <v>728</v>
      </c>
      <c r="B683" s="4">
        <v>43308</v>
      </c>
      <c r="C683">
        <v>18</v>
      </c>
      <c r="D683" t="s">
        <v>26</v>
      </c>
      <c r="E683" t="s">
        <v>27</v>
      </c>
      <c r="F683" t="s">
        <v>28</v>
      </c>
      <c r="G683" t="s">
        <v>19</v>
      </c>
      <c r="H683">
        <v>289</v>
      </c>
      <c r="I683">
        <v>3</v>
      </c>
      <c r="J683">
        <v>867</v>
      </c>
    </row>
    <row r="684" spans="1:10" x14ac:dyDescent="0.35">
      <c r="A684" s="3" t="s">
        <v>729</v>
      </c>
      <c r="B684" s="4">
        <v>43308</v>
      </c>
      <c r="C684">
        <v>16</v>
      </c>
      <c r="D684" t="s">
        <v>30</v>
      </c>
      <c r="E684" t="s">
        <v>36</v>
      </c>
      <c r="F684" t="s">
        <v>28</v>
      </c>
      <c r="G684" t="s">
        <v>19</v>
      </c>
      <c r="H684">
        <v>289</v>
      </c>
      <c r="I684">
        <v>6</v>
      </c>
      <c r="J684">
        <v>1734</v>
      </c>
    </row>
    <row r="685" spans="1:10" x14ac:dyDescent="0.35">
      <c r="A685" s="3" t="s">
        <v>730</v>
      </c>
      <c r="B685" s="4">
        <v>43308</v>
      </c>
      <c r="C685">
        <v>18</v>
      </c>
      <c r="D685" t="s">
        <v>26</v>
      </c>
      <c r="E685" t="s">
        <v>27</v>
      </c>
      <c r="F685" t="s">
        <v>28</v>
      </c>
      <c r="G685" t="s">
        <v>24</v>
      </c>
      <c r="H685">
        <v>159</v>
      </c>
      <c r="I685">
        <v>3</v>
      </c>
      <c r="J685">
        <v>477</v>
      </c>
    </row>
    <row r="686" spans="1:10" x14ac:dyDescent="0.35">
      <c r="A686" s="3" t="s">
        <v>731</v>
      </c>
      <c r="B686" s="4">
        <v>43308</v>
      </c>
      <c r="C686">
        <v>11</v>
      </c>
      <c r="D686" t="s">
        <v>11</v>
      </c>
      <c r="E686" t="s">
        <v>63</v>
      </c>
      <c r="F686" t="s">
        <v>13</v>
      </c>
      <c r="G686" t="s">
        <v>14</v>
      </c>
      <c r="H686">
        <v>199</v>
      </c>
      <c r="I686">
        <v>4</v>
      </c>
      <c r="J686">
        <v>796</v>
      </c>
    </row>
    <row r="687" spans="1:10" x14ac:dyDescent="0.35">
      <c r="A687" s="3" t="s">
        <v>732</v>
      </c>
      <c r="B687" s="4">
        <v>43308</v>
      </c>
      <c r="C687">
        <v>1</v>
      </c>
      <c r="D687" t="s">
        <v>16</v>
      </c>
      <c r="E687" t="s">
        <v>68</v>
      </c>
      <c r="F687" t="s">
        <v>18</v>
      </c>
      <c r="G687" t="s">
        <v>31</v>
      </c>
      <c r="H687">
        <v>69</v>
      </c>
      <c r="I687">
        <v>1</v>
      </c>
      <c r="J687">
        <v>69</v>
      </c>
    </row>
    <row r="688" spans="1:10" x14ac:dyDescent="0.35">
      <c r="A688" s="3" t="s">
        <v>733</v>
      </c>
      <c r="B688" s="4">
        <v>43308</v>
      </c>
      <c r="C688">
        <v>15</v>
      </c>
      <c r="D688" t="s">
        <v>118</v>
      </c>
      <c r="E688" t="s">
        <v>63</v>
      </c>
      <c r="F688" t="s">
        <v>13</v>
      </c>
      <c r="G688" t="s">
        <v>31</v>
      </c>
      <c r="H688">
        <v>69</v>
      </c>
      <c r="I688">
        <v>0</v>
      </c>
      <c r="J688">
        <v>0</v>
      </c>
    </row>
    <row r="689" spans="1:10" x14ac:dyDescent="0.35">
      <c r="A689" s="3" t="s">
        <v>734</v>
      </c>
      <c r="B689" s="4">
        <v>43308</v>
      </c>
      <c r="C689">
        <v>19</v>
      </c>
      <c r="D689" t="s">
        <v>56</v>
      </c>
      <c r="E689" t="s">
        <v>27</v>
      </c>
      <c r="F689" t="s">
        <v>28</v>
      </c>
      <c r="G689" t="s">
        <v>14</v>
      </c>
      <c r="H689">
        <v>199</v>
      </c>
      <c r="I689">
        <v>5</v>
      </c>
      <c r="J689">
        <v>995</v>
      </c>
    </row>
    <row r="690" spans="1:10" x14ac:dyDescent="0.35">
      <c r="A690" s="3" t="s">
        <v>735</v>
      </c>
      <c r="B690" s="4">
        <v>43308</v>
      </c>
      <c r="C690">
        <v>19</v>
      </c>
      <c r="D690" t="s">
        <v>56</v>
      </c>
      <c r="E690" t="s">
        <v>36</v>
      </c>
      <c r="F690" t="s">
        <v>28</v>
      </c>
      <c r="G690" t="s">
        <v>24</v>
      </c>
      <c r="H690">
        <v>159</v>
      </c>
      <c r="I690">
        <v>8</v>
      </c>
      <c r="J690">
        <v>1272</v>
      </c>
    </row>
    <row r="691" spans="1:10" x14ac:dyDescent="0.35">
      <c r="A691" s="3" t="s">
        <v>736</v>
      </c>
      <c r="B691" s="4">
        <v>43308</v>
      </c>
      <c r="C691">
        <v>5</v>
      </c>
      <c r="D691" t="s">
        <v>60</v>
      </c>
      <c r="E691" t="s">
        <v>17</v>
      </c>
      <c r="F691" t="s">
        <v>18</v>
      </c>
      <c r="G691" t="s">
        <v>41</v>
      </c>
      <c r="H691">
        <v>399</v>
      </c>
      <c r="I691">
        <v>5</v>
      </c>
      <c r="J691">
        <v>1995</v>
      </c>
    </row>
    <row r="692" spans="1:10" x14ac:dyDescent="0.35">
      <c r="A692" s="3" t="s">
        <v>737</v>
      </c>
      <c r="B692" s="4">
        <v>43308</v>
      </c>
      <c r="C692">
        <v>19</v>
      </c>
      <c r="D692" t="s">
        <v>56</v>
      </c>
      <c r="E692" t="s">
        <v>27</v>
      </c>
      <c r="F692" t="s">
        <v>28</v>
      </c>
      <c r="G692" t="s">
        <v>19</v>
      </c>
      <c r="H692">
        <v>289</v>
      </c>
      <c r="I692">
        <v>2</v>
      </c>
      <c r="J692">
        <v>578</v>
      </c>
    </row>
    <row r="693" spans="1:10" x14ac:dyDescent="0.35">
      <c r="A693" s="3" t="s">
        <v>738</v>
      </c>
      <c r="B693" s="4">
        <v>43308</v>
      </c>
      <c r="C693">
        <v>7</v>
      </c>
      <c r="D693" t="s">
        <v>88</v>
      </c>
      <c r="E693" t="s">
        <v>46</v>
      </c>
      <c r="F693" t="s">
        <v>23</v>
      </c>
      <c r="G693" t="s">
        <v>19</v>
      </c>
      <c r="H693">
        <v>289</v>
      </c>
      <c r="I693">
        <v>4</v>
      </c>
      <c r="J693">
        <v>1156</v>
      </c>
    </row>
    <row r="694" spans="1:10" x14ac:dyDescent="0.35">
      <c r="A694" s="3" t="s">
        <v>739</v>
      </c>
      <c r="B694" s="4">
        <v>43308</v>
      </c>
      <c r="C694">
        <v>11</v>
      </c>
      <c r="D694" t="s">
        <v>11</v>
      </c>
      <c r="E694" t="s">
        <v>12</v>
      </c>
      <c r="F694" t="s">
        <v>13</v>
      </c>
      <c r="G694" t="s">
        <v>14</v>
      </c>
      <c r="H694">
        <v>199</v>
      </c>
      <c r="I694">
        <v>5</v>
      </c>
      <c r="J694">
        <v>995</v>
      </c>
    </row>
    <row r="695" spans="1:10" x14ac:dyDescent="0.35">
      <c r="A695" s="3" t="s">
        <v>740</v>
      </c>
      <c r="B695" s="4">
        <v>43308</v>
      </c>
      <c r="C695">
        <v>8</v>
      </c>
      <c r="D695" t="s">
        <v>45</v>
      </c>
      <c r="E695" t="s">
        <v>46</v>
      </c>
      <c r="F695" t="s">
        <v>23</v>
      </c>
      <c r="G695" t="s">
        <v>24</v>
      </c>
      <c r="H695">
        <v>159</v>
      </c>
      <c r="I695">
        <v>8</v>
      </c>
      <c r="J695">
        <v>1272</v>
      </c>
    </row>
    <row r="696" spans="1:10" x14ac:dyDescent="0.35">
      <c r="A696" s="3" t="s">
        <v>741</v>
      </c>
      <c r="B696" s="4">
        <v>43309</v>
      </c>
      <c r="C696">
        <v>12</v>
      </c>
      <c r="D696" t="s">
        <v>66</v>
      </c>
      <c r="E696" t="s">
        <v>63</v>
      </c>
      <c r="F696" t="s">
        <v>13</v>
      </c>
      <c r="G696" t="s">
        <v>19</v>
      </c>
      <c r="H696">
        <v>289</v>
      </c>
      <c r="I696">
        <v>7</v>
      </c>
      <c r="J696">
        <v>2023</v>
      </c>
    </row>
    <row r="697" spans="1:10" x14ac:dyDescent="0.35">
      <c r="A697" s="3" t="s">
        <v>742</v>
      </c>
      <c r="B697" s="4">
        <v>43310</v>
      </c>
      <c r="C697">
        <v>3</v>
      </c>
      <c r="D697" t="s">
        <v>43</v>
      </c>
      <c r="E697" t="s">
        <v>68</v>
      </c>
      <c r="F697" t="s">
        <v>18</v>
      </c>
      <c r="G697" t="s">
        <v>14</v>
      </c>
      <c r="H697">
        <v>199</v>
      </c>
      <c r="I697">
        <v>8</v>
      </c>
      <c r="J697">
        <v>1592</v>
      </c>
    </row>
    <row r="698" spans="1:10" x14ac:dyDescent="0.35">
      <c r="A698" s="3" t="s">
        <v>743</v>
      </c>
      <c r="B698" s="4">
        <v>43310</v>
      </c>
      <c r="C698">
        <v>5</v>
      </c>
      <c r="D698" t="s">
        <v>60</v>
      </c>
      <c r="E698" t="s">
        <v>68</v>
      </c>
      <c r="F698" t="s">
        <v>18</v>
      </c>
      <c r="G698" t="s">
        <v>24</v>
      </c>
      <c r="H698">
        <v>159</v>
      </c>
      <c r="I698">
        <v>1</v>
      </c>
      <c r="J698">
        <v>159</v>
      </c>
    </row>
    <row r="699" spans="1:10" x14ac:dyDescent="0.35">
      <c r="A699" s="3" t="s">
        <v>744</v>
      </c>
      <c r="B699" s="4">
        <v>43311</v>
      </c>
      <c r="C699">
        <v>8</v>
      </c>
      <c r="D699" t="s">
        <v>45</v>
      </c>
      <c r="E699" t="s">
        <v>46</v>
      </c>
      <c r="F699" t="s">
        <v>23</v>
      </c>
      <c r="G699" t="s">
        <v>19</v>
      </c>
      <c r="H699">
        <v>289</v>
      </c>
      <c r="I699">
        <v>9</v>
      </c>
      <c r="J699">
        <v>2601</v>
      </c>
    </row>
    <row r="700" spans="1:10" x14ac:dyDescent="0.35">
      <c r="A700" s="3" t="s">
        <v>745</v>
      </c>
      <c r="B700" s="4">
        <v>43312</v>
      </c>
      <c r="C700">
        <v>5</v>
      </c>
      <c r="D700" t="s">
        <v>60</v>
      </c>
      <c r="E700" t="s">
        <v>68</v>
      </c>
      <c r="F700" t="s">
        <v>18</v>
      </c>
      <c r="G700" t="s">
        <v>14</v>
      </c>
      <c r="H700">
        <v>199</v>
      </c>
      <c r="I700">
        <v>3</v>
      </c>
      <c r="J700">
        <v>597</v>
      </c>
    </row>
    <row r="701" spans="1:10" x14ac:dyDescent="0.35">
      <c r="A701" s="3" t="s">
        <v>746</v>
      </c>
      <c r="B701" s="4">
        <v>43313</v>
      </c>
      <c r="C701">
        <v>20</v>
      </c>
      <c r="D701" t="s">
        <v>40</v>
      </c>
      <c r="E701" t="s">
        <v>36</v>
      </c>
      <c r="F701" t="s">
        <v>28</v>
      </c>
      <c r="G701" t="s">
        <v>19</v>
      </c>
      <c r="H701">
        <v>289</v>
      </c>
      <c r="I701">
        <v>0</v>
      </c>
      <c r="J701">
        <v>0</v>
      </c>
    </row>
    <row r="702" spans="1:10" x14ac:dyDescent="0.35">
      <c r="A702" s="3" t="s">
        <v>747</v>
      </c>
      <c r="B702" s="4">
        <v>43314</v>
      </c>
      <c r="C702">
        <v>15</v>
      </c>
      <c r="D702" t="s">
        <v>118</v>
      </c>
      <c r="E702" t="s">
        <v>12</v>
      </c>
      <c r="F702" t="s">
        <v>13</v>
      </c>
      <c r="G702" t="s">
        <v>19</v>
      </c>
      <c r="H702">
        <v>289</v>
      </c>
      <c r="I702">
        <v>2</v>
      </c>
      <c r="J702">
        <v>578</v>
      </c>
    </row>
    <row r="703" spans="1:10" x14ac:dyDescent="0.35">
      <c r="A703" s="3" t="s">
        <v>748</v>
      </c>
      <c r="B703" s="4">
        <v>43315</v>
      </c>
      <c r="C703">
        <v>6</v>
      </c>
      <c r="D703" t="s">
        <v>48</v>
      </c>
      <c r="E703" t="s">
        <v>46</v>
      </c>
      <c r="F703" t="s">
        <v>23</v>
      </c>
      <c r="G703" t="s">
        <v>14</v>
      </c>
      <c r="H703">
        <v>199</v>
      </c>
      <c r="I703">
        <v>3</v>
      </c>
      <c r="J703">
        <v>597</v>
      </c>
    </row>
    <row r="704" spans="1:10" x14ac:dyDescent="0.35">
      <c r="A704" s="3" t="s">
        <v>749</v>
      </c>
      <c r="B704" s="4">
        <v>43315</v>
      </c>
      <c r="C704">
        <v>19</v>
      </c>
      <c r="D704" t="s">
        <v>56</v>
      </c>
      <c r="E704" t="s">
        <v>36</v>
      </c>
      <c r="F704" t="s">
        <v>28</v>
      </c>
      <c r="G704" t="s">
        <v>19</v>
      </c>
      <c r="H704">
        <v>289</v>
      </c>
      <c r="I704">
        <v>9</v>
      </c>
      <c r="J704">
        <v>2601</v>
      </c>
    </row>
    <row r="705" spans="1:10" x14ac:dyDescent="0.35">
      <c r="A705" s="3" t="s">
        <v>750</v>
      </c>
      <c r="B705" s="4">
        <v>43315</v>
      </c>
      <c r="C705">
        <v>15</v>
      </c>
      <c r="D705" t="s">
        <v>118</v>
      </c>
      <c r="E705" t="s">
        <v>12</v>
      </c>
      <c r="F705" t="s">
        <v>13</v>
      </c>
      <c r="G705" t="s">
        <v>19</v>
      </c>
      <c r="H705">
        <v>289</v>
      </c>
      <c r="I705">
        <v>6</v>
      </c>
      <c r="J705">
        <v>1734</v>
      </c>
    </row>
    <row r="706" spans="1:10" x14ac:dyDescent="0.35">
      <c r="A706" s="3" t="s">
        <v>751</v>
      </c>
      <c r="B706" s="4">
        <v>43315</v>
      </c>
      <c r="C706">
        <v>14</v>
      </c>
      <c r="D706" t="s">
        <v>38</v>
      </c>
      <c r="E706" t="s">
        <v>12</v>
      </c>
      <c r="F706" t="s">
        <v>13</v>
      </c>
      <c r="G706" t="s">
        <v>19</v>
      </c>
      <c r="H706">
        <v>289</v>
      </c>
      <c r="I706">
        <v>0</v>
      </c>
      <c r="J706">
        <v>0</v>
      </c>
    </row>
    <row r="707" spans="1:10" x14ac:dyDescent="0.35">
      <c r="A707" s="3" t="s">
        <v>752</v>
      </c>
      <c r="B707" s="4">
        <v>43315</v>
      </c>
      <c r="C707">
        <v>7</v>
      </c>
      <c r="D707" t="s">
        <v>88</v>
      </c>
      <c r="E707" t="s">
        <v>46</v>
      </c>
      <c r="F707" t="s">
        <v>23</v>
      </c>
      <c r="G707" t="s">
        <v>24</v>
      </c>
      <c r="H707">
        <v>159</v>
      </c>
      <c r="I707">
        <v>2</v>
      </c>
      <c r="J707">
        <v>318</v>
      </c>
    </row>
    <row r="708" spans="1:10" x14ac:dyDescent="0.35">
      <c r="A708" s="3" t="s">
        <v>753</v>
      </c>
      <c r="B708" s="4">
        <v>43315</v>
      </c>
      <c r="C708">
        <v>10</v>
      </c>
      <c r="D708" t="s">
        <v>58</v>
      </c>
      <c r="E708" t="s">
        <v>46</v>
      </c>
      <c r="F708" t="s">
        <v>23</v>
      </c>
      <c r="G708" t="s">
        <v>14</v>
      </c>
      <c r="H708">
        <v>199</v>
      </c>
      <c r="I708">
        <v>1</v>
      </c>
      <c r="J708">
        <v>199</v>
      </c>
    </row>
    <row r="709" spans="1:10" x14ac:dyDescent="0.35">
      <c r="A709" s="3" t="s">
        <v>754</v>
      </c>
      <c r="B709" s="4">
        <v>43315</v>
      </c>
      <c r="C709">
        <v>1</v>
      </c>
      <c r="D709" t="s">
        <v>16</v>
      </c>
      <c r="E709" t="s">
        <v>17</v>
      </c>
      <c r="F709" t="s">
        <v>18</v>
      </c>
      <c r="G709" t="s">
        <v>19</v>
      </c>
      <c r="H709">
        <v>289</v>
      </c>
      <c r="I709">
        <v>4</v>
      </c>
      <c r="J709">
        <v>1156</v>
      </c>
    </row>
    <row r="710" spans="1:10" x14ac:dyDescent="0.35">
      <c r="A710" s="3" t="s">
        <v>755</v>
      </c>
      <c r="B710" s="4">
        <v>43315</v>
      </c>
      <c r="C710">
        <v>1</v>
      </c>
      <c r="D710" t="s">
        <v>16</v>
      </c>
      <c r="E710" t="s">
        <v>17</v>
      </c>
      <c r="F710" t="s">
        <v>18</v>
      </c>
      <c r="G710" t="s">
        <v>24</v>
      </c>
      <c r="H710">
        <v>159</v>
      </c>
      <c r="I710">
        <v>9</v>
      </c>
      <c r="J710">
        <v>1431</v>
      </c>
    </row>
    <row r="711" spans="1:10" x14ac:dyDescent="0.35">
      <c r="A711" s="3" t="s">
        <v>756</v>
      </c>
      <c r="B711" s="4">
        <v>43315</v>
      </c>
      <c r="C711">
        <v>13</v>
      </c>
      <c r="D711" t="s">
        <v>33</v>
      </c>
      <c r="E711" t="s">
        <v>12</v>
      </c>
      <c r="F711" t="s">
        <v>13</v>
      </c>
      <c r="G711" t="s">
        <v>19</v>
      </c>
      <c r="H711">
        <v>289</v>
      </c>
      <c r="I711">
        <v>8</v>
      </c>
      <c r="J711">
        <v>2312</v>
      </c>
    </row>
    <row r="712" spans="1:10" x14ac:dyDescent="0.35">
      <c r="A712" s="3" t="s">
        <v>757</v>
      </c>
      <c r="B712" s="4">
        <v>43315</v>
      </c>
      <c r="C712">
        <v>19</v>
      </c>
      <c r="D712" t="s">
        <v>56</v>
      </c>
      <c r="E712" t="s">
        <v>27</v>
      </c>
      <c r="F712" t="s">
        <v>28</v>
      </c>
      <c r="G712" t="s">
        <v>14</v>
      </c>
      <c r="H712">
        <v>199</v>
      </c>
      <c r="I712">
        <v>1</v>
      </c>
      <c r="J712">
        <v>199</v>
      </c>
    </row>
    <row r="713" spans="1:10" x14ac:dyDescent="0.35">
      <c r="A713" s="3" t="s">
        <v>758</v>
      </c>
      <c r="B713" s="4">
        <v>43316</v>
      </c>
      <c r="C713">
        <v>12</v>
      </c>
      <c r="D713" t="s">
        <v>66</v>
      </c>
      <c r="E713" t="s">
        <v>12</v>
      </c>
      <c r="F713" t="s">
        <v>13</v>
      </c>
      <c r="G713" t="s">
        <v>24</v>
      </c>
      <c r="H713">
        <v>159</v>
      </c>
      <c r="I713">
        <v>0</v>
      </c>
      <c r="J713">
        <v>0</v>
      </c>
    </row>
    <row r="714" spans="1:10" x14ac:dyDescent="0.35">
      <c r="A714" s="3" t="s">
        <v>759</v>
      </c>
      <c r="B714" s="4">
        <v>43316</v>
      </c>
      <c r="C714">
        <v>19</v>
      </c>
      <c r="D714" t="s">
        <v>56</v>
      </c>
      <c r="E714" t="s">
        <v>27</v>
      </c>
      <c r="F714" t="s">
        <v>28</v>
      </c>
      <c r="G714" t="s">
        <v>24</v>
      </c>
      <c r="H714">
        <v>159</v>
      </c>
      <c r="I714">
        <v>8</v>
      </c>
      <c r="J714">
        <v>1272</v>
      </c>
    </row>
    <row r="715" spans="1:10" x14ac:dyDescent="0.35">
      <c r="A715" s="3" t="s">
        <v>760</v>
      </c>
      <c r="B715" s="4">
        <v>43317</v>
      </c>
      <c r="C715">
        <v>4</v>
      </c>
      <c r="D715" t="s">
        <v>51</v>
      </c>
      <c r="E715" t="s">
        <v>17</v>
      </c>
      <c r="F715" t="s">
        <v>18</v>
      </c>
      <c r="G715" t="s">
        <v>19</v>
      </c>
      <c r="H715">
        <v>289</v>
      </c>
      <c r="I715">
        <v>6</v>
      </c>
      <c r="J715">
        <v>1734</v>
      </c>
    </row>
    <row r="716" spans="1:10" x14ac:dyDescent="0.35">
      <c r="A716" s="3" t="s">
        <v>761</v>
      </c>
      <c r="B716" s="4">
        <v>43317</v>
      </c>
      <c r="C716">
        <v>13</v>
      </c>
      <c r="D716" t="s">
        <v>33</v>
      </c>
      <c r="E716" t="s">
        <v>63</v>
      </c>
      <c r="F716" t="s">
        <v>13</v>
      </c>
      <c r="G716" t="s">
        <v>24</v>
      </c>
      <c r="H716">
        <v>159</v>
      </c>
      <c r="I716">
        <v>5</v>
      </c>
      <c r="J716">
        <v>795</v>
      </c>
    </row>
    <row r="717" spans="1:10" x14ac:dyDescent="0.35">
      <c r="A717" s="3" t="s">
        <v>762</v>
      </c>
      <c r="B717" s="4">
        <v>43317</v>
      </c>
      <c r="C717">
        <v>4</v>
      </c>
      <c r="D717" t="s">
        <v>51</v>
      </c>
      <c r="E717" t="s">
        <v>17</v>
      </c>
      <c r="F717" t="s">
        <v>18</v>
      </c>
      <c r="G717" t="s">
        <v>31</v>
      </c>
      <c r="H717">
        <v>69</v>
      </c>
      <c r="I717">
        <v>8</v>
      </c>
      <c r="J717">
        <v>552</v>
      </c>
    </row>
    <row r="718" spans="1:10" x14ac:dyDescent="0.35">
      <c r="A718" s="3" t="s">
        <v>763</v>
      </c>
      <c r="B718" s="4">
        <v>43317</v>
      </c>
      <c r="C718">
        <v>12</v>
      </c>
      <c r="D718" t="s">
        <v>66</v>
      </c>
      <c r="E718" t="s">
        <v>12</v>
      </c>
      <c r="F718" t="s">
        <v>13</v>
      </c>
      <c r="G718" t="s">
        <v>14</v>
      </c>
      <c r="H718">
        <v>199</v>
      </c>
      <c r="I718">
        <v>2</v>
      </c>
      <c r="J718">
        <v>398</v>
      </c>
    </row>
    <row r="719" spans="1:10" x14ac:dyDescent="0.35">
      <c r="A719" s="3" t="s">
        <v>764</v>
      </c>
      <c r="B719" s="4">
        <v>43318</v>
      </c>
      <c r="C719">
        <v>13</v>
      </c>
      <c r="D719" t="s">
        <v>33</v>
      </c>
      <c r="E719" t="s">
        <v>63</v>
      </c>
      <c r="F719" t="s">
        <v>13</v>
      </c>
      <c r="G719" t="s">
        <v>24</v>
      </c>
      <c r="H719">
        <v>159</v>
      </c>
      <c r="I719">
        <v>3</v>
      </c>
      <c r="J719">
        <v>477</v>
      </c>
    </row>
    <row r="720" spans="1:10" x14ac:dyDescent="0.35">
      <c r="A720" s="3" t="s">
        <v>765</v>
      </c>
      <c r="B720" s="4">
        <v>43318</v>
      </c>
      <c r="C720">
        <v>2</v>
      </c>
      <c r="D720" t="s">
        <v>106</v>
      </c>
      <c r="E720" t="s">
        <v>68</v>
      </c>
      <c r="F720" t="s">
        <v>18</v>
      </c>
      <c r="G720" t="s">
        <v>24</v>
      </c>
      <c r="H720">
        <v>159</v>
      </c>
      <c r="I720">
        <v>4</v>
      </c>
      <c r="J720">
        <v>636</v>
      </c>
    </row>
    <row r="721" spans="1:10" x14ac:dyDescent="0.35">
      <c r="A721" s="3" t="s">
        <v>766</v>
      </c>
      <c r="B721" s="4">
        <v>43319</v>
      </c>
      <c r="C721">
        <v>9</v>
      </c>
      <c r="D721" t="s">
        <v>21</v>
      </c>
      <c r="E721" t="s">
        <v>46</v>
      </c>
      <c r="F721" t="s">
        <v>23</v>
      </c>
      <c r="G721" t="s">
        <v>19</v>
      </c>
      <c r="H721">
        <v>289</v>
      </c>
      <c r="I721">
        <v>9</v>
      </c>
      <c r="J721">
        <v>2601</v>
      </c>
    </row>
    <row r="722" spans="1:10" x14ac:dyDescent="0.35">
      <c r="A722" s="3" t="s">
        <v>767</v>
      </c>
      <c r="B722" s="4">
        <v>43319</v>
      </c>
      <c r="C722">
        <v>7</v>
      </c>
      <c r="D722" t="s">
        <v>88</v>
      </c>
      <c r="E722" t="s">
        <v>46</v>
      </c>
      <c r="F722" t="s">
        <v>23</v>
      </c>
      <c r="G722" t="s">
        <v>24</v>
      </c>
      <c r="H722">
        <v>159</v>
      </c>
      <c r="I722">
        <v>5</v>
      </c>
      <c r="J722">
        <v>795</v>
      </c>
    </row>
    <row r="723" spans="1:10" x14ac:dyDescent="0.35">
      <c r="A723" s="3" t="s">
        <v>768</v>
      </c>
      <c r="B723" s="4">
        <v>43319</v>
      </c>
      <c r="C723">
        <v>11</v>
      </c>
      <c r="D723" t="s">
        <v>11</v>
      </c>
      <c r="E723" t="s">
        <v>63</v>
      </c>
      <c r="F723" t="s">
        <v>13</v>
      </c>
      <c r="G723" t="s">
        <v>24</v>
      </c>
      <c r="H723">
        <v>159</v>
      </c>
      <c r="I723">
        <v>4</v>
      </c>
      <c r="J723">
        <v>636</v>
      </c>
    </row>
    <row r="724" spans="1:10" x14ac:dyDescent="0.35">
      <c r="A724" s="3" t="s">
        <v>769</v>
      </c>
      <c r="B724" s="4">
        <v>43320</v>
      </c>
      <c r="C724">
        <v>8</v>
      </c>
      <c r="D724" t="s">
        <v>45</v>
      </c>
      <c r="E724" t="s">
        <v>46</v>
      </c>
      <c r="F724" t="s">
        <v>23</v>
      </c>
      <c r="G724" t="s">
        <v>41</v>
      </c>
      <c r="H724">
        <v>399</v>
      </c>
      <c r="I724">
        <v>2</v>
      </c>
      <c r="J724">
        <v>798</v>
      </c>
    </row>
    <row r="725" spans="1:10" x14ac:dyDescent="0.35">
      <c r="A725" s="3" t="s">
        <v>770</v>
      </c>
      <c r="B725" s="4">
        <v>43320</v>
      </c>
      <c r="C725">
        <v>7</v>
      </c>
      <c r="D725" t="s">
        <v>88</v>
      </c>
      <c r="E725" t="s">
        <v>46</v>
      </c>
      <c r="F725" t="s">
        <v>23</v>
      </c>
      <c r="G725" t="s">
        <v>19</v>
      </c>
      <c r="H725">
        <v>289</v>
      </c>
      <c r="I725">
        <v>5</v>
      </c>
      <c r="J725">
        <v>1445</v>
      </c>
    </row>
    <row r="726" spans="1:10" x14ac:dyDescent="0.35">
      <c r="A726" s="3" t="s">
        <v>771</v>
      </c>
      <c r="B726" s="4">
        <v>43320</v>
      </c>
      <c r="C726">
        <v>8</v>
      </c>
      <c r="D726" t="s">
        <v>45</v>
      </c>
      <c r="E726" t="s">
        <v>22</v>
      </c>
      <c r="F726" t="s">
        <v>23</v>
      </c>
      <c r="G726" t="s">
        <v>19</v>
      </c>
      <c r="H726">
        <v>289</v>
      </c>
      <c r="I726">
        <v>2</v>
      </c>
      <c r="J726">
        <v>578</v>
      </c>
    </row>
    <row r="727" spans="1:10" x14ac:dyDescent="0.35">
      <c r="A727" s="3" t="s">
        <v>772</v>
      </c>
      <c r="B727" s="4">
        <v>43320</v>
      </c>
      <c r="C727">
        <v>8</v>
      </c>
      <c r="D727" t="s">
        <v>45</v>
      </c>
      <c r="E727" t="s">
        <v>46</v>
      </c>
      <c r="F727" t="s">
        <v>23</v>
      </c>
      <c r="G727" t="s">
        <v>19</v>
      </c>
      <c r="H727">
        <v>289</v>
      </c>
      <c r="I727">
        <v>1</v>
      </c>
      <c r="J727">
        <v>289</v>
      </c>
    </row>
    <row r="728" spans="1:10" x14ac:dyDescent="0.35">
      <c r="A728" s="3" t="s">
        <v>773</v>
      </c>
      <c r="B728" s="4">
        <v>43320</v>
      </c>
      <c r="C728">
        <v>17</v>
      </c>
      <c r="D728" t="s">
        <v>35</v>
      </c>
      <c r="E728" t="s">
        <v>36</v>
      </c>
      <c r="F728" t="s">
        <v>28</v>
      </c>
      <c r="G728" t="s">
        <v>31</v>
      </c>
      <c r="H728">
        <v>69</v>
      </c>
      <c r="I728">
        <v>3</v>
      </c>
      <c r="J728">
        <v>207</v>
      </c>
    </row>
    <row r="729" spans="1:10" x14ac:dyDescent="0.35">
      <c r="A729" s="3" t="s">
        <v>774</v>
      </c>
      <c r="B729" s="4">
        <v>43321</v>
      </c>
      <c r="C729">
        <v>10</v>
      </c>
      <c r="D729" t="s">
        <v>58</v>
      </c>
      <c r="E729" t="s">
        <v>22</v>
      </c>
      <c r="F729" t="s">
        <v>23</v>
      </c>
      <c r="G729" t="s">
        <v>19</v>
      </c>
      <c r="H729">
        <v>289</v>
      </c>
      <c r="I729">
        <v>7</v>
      </c>
      <c r="J729">
        <v>2023</v>
      </c>
    </row>
    <row r="730" spans="1:10" x14ac:dyDescent="0.35">
      <c r="A730" s="3" t="s">
        <v>775</v>
      </c>
      <c r="B730" s="4">
        <v>43321</v>
      </c>
      <c r="C730">
        <v>6</v>
      </c>
      <c r="D730" t="s">
        <v>48</v>
      </c>
      <c r="E730" t="s">
        <v>46</v>
      </c>
      <c r="F730" t="s">
        <v>23</v>
      </c>
      <c r="G730" t="s">
        <v>14</v>
      </c>
      <c r="H730">
        <v>199</v>
      </c>
      <c r="I730">
        <v>7</v>
      </c>
      <c r="J730">
        <v>1393</v>
      </c>
    </row>
    <row r="731" spans="1:10" x14ac:dyDescent="0.35">
      <c r="A731" s="3" t="s">
        <v>776</v>
      </c>
      <c r="B731" s="4">
        <v>43322</v>
      </c>
      <c r="C731">
        <v>18</v>
      </c>
      <c r="D731" t="s">
        <v>26</v>
      </c>
      <c r="E731" t="s">
        <v>36</v>
      </c>
      <c r="F731" t="s">
        <v>28</v>
      </c>
      <c r="G731" t="s">
        <v>41</v>
      </c>
      <c r="H731">
        <v>399</v>
      </c>
      <c r="I731">
        <v>4</v>
      </c>
      <c r="J731">
        <v>1596</v>
      </c>
    </row>
    <row r="732" spans="1:10" x14ac:dyDescent="0.35">
      <c r="A732" s="3" t="s">
        <v>777</v>
      </c>
      <c r="B732" s="4">
        <v>43322</v>
      </c>
      <c r="C732">
        <v>13</v>
      </c>
      <c r="D732" t="s">
        <v>33</v>
      </c>
      <c r="E732" t="s">
        <v>12</v>
      </c>
      <c r="F732" t="s">
        <v>13</v>
      </c>
      <c r="G732" t="s">
        <v>41</v>
      </c>
      <c r="H732">
        <v>399</v>
      </c>
      <c r="I732">
        <v>4</v>
      </c>
      <c r="J732">
        <v>1596</v>
      </c>
    </row>
    <row r="733" spans="1:10" x14ac:dyDescent="0.35">
      <c r="A733" s="3" t="s">
        <v>778</v>
      </c>
      <c r="B733" s="4">
        <v>43322</v>
      </c>
      <c r="C733">
        <v>1</v>
      </c>
      <c r="D733" t="s">
        <v>16</v>
      </c>
      <c r="E733" t="s">
        <v>68</v>
      </c>
      <c r="F733" t="s">
        <v>18</v>
      </c>
      <c r="G733" t="s">
        <v>19</v>
      </c>
      <c r="H733">
        <v>289</v>
      </c>
      <c r="I733">
        <v>6</v>
      </c>
      <c r="J733">
        <v>1734</v>
      </c>
    </row>
    <row r="734" spans="1:10" x14ac:dyDescent="0.35">
      <c r="A734" s="3" t="s">
        <v>779</v>
      </c>
      <c r="B734" s="4">
        <v>43322</v>
      </c>
      <c r="C734">
        <v>17</v>
      </c>
      <c r="D734" t="s">
        <v>35</v>
      </c>
      <c r="E734" t="s">
        <v>36</v>
      </c>
      <c r="F734" t="s">
        <v>28</v>
      </c>
      <c r="G734" t="s">
        <v>24</v>
      </c>
      <c r="H734">
        <v>159</v>
      </c>
      <c r="I734">
        <v>4</v>
      </c>
      <c r="J734">
        <v>636</v>
      </c>
    </row>
    <row r="735" spans="1:10" x14ac:dyDescent="0.35">
      <c r="A735" s="3" t="s">
        <v>780</v>
      </c>
      <c r="B735" s="4">
        <v>43322</v>
      </c>
      <c r="C735">
        <v>3</v>
      </c>
      <c r="D735" t="s">
        <v>43</v>
      </c>
      <c r="E735" t="s">
        <v>17</v>
      </c>
      <c r="F735" t="s">
        <v>18</v>
      </c>
      <c r="G735" t="s">
        <v>19</v>
      </c>
      <c r="H735">
        <v>289</v>
      </c>
      <c r="I735">
        <v>2</v>
      </c>
      <c r="J735">
        <v>578</v>
      </c>
    </row>
    <row r="736" spans="1:10" x14ac:dyDescent="0.35">
      <c r="A736" s="3" t="s">
        <v>781</v>
      </c>
      <c r="B736" s="4">
        <v>43323</v>
      </c>
      <c r="C736">
        <v>3</v>
      </c>
      <c r="D736" t="s">
        <v>43</v>
      </c>
      <c r="E736" t="s">
        <v>68</v>
      </c>
      <c r="F736" t="s">
        <v>18</v>
      </c>
      <c r="G736" t="s">
        <v>41</v>
      </c>
      <c r="H736">
        <v>399</v>
      </c>
      <c r="I736">
        <v>0</v>
      </c>
      <c r="J736">
        <v>0</v>
      </c>
    </row>
    <row r="737" spans="1:10" x14ac:dyDescent="0.35">
      <c r="A737" s="3" t="s">
        <v>782</v>
      </c>
      <c r="B737" s="4">
        <v>43323</v>
      </c>
      <c r="C737">
        <v>14</v>
      </c>
      <c r="D737" t="s">
        <v>38</v>
      </c>
      <c r="E737" t="s">
        <v>12</v>
      </c>
      <c r="F737" t="s">
        <v>13</v>
      </c>
      <c r="G737" t="s">
        <v>24</v>
      </c>
      <c r="H737">
        <v>159</v>
      </c>
      <c r="I737">
        <v>6</v>
      </c>
      <c r="J737">
        <v>954</v>
      </c>
    </row>
    <row r="738" spans="1:10" x14ac:dyDescent="0.35">
      <c r="A738" s="3" t="s">
        <v>783</v>
      </c>
      <c r="B738" s="4">
        <v>43323</v>
      </c>
      <c r="C738">
        <v>12</v>
      </c>
      <c r="D738" t="s">
        <v>66</v>
      </c>
      <c r="E738" t="s">
        <v>63</v>
      </c>
      <c r="F738" t="s">
        <v>13</v>
      </c>
      <c r="G738" t="s">
        <v>24</v>
      </c>
      <c r="H738">
        <v>159</v>
      </c>
      <c r="I738">
        <v>5</v>
      </c>
      <c r="J738">
        <v>795</v>
      </c>
    </row>
    <row r="739" spans="1:10" x14ac:dyDescent="0.35">
      <c r="A739" s="3" t="s">
        <v>784</v>
      </c>
      <c r="B739" s="4">
        <v>43324</v>
      </c>
      <c r="C739">
        <v>8</v>
      </c>
      <c r="D739" t="s">
        <v>45</v>
      </c>
      <c r="E739" t="s">
        <v>22</v>
      </c>
      <c r="F739" t="s">
        <v>23</v>
      </c>
      <c r="G739" t="s">
        <v>41</v>
      </c>
      <c r="H739">
        <v>399</v>
      </c>
      <c r="I739">
        <v>7</v>
      </c>
      <c r="J739">
        <v>2793</v>
      </c>
    </row>
    <row r="740" spans="1:10" x14ac:dyDescent="0.35">
      <c r="A740" s="3" t="s">
        <v>785</v>
      </c>
      <c r="B740" s="4">
        <v>43325</v>
      </c>
      <c r="C740">
        <v>1</v>
      </c>
      <c r="D740" t="s">
        <v>16</v>
      </c>
      <c r="E740" t="s">
        <v>68</v>
      </c>
      <c r="F740" t="s">
        <v>18</v>
      </c>
      <c r="G740" t="s">
        <v>31</v>
      </c>
      <c r="H740">
        <v>69</v>
      </c>
      <c r="I740">
        <v>6</v>
      </c>
      <c r="J740">
        <v>414</v>
      </c>
    </row>
    <row r="741" spans="1:10" x14ac:dyDescent="0.35">
      <c r="A741" s="3" t="s">
        <v>786</v>
      </c>
      <c r="B741" s="4">
        <v>43325</v>
      </c>
      <c r="C741">
        <v>19</v>
      </c>
      <c r="D741" t="s">
        <v>56</v>
      </c>
      <c r="E741" t="s">
        <v>36</v>
      </c>
      <c r="F741" t="s">
        <v>28</v>
      </c>
      <c r="G741" t="s">
        <v>14</v>
      </c>
      <c r="H741">
        <v>199</v>
      </c>
      <c r="I741">
        <v>4</v>
      </c>
      <c r="J741">
        <v>796</v>
      </c>
    </row>
    <row r="742" spans="1:10" x14ac:dyDescent="0.35">
      <c r="A742" s="3" t="s">
        <v>787</v>
      </c>
      <c r="B742" s="4">
        <v>43326</v>
      </c>
      <c r="C742">
        <v>1</v>
      </c>
      <c r="D742" t="s">
        <v>16</v>
      </c>
      <c r="E742" t="s">
        <v>68</v>
      </c>
      <c r="F742" t="s">
        <v>18</v>
      </c>
      <c r="G742" t="s">
        <v>19</v>
      </c>
      <c r="H742">
        <v>289</v>
      </c>
      <c r="I742">
        <v>7</v>
      </c>
      <c r="J742">
        <v>2023</v>
      </c>
    </row>
    <row r="743" spans="1:10" x14ac:dyDescent="0.35">
      <c r="A743" s="3" t="s">
        <v>788</v>
      </c>
      <c r="B743" s="4">
        <v>43326</v>
      </c>
      <c r="C743">
        <v>18</v>
      </c>
      <c r="D743" t="s">
        <v>26</v>
      </c>
      <c r="E743" t="s">
        <v>36</v>
      </c>
      <c r="F743" t="s">
        <v>28</v>
      </c>
      <c r="G743" t="s">
        <v>19</v>
      </c>
      <c r="H743">
        <v>289</v>
      </c>
      <c r="I743">
        <v>0</v>
      </c>
      <c r="J743">
        <v>0</v>
      </c>
    </row>
    <row r="744" spans="1:10" x14ac:dyDescent="0.35">
      <c r="A744" s="3" t="s">
        <v>789</v>
      </c>
      <c r="B744" s="4">
        <v>43327</v>
      </c>
      <c r="C744">
        <v>19</v>
      </c>
      <c r="D744" t="s">
        <v>56</v>
      </c>
      <c r="E744" t="s">
        <v>27</v>
      </c>
      <c r="F744" t="s">
        <v>28</v>
      </c>
      <c r="G744" t="s">
        <v>31</v>
      </c>
      <c r="H744">
        <v>69</v>
      </c>
      <c r="I744">
        <v>9</v>
      </c>
      <c r="J744">
        <v>621</v>
      </c>
    </row>
    <row r="745" spans="1:10" x14ac:dyDescent="0.35">
      <c r="A745" s="3" t="s">
        <v>790</v>
      </c>
      <c r="B745" s="4">
        <v>43328</v>
      </c>
      <c r="C745">
        <v>12</v>
      </c>
      <c r="D745" t="s">
        <v>66</v>
      </c>
      <c r="E745" t="s">
        <v>63</v>
      </c>
      <c r="F745" t="s">
        <v>13</v>
      </c>
      <c r="G745" t="s">
        <v>31</v>
      </c>
      <c r="H745">
        <v>69</v>
      </c>
      <c r="I745">
        <v>5</v>
      </c>
      <c r="J745">
        <v>345</v>
      </c>
    </row>
    <row r="746" spans="1:10" x14ac:dyDescent="0.35">
      <c r="A746" s="3" t="s">
        <v>791</v>
      </c>
      <c r="B746" s="4">
        <v>43328</v>
      </c>
      <c r="C746">
        <v>8</v>
      </c>
      <c r="D746" t="s">
        <v>45</v>
      </c>
      <c r="E746" t="s">
        <v>22</v>
      </c>
      <c r="F746" t="s">
        <v>23</v>
      </c>
      <c r="G746" t="s">
        <v>41</v>
      </c>
      <c r="H746">
        <v>399</v>
      </c>
      <c r="I746">
        <v>0</v>
      </c>
      <c r="J746">
        <v>0</v>
      </c>
    </row>
    <row r="747" spans="1:10" x14ac:dyDescent="0.35">
      <c r="A747" s="3" t="s">
        <v>792</v>
      </c>
      <c r="B747" s="4">
        <v>43329</v>
      </c>
      <c r="C747">
        <v>2</v>
      </c>
      <c r="D747" t="s">
        <v>106</v>
      </c>
      <c r="E747" t="s">
        <v>68</v>
      </c>
      <c r="F747" t="s">
        <v>18</v>
      </c>
      <c r="G747" t="s">
        <v>24</v>
      </c>
      <c r="H747">
        <v>159</v>
      </c>
      <c r="I747">
        <v>8</v>
      </c>
      <c r="J747">
        <v>1272</v>
      </c>
    </row>
    <row r="748" spans="1:10" x14ac:dyDescent="0.35">
      <c r="A748" s="3" t="s">
        <v>793</v>
      </c>
      <c r="B748" s="4">
        <v>43329</v>
      </c>
      <c r="C748">
        <v>6</v>
      </c>
      <c r="D748" t="s">
        <v>48</v>
      </c>
      <c r="E748" t="s">
        <v>22</v>
      </c>
      <c r="F748" t="s">
        <v>23</v>
      </c>
      <c r="G748" t="s">
        <v>14</v>
      </c>
      <c r="H748">
        <v>199</v>
      </c>
      <c r="I748">
        <v>3</v>
      </c>
      <c r="J748">
        <v>597</v>
      </c>
    </row>
    <row r="749" spans="1:10" x14ac:dyDescent="0.35">
      <c r="A749" s="3" t="s">
        <v>794</v>
      </c>
      <c r="B749" s="4">
        <v>43330</v>
      </c>
      <c r="C749">
        <v>8</v>
      </c>
      <c r="D749" t="s">
        <v>45</v>
      </c>
      <c r="E749" t="s">
        <v>22</v>
      </c>
      <c r="F749" t="s">
        <v>23</v>
      </c>
      <c r="G749" t="s">
        <v>14</v>
      </c>
      <c r="H749">
        <v>199</v>
      </c>
      <c r="I749">
        <v>7</v>
      </c>
      <c r="J749">
        <v>1393</v>
      </c>
    </row>
    <row r="750" spans="1:10" x14ac:dyDescent="0.35">
      <c r="A750" s="3" t="s">
        <v>795</v>
      </c>
      <c r="B750" s="4">
        <v>43330</v>
      </c>
      <c r="C750">
        <v>11</v>
      </c>
      <c r="D750" t="s">
        <v>11</v>
      </c>
      <c r="E750" t="s">
        <v>63</v>
      </c>
      <c r="F750" t="s">
        <v>13</v>
      </c>
      <c r="G750" t="s">
        <v>19</v>
      </c>
      <c r="H750">
        <v>289</v>
      </c>
      <c r="I750">
        <v>3</v>
      </c>
      <c r="J750">
        <v>867</v>
      </c>
    </row>
    <row r="751" spans="1:10" x14ac:dyDescent="0.35">
      <c r="A751" s="3" t="s">
        <v>796</v>
      </c>
      <c r="B751" s="4">
        <v>43330</v>
      </c>
      <c r="C751">
        <v>20</v>
      </c>
      <c r="D751" t="s">
        <v>40</v>
      </c>
      <c r="E751" t="s">
        <v>36</v>
      </c>
      <c r="F751" t="s">
        <v>28</v>
      </c>
      <c r="G751" t="s">
        <v>24</v>
      </c>
      <c r="H751">
        <v>159</v>
      </c>
      <c r="I751">
        <v>9</v>
      </c>
      <c r="J751">
        <v>1431</v>
      </c>
    </row>
    <row r="752" spans="1:10" x14ac:dyDescent="0.35">
      <c r="A752" s="3" t="s">
        <v>797</v>
      </c>
      <c r="B752" s="4">
        <v>43330</v>
      </c>
      <c r="C752">
        <v>10</v>
      </c>
      <c r="D752" t="s">
        <v>58</v>
      </c>
      <c r="E752" t="s">
        <v>22</v>
      </c>
      <c r="F752" t="s">
        <v>23</v>
      </c>
      <c r="G752" t="s">
        <v>19</v>
      </c>
      <c r="H752">
        <v>289</v>
      </c>
      <c r="I752">
        <v>5</v>
      </c>
      <c r="J752">
        <v>1445</v>
      </c>
    </row>
    <row r="753" spans="1:10" x14ac:dyDescent="0.35">
      <c r="A753" s="3" t="s">
        <v>798</v>
      </c>
      <c r="B753" s="4">
        <v>43331</v>
      </c>
      <c r="C753">
        <v>8</v>
      </c>
      <c r="D753" t="s">
        <v>45</v>
      </c>
      <c r="E753" t="s">
        <v>46</v>
      </c>
      <c r="F753" t="s">
        <v>23</v>
      </c>
      <c r="G753" t="s">
        <v>41</v>
      </c>
      <c r="H753">
        <v>399</v>
      </c>
      <c r="I753">
        <v>1</v>
      </c>
      <c r="J753">
        <v>399</v>
      </c>
    </row>
    <row r="754" spans="1:10" x14ac:dyDescent="0.35">
      <c r="A754" s="3" t="s">
        <v>799</v>
      </c>
      <c r="B754" s="4">
        <v>43331</v>
      </c>
      <c r="C754">
        <v>5</v>
      </c>
      <c r="D754" t="s">
        <v>60</v>
      </c>
      <c r="E754" t="s">
        <v>17</v>
      </c>
      <c r="F754" t="s">
        <v>18</v>
      </c>
      <c r="G754" t="s">
        <v>41</v>
      </c>
      <c r="H754">
        <v>399</v>
      </c>
      <c r="I754">
        <v>6</v>
      </c>
      <c r="J754">
        <v>2394</v>
      </c>
    </row>
    <row r="755" spans="1:10" x14ac:dyDescent="0.35">
      <c r="A755" s="3" t="s">
        <v>800</v>
      </c>
      <c r="B755" s="4">
        <v>43332</v>
      </c>
      <c r="C755">
        <v>14</v>
      </c>
      <c r="D755" t="s">
        <v>38</v>
      </c>
      <c r="E755" t="s">
        <v>63</v>
      </c>
      <c r="F755" t="s">
        <v>13</v>
      </c>
      <c r="G755" t="s">
        <v>14</v>
      </c>
      <c r="H755">
        <v>199</v>
      </c>
      <c r="I755">
        <v>2</v>
      </c>
      <c r="J755">
        <v>398</v>
      </c>
    </row>
    <row r="756" spans="1:10" x14ac:dyDescent="0.35">
      <c r="A756" s="3" t="s">
        <v>801</v>
      </c>
      <c r="B756" s="4">
        <v>43332</v>
      </c>
      <c r="C756">
        <v>20</v>
      </c>
      <c r="D756" t="s">
        <v>40</v>
      </c>
      <c r="E756" t="s">
        <v>27</v>
      </c>
      <c r="F756" t="s">
        <v>28</v>
      </c>
      <c r="G756" t="s">
        <v>14</v>
      </c>
      <c r="H756">
        <v>199</v>
      </c>
      <c r="I756">
        <v>6</v>
      </c>
      <c r="J756">
        <v>1194</v>
      </c>
    </row>
    <row r="757" spans="1:10" x14ac:dyDescent="0.35">
      <c r="A757" s="3" t="s">
        <v>802</v>
      </c>
      <c r="B757" s="4">
        <v>43332</v>
      </c>
      <c r="C757">
        <v>17</v>
      </c>
      <c r="D757" t="s">
        <v>35</v>
      </c>
      <c r="E757" t="s">
        <v>27</v>
      </c>
      <c r="F757" t="s">
        <v>28</v>
      </c>
      <c r="G757" t="s">
        <v>41</v>
      </c>
      <c r="H757">
        <v>399</v>
      </c>
      <c r="I757">
        <v>6</v>
      </c>
      <c r="J757">
        <v>2394</v>
      </c>
    </row>
    <row r="758" spans="1:10" x14ac:dyDescent="0.35">
      <c r="A758" s="3" t="s">
        <v>803</v>
      </c>
      <c r="B758" s="4">
        <v>43332</v>
      </c>
      <c r="C758">
        <v>13</v>
      </c>
      <c r="D758" t="s">
        <v>33</v>
      </c>
      <c r="E758" t="s">
        <v>63</v>
      </c>
      <c r="F758" t="s">
        <v>13</v>
      </c>
      <c r="G758" t="s">
        <v>19</v>
      </c>
      <c r="H758">
        <v>289</v>
      </c>
      <c r="I758">
        <v>0</v>
      </c>
      <c r="J758">
        <v>0</v>
      </c>
    </row>
    <row r="759" spans="1:10" x14ac:dyDescent="0.35">
      <c r="A759" s="3" t="s">
        <v>804</v>
      </c>
      <c r="B759" s="4">
        <v>43332</v>
      </c>
      <c r="C759">
        <v>10</v>
      </c>
      <c r="D759" t="s">
        <v>58</v>
      </c>
      <c r="E759" t="s">
        <v>46</v>
      </c>
      <c r="F759" t="s">
        <v>23</v>
      </c>
      <c r="G759" t="s">
        <v>41</v>
      </c>
      <c r="H759">
        <v>399</v>
      </c>
      <c r="I759">
        <v>4</v>
      </c>
      <c r="J759">
        <v>1596</v>
      </c>
    </row>
    <row r="760" spans="1:10" x14ac:dyDescent="0.35">
      <c r="A760" s="3" t="s">
        <v>805</v>
      </c>
      <c r="B760" s="4">
        <v>43332</v>
      </c>
      <c r="C760">
        <v>3</v>
      </c>
      <c r="D760" t="s">
        <v>43</v>
      </c>
      <c r="E760" t="s">
        <v>68</v>
      </c>
      <c r="F760" t="s">
        <v>18</v>
      </c>
      <c r="G760" t="s">
        <v>19</v>
      </c>
      <c r="H760">
        <v>289</v>
      </c>
      <c r="I760">
        <v>1</v>
      </c>
      <c r="J760">
        <v>289</v>
      </c>
    </row>
    <row r="761" spans="1:10" x14ac:dyDescent="0.35">
      <c r="A761" s="3" t="s">
        <v>806</v>
      </c>
      <c r="B761" s="4">
        <v>43333</v>
      </c>
      <c r="C761">
        <v>19</v>
      </c>
      <c r="D761" t="s">
        <v>56</v>
      </c>
      <c r="E761" t="s">
        <v>36</v>
      </c>
      <c r="F761" t="s">
        <v>28</v>
      </c>
      <c r="G761" t="s">
        <v>41</v>
      </c>
      <c r="H761">
        <v>399</v>
      </c>
      <c r="I761">
        <v>6</v>
      </c>
      <c r="J761">
        <v>2394</v>
      </c>
    </row>
    <row r="762" spans="1:10" x14ac:dyDescent="0.35">
      <c r="A762" s="3" t="s">
        <v>807</v>
      </c>
      <c r="B762" s="4">
        <v>43333</v>
      </c>
      <c r="C762">
        <v>16</v>
      </c>
      <c r="D762" t="s">
        <v>30</v>
      </c>
      <c r="E762" t="s">
        <v>36</v>
      </c>
      <c r="F762" t="s">
        <v>28</v>
      </c>
      <c r="G762" t="s">
        <v>24</v>
      </c>
      <c r="H762">
        <v>159</v>
      </c>
      <c r="I762">
        <v>6</v>
      </c>
      <c r="J762">
        <v>954</v>
      </c>
    </row>
    <row r="763" spans="1:10" x14ac:dyDescent="0.35">
      <c r="A763" s="3" t="s">
        <v>808</v>
      </c>
      <c r="B763" s="4">
        <v>43333</v>
      </c>
      <c r="C763">
        <v>16</v>
      </c>
      <c r="D763" t="s">
        <v>30</v>
      </c>
      <c r="E763" t="s">
        <v>36</v>
      </c>
      <c r="F763" t="s">
        <v>28</v>
      </c>
      <c r="G763" t="s">
        <v>19</v>
      </c>
      <c r="H763">
        <v>289</v>
      </c>
      <c r="I763">
        <v>2</v>
      </c>
      <c r="J763">
        <v>578</v>
      </c>
    </row>
    <row r="764" spans="1:10" x14ac:dyDescent="0.35">
      <c r="A764" s="3" t="s">
        <v>809</v>
      </c>
      <c r="B764" s="4">
        <v>43333</v>
      </c>
      <c r="C764">
        <v>17</v>
      </c>
      <c r="D764" t="s">
        <v>35</v>
      </c>
      <c r="E764" t="s">
        <v>27</v>
      </c>
      <c r="F764" t="s">
        <v>28</v>
      </c>
      <c r="G764" t="s">
        <v>31</v>
      </c>
      <c r="H764">
        <v>69</v>
      </c>
      <c r="I764">
        <v>8</v>
      </c>
      <c r="J764">
        <v>552</v>
      </c>
    </row>
    <row r="765" spans="1:10" x14ac:dyDescent="0.35">
      <c r="A765" s="3" t="s">
        <v>810</v>
      </c>
      <c r="B765" s="4">
        <v>43334</v>
      </c>
      <c r="C765">
        <v>8</v>
      </c>
      <c r="D765" t="s">
        <v>45</v>
      </c>
      <c r="E765" t="s">
        <v>46</v>
      </c>
      <c r="F765" t="s">
        <v>23</v>
      </c>
      <c r="G765" t="s">
        <v>41</v>
      </c>
      <c r="H765">
        <v>399</v>
      </c>
      <c r="I765">
        <v>2</v>
      </c>
      <c r="J765">
        <v>798</v>
      </c>
    </row>
    <row r="766" spans="1:10" x14ac:dyDescent="0.35">
      <c r="A766" s="3" t="s">
        <v>811</v>
      </c>
      <c r="B766" s="4">
        <v>43334</v>
      </c>
      <c r="C766">
        <v>19</v>
      </c>
      <c r="D766" t="s">
        <v>56</v>
      </c>
      <c r="E766" t="s">
        <v>36</v>
      </c>
      <c r="F766" t="s">
        <v>28</v>
      </c>
      <c r="G766" t="s">
        <v>24</v>
      </c>
      <c r="H766">
        <v>159</v>
      </c>
      <c r="I766">
        <v>8</v>
      </c>
      <c r="J766">
        <v>1272</v>
      </c>
    </row>
    <row r="767" spans="1:10" x14ac:dyDescent="0.35">
      <c r="A767" s="3" t="s">
        <v>812</v>
      </c>
      <c r="B767" s="4">
        <v>43334</v>
      </c>
      <c r="C767">
        <v>14</v>
      </c>
      <c r="D767" t="s">
        <v>38</v>
      </c>
      <c r="E767" t="s">
        <v>63</v>
      </c>
      <c r="F767" t="s">
        <v>13</v>
      </c>
      <c r="G767" t="s">
        <v>41</v>
      </c>
      <c r="H767">
        <v>399</v>
      </c>
      <c r="I767">
        <v>9</v>
      </c>
      <c r="J767">
        <v>3591</v>
      </c>
    </row>
    <row r="768" spans="1:10" x14ac:dyDescent="0.35">
      <c r="A768" s="3" t="s">
        <v>813</v>
      </c>
      <c r="B768" s="4">
        <v>43335</v>
      </c>
      <c r="C768">
        <v>13</v>
      </c>
      <c r="D768" t="s">
        <v>33</v>
      </c>
      <c r="E768" t="s">
        <v>12</v>
      </c>
      <c r="F768" t="s">
        <v>13</v>
      </c>
      <c r="G768" t="s">
        <v>14</v>
      </c>
      <c r="H768">
        <v>199</v>
      </c>
      <c r="I768">
        <v>1</v>
      </c>
      <c r="J768">
        <v>199</v>
      </c>
    </row>
    <row r="769" spans="1:10" x14ac:dyDescent="0.35">
      <c r="A769" s="3" t="s">
        <v>814</v>
      </c>
      <c r="B769" s="4">
        <v>43336</v>
      </c>
      <c r="C769">
        <v>15</v>
      </c>
      <c r="D769" t="s">
        <v>118</v>
      </c>
      <c r="E769" t="s">
        <v>63</v>
      </c>
      <c r="F769" t="s">
        <v>13</v>
      </c>
      <c r="G769" t="s">
        <v>24</v>
      </c>
      <c r="H769">
        <v>159</v>
      </c>
      <c r="I769">
        <v>1</v>
      </c>
      <c r="J769">
        <v>159</v>
      </c>
    </row>
    <row r="770" spans="1:10" x14ac:dyDescent="0.35">
      <c r="A770" s="3" t="s">
        <v>815</v>
      </c>
      <c r="B770" s="4">
        <v>43337</v>
      </c>
      <c r="C770">
        <v>7</v>
      </c>
      <c r="D770" t="s">
        <v>88</v>
      </c>
      <c r="E770" t="s">
        <v>22</v>
      </c>
      <c r="F770" t="s">
        <v>23</v>
      </c>
      <c r="G770" t="s">
        <v>41</v>
      </c>
      <c r="H770">
        <v>399</v>
      </c>
      <c r="I770">
        <v>6</v>
      </c>
      <c r="J770">
        <v>2394</v>
      </c>
    </row>
    <row r="771" spans="1:10" x14ac:dyDescent="0.35">
      <c r="A771" s="3" t="s">
        <v>816</v>
      </c>
      <c r="B771" s="4">
        <v>43337</v>
      </c>
      <c r="C771">
        <v>11</v>
      </c>
      <c r="D771" t="s">
        <v>11</v>
      </c>
      <c r="E771" t="s">
        <v>12</v>
      </c>
      <c r="F771" t="s">
        <v>13</v>
      </c>
      <c r="G771" t="s">
        <v>41</v>
      </c>
      <c r="H771">
        <v>399</v>
      </c>
      <c r="I771">
        <v>0</v>
      </c>
      <c r="J771">
        <v>0</v>
      </c>
    </row>
    <row r="772" spans="1:10" x14ac:dyDescent="0.35">
      <c r="A772" s="3" t="s">
        <v>817</v>
      </c>
      <c r="B772" s="4">
        <v>43338</v>
      </c>
      <c r="C772">
        <v>4</v>
      </c>
      <c r="D772" t="s">
        <v>51</v>
      </c>
      <c r="E772" t="s">
        <v>17</v>
      </c>
      <c r="F772" t="s">
        <v>18</v>
      </c>
      <c r="G772" t="s">
        <v>19</v>
      </c>
      <c r="H772">
        <v>289</v>
      </c>
      <c r="I772">
        <v>2</v>
      </c>
      <c r="J772">
        <v>578</v>
      </c>
    </row>
    <row r="773" spans="1:10" x14ac:dyDescent="0.35">
      <c r="A773" s="3" t="s">
        <v>818</v>
      </c>
      <c r="B773" s="4">
        <v>43338</v>
      </c>
      <c r="C773">
        <v>6</v>
      </c>
      <c r="D773" t="s">
        <v>48</v>
      </c>
      <c r="E773" t="s">
        <v>46</v>
      </c>
      <c r="F773" t="s">
        <v>23</v>
      </c>
      <c r="G773" t="s">
        <v>19</v>
      </c>
      <c r="H773">
        <v>289</v>
      </c>
      <c r="I773">
        <v>3</v>
      </c>
      <c r="J773">
        <v>867</v>
      </c>
    </row>
    <row r="774" spans="1:10" x14ac:dyDescent="0.35">
      <c r="A774" s="3" t="s">
        <v>819</v>
      </c>
      <c r="B774" s="4">
        <v>43338</v>
      </c>
      <c r="C774">
        <v>20</v>
      </c>
      <c r="D774" t="s">
        <v>40</v>
      </c>
      <c r="E774" t="s">
        <v>36</v>
      </c>
      <c r="F774" t="s">
        <v>28</v>
      </c>
      <c r="G774" t="s">
        <v>31</v>
      </c>
      <c r="H774">
        <v>69</v>
      </c>
      <c r="I774">
        <v>0</v>
      </c>
      <c r="J774">
        <v>0</v>
      </c>
    </row>
    <row r="775" spans="1:10" x14ac:dyDescent="0.35">
      <c r="A775" s="3" t="s">
        <v>820</v>
      </c>
      <c r="B775" s="4">
        <v>43338</v>
      </c>
      <c r="C775">
        <v>15</v>
      </c>
      <c r="D775" t="s">
        <v>118</v>
      </c>
      <c r="E775" t="s">
        <v>12</v>
      </c>
      <c r="F775" t="s">
        <v>13</v>
      </c>
      <c r="G775" t="s">
        <v>31</v>
      </c>
      <c r="H775">
        <v>69</v>
      </c>
      <c r="I775">
        <v>2</v>
      </c>
      <c r="J775">
        <v>138</v>
      </c>
    </row>
    <row r="776" spans="1:10" x14ac:dyDescent="0.35">
      <c r="A776" s="3" t="s">
        <v>821</v>
      </c>
      <c r="B776" s="4">
        <v>43338</v>
      </c>
      <c r="C776">
        <v>13</v>
      </c>
      <c r="D776" t="s">
        <v>33</v>
      </c>
      <c r="E776" t="s">
        <v>63</v>
      </c>
      <c r="F776" t="s">
        <v>13</v>
      </c>
      <c r="G776" t="s">
        <v>41</v>
      </c>
      <c r="H776">
        <v>399</v>
      </c>
      <c r="I776">
        <v>1</v>
      </c>
      <c r="J776">
        <v>399</v>
      </c>
    </row>
    <row r="777" spans="1:10" x14ac:dyDescent="0.35">
      <c r="A777" s="3" t="s">
        <v>822</v>
      </c>
      <c r="B777" s="4">
        <v>43339</v>
      </c>
      <c r="C777">
        <v>17</v>
      </c>
      <c r="D777" t="s">
        <v>35</v>
      </c>
      <c r="E777" t="s">
        <v>36</v>
      </c>
      <c r="F777" t="s">
        <v>28</v>
      </c>
      <c r="G777" t="s">
        <v>41</v>
      </c>
      <c r="H777">
        <v>399</v>
      </c>
      <c r="I777">
        <v>2</v>
      </c>
      <c r="J777">
        <v>798</v>
      </c>
    </row>
    <row r="778" spans="1:10" x14ac:dyDescent="0.35">
      <c r="A778" s="3" t="s">
        <v>823</v>
      </c>
      <c r="B778" s="4">
        <v>43339</v>
      </c>
      <c r="C778">
        <v>4</v>
      </c>
      <c r="D778" t="s">
        <v>51</v>
      </c>
      <c r="E778" t="s">
        <v>68</v>
      </c>
      <c r="F778" t="s">
        <v>18</v>
      </c>
      <c r="G778" t="s">
        <v>41</v>
      </c>
      <c r="H778">
        <v>399</v>
      </c>
      <c r="I778">
        <v>3</v>
      </c>
      <c r="J778">
        <v>1197</v>
      </c>
    </row>
    <row r="779" spans="1:10" x14ac:dyDescent="0.35">
      <c r="A779" s="3" t="s">
        <v>824</v>
      </c>
      <c r="B779" s="4">
        <v>43339</v>
      </c>
      <c r="C779">
        <v>2</v>
      </c>
      <c r="D779" t="s">
        <v>106</v>
      </c>
      <c r="E779" t="s">
        <v>17</v>
      </c>
      <c r="F779" t="s">
        <v>18</v>
      </c>
      <c r="G779" t="s">
        <v>19</v>
      </c>
      <c r="H779">
        <v>289</v>
      </c>
      <c r="I779">
        <v>5</v>
      </c>
      <c r="J779">
        <v>1445</v>
      </c>
    </row>
    <row r="780" spans="1:10" x14ac:dyDescent="0.35">
      <c r="A780" s="3" t="s">
        <v>825</v>
      </c>
      <c r="B780" s="4">
        <v>43339</v>
      </c>
      <c r="C780">
        <v>14</v>
      </c>
      <c r="D780" t="s">
        <v>38</v>
      </c>
      <c r="E780" t="s">
        <v>63</v>
      </c>
      <c r="F780" t="s">
        <v>13</v>
      </c>
      <c r="G780" t="s">
        <v>19</v>
      </c>
      <c r="H780">
        <v>289</v>
      </c>
      <c r="I780">
        <v>6</v>
      </c>
      <c r="J780">
        <v>1734</v>
      </c>
    </row>
    <row r="781" spans="1:10" x14ac:dyDescent="0.35">
      <c r="A781" s="3" t="s">
        <v>826</v>
      </c>
      <c r="B781" s="4">
        <v>43339</v>
      </c>
      <c r="C781">
        <v>7</v>
      </c>
      <c r="D781" t="s">
        <v>88</v>
      </c>
      <c r="E781" t="s">
        <v>22</v>
      </c>
      <c r="F781" t="s">
        <v>23</v>
      </c>
      <c r="G781" t="s">
        <v>41</v>
      </c>
      <c r="H781">
        <v>399</v>
      </c>
      <c r="I781">
        <v>8</v>
      </c>
      <c r="J781">
        <v>3192</v>
      </c>
    </row>
    <row r="782" spans="1:10" x14ac:dyDescent="0.35">
      <c r="A782" s="3" t="s">
        <v>827</v>
      </c>
      <c r="B782" s="4">
        <v>43340</v>
      </c>
      <c r="C782">
        <v>11</v>
      </c>
      <c r="D782" t="s">
        <v>11</v>
      </c>
      <c r="E782" t="s">
        <v>63</v>
      </c>
      <c r="F782" t="s">
        <v>13</v>
      </c>
      <c r="G782" t="s">
        <v>31</v>
      </c>
      <c r="H782">
        <v>69</v>
      </c>
      <c r="I782">
        <v>6</v>
      </c>
      <c r="J782">
        <v>414</v>
      </c>
    </row>
    <row r="783" spans="1:10" x14ac:dyDescent="0.35">
      <c r="A783" s="3" t="s">
        <v>828</v>
      </c>
      <c r="B783" s="4">
        <v>43341</v>
      </c>
      <c r="C783">
        <v>1</v>
      </c>
      <c r="D783" t="s">
        <v>16</v>
      </c>
      <c r="E783" t="s">
        <v>17</v>
      </c>
      <c r="F783" t="s">
        <v>18</v>
      </c>
      <c r="G783" t="s">
        <v>24</v>
      </c>
      <c r="H783">
        <v>159</v>
      </c>
      <c r="I783">
        <v>9</v>
      </c>
      <c r="J783">
        <v>1431</v>
      </c>
    </row>
    <row r="784" spans="1:10" x14ac:dyDescent="0.35">
      <c r="A784" s="3" t="s">
        <v>829</v>
      </c>
      <c r="B784" s="4">
        <v>43341</v>
      </c>
      <c r="C784">
        <v>8</v>
      </c>
      <c r="D784" t="s">
        <v>45</v>
      </c>
      <c r="E784" t="s">
        <v>22</v>
      </c>
      <c r="F784" t="s">
        <v>23</v>
      </c>
      <c r="G784" t="s">
        <v>41</v>
      </c>
      <c r="H784">
        <v>399</v>
      </c>
      <c r="I784">
        <v>3</v>
      </c>
      <c r="J784">
        <v>1197</v>
      </c>
    </row>
    <row r="785" spans="1:10" x14ac:dyDescent="0.35">
      <c r="A785" s="3" t="s">
        <v>830</v>
      </c>
      <c r="B785" s="4">
        <v>43341</v>
      </c>
      <c r="C785">
        <v>2</v>
      </c>
      <c r="D785" t="s">
        <v>106</v>
      </c>
      <c r="E785" t="s">
        <v>17</v>
      </c>
      <c r="F785" t="s">
        <v>18</v>
      </c>
      <c r="G785" t="s">
        <v>14</v>
      </c>
      <c r="H785">
        <v>199</v>
      </c>
      <c r="I785">
        <v>5</v>
      </c>
      <c r="J785">
        <v>995</v>
      </c>
    </row>
    <row r="786" spans="1:10" x14ac:dyDescent="0.35">
      <c r="A786" s="3" t="s">
        <v>831</v>
      </c>
      <c r="B786" s="4">
        <v>43341</v>
      </c>
      <c r="C786">
        <v>5</v>
      </c>
      <c r="D786" t="s">
        <v>60</v>
      </c>
      <c r="E786" t="s">
        <v>68</v>
      </c>
      <c r="F786" t="s">
        <v>18</v>
      </c>
      <c r="G786" t="s">
        <v>41</v>
      </c>
      <c r="H786">
        <v>399</v>
      </c>
      <c r="I786">
        <v>6</v>
      </c>
      <c r="J786">
        <v>2394</v>
      </c>
    </row>
    <row r="787" spans="1:10" x14ac:dyDescent="0.35">
      <c r="A787" s="3" t="s">
        <v>832</v>
      </c>
      <c r="B787" s="4">
        <v>43341</v>
      </c>
      <c r="C787">
        <v>4</v>
      </c>
      <c r="D787" t="s">
        <v>51</v>
      </c>
      <c r="E787" t="s">
        <v>68</v>
      </c>
      <c r="F787" t="s">
        <v>18</v>
      </c>
      <c r="G787" t="s">
        <v>19</v>
      </c>
      <c r="H787">
        <v>289</v>
      </c>
      <c r="I787">
        <v>6</v>
      </c>
      <c r="J787">
        <v>1734</v>
      </c>
    </row>
    <row r="788" spans="1:10" x14ac:dyDescent="0.35">
      <c r="A788" s="3" t="s">
        <v>833</v>
      </c>
      <c r="B788" s="4">
        <v>43342</v>
      </c>
      <c r="C788">
        <v>14</v>
      </c>
      <c r="D788" t="s">
        <v>38</v>
      </c>
      <c r="E788" t="s">
        <v>12</v>
      </c>
      <c r="F788" t="s">
        <v>13</v>
      </c>
      <c r="G788" t="s">
        <v>31</v>
      </c>
      <c r="H788">
        <v>69</v>
      </c>
      <c r="I788">
        <v>1</v>
      </c>
      <c r="J788">
        <v>69</v>
      </c>
    </row>
    <row r="789" spans="1:10" x14ac:dyDescent="0.35">
      <c r="A789" s="3" t="s">
        <v>834</v>
      </c>
      <c r="B789" s="4">
        <v>43342</v>
      </c>
      <c r="C789">
        <v>14</v>
      </c>
      <c r="D789" t="s">
        <v>38</v>
      </c>
      <c r="E789" t="s">
        <v>63</v>
      </c>
      <c r="F789" t="s">
        <v>13</v>
      </c>
      <c r="G789" t="s">
        <v>14</v>
      </c>
      <c r="H789">
        <v>199</v>
      </c>
      <c r="I789">
        <v>6</v>
      </c>
      <c r="J789">
        <v>1194</v>
      </c>
    </row>
    <row r="790" spans="1:10" x14ac:dyDescent="0.35">
      <c r="A790" s="3" t="s">
        <v>835</v>
      </c>
      <c r="B790" s="4">
        <v>43342</v>
      </c>
      <c r="C790">
        <v>6</v>
      </c>
      <c r="D790" t="s">
        <v>48</v>
      </c>
      <c r="E790" t="s">
        <v>46</v>
      </c>
      <c r="F790" t="s">
        <v>23</v>
      </c>
      <c r="G790" t="s">
        <v>24</v>
      </c>
      <c r="H790">
        <v>159</v>
      </c>
      <c r="I790">
        <v>8</v>
      </c>
      <c r="J790">
        <v>1272</v>
      </c>
    </row>
    <row r="791" spans="1:10" x14ac:dyDescent="0.35">
      <c r="A791" s="3" t="s">
        <v>836</v>
      </c>
      <c r="B791" s="4">
        <v>43342</v>
      </c>
      <c r="C791">
        <v>13</v>
      </c>
      <c r="D791" t="s">
        <v>33</v>
      </c>
      <c r="E791" t="s">
        <v>63</v>
      </c>
      <c r="F791" t="s">
        <v>13</v>
      </c>
      <c r="G791" t="s">
        <v>24</v>
      </c>
      <c r="H791">
        <v>159</v>
      </c>
      <c r="I791">
        <v>8</v>
      </c>
      <c r="J791">
        <v>1272</v>
      </c>
    </row>
    <row r="792" spans="1:10" x14ac:dyDescent="0.35">
      <c r="A792" s="3" t="s">
        <v>837</v>
      </c>
      <c r="B792" s="4">
        <v>43343</v>
      </c>
      <c r="C792">
        <v>18</v>
      </c>
      <c r="D792" t="s">
        <v>26</v>
      </c>
      <c r="E792" t="s">
        <v>27</v>
      </c>
      <c r="F792" t="s">
        <v>28</v>
      </c>
      <c r="G792" t="s">
        <v>41</v>
      </c>
      <c r="H792">
        <v>399</v>
      </c>
      <c r="I792">
        <v>3</v>
      </c>
      <c r="J792">
        <v>1197</v>
      </c>
    </row>
    <row r="793" spans="1:10" x14ac:dyDescent="0.35">
      <c r="A793" s="3" t="s">
        <v>838</v>
      </c>
      <c r="B793" s="4">
        <v>43343</v>
      </c>
      <c r="C793">
        <v>16</v>
      </c>
      <c r="D793" t="s">
        <v>30</v>
      </c>
      <c r="E793" t="s">
        <v>27</v>
      </c>
      <c r="F793" t="s">
        <v>28</v>
      </c>
      <c r="G793" t="s">
        <v>24</v>
      </c>
      <c r="H793">
        <v>159</v>
      </c>
      <c r="I793">
        <v>9</v>
      </c>
      <c r="J793">
        <v>1431</v>
      </c>
    </row>
    <row r="794" spans="1:10" x14ac:dyDescent="0.35">
      <c r="A794" s="3" t="s">
        <v>839</v>
      </c>
      <c r="B794" s="4">
        <v>43344</v>
      </c>
      <c r="C794">
        <v>10</v>
      </c>
      <c r="D794" t="s">
        <v>58</v>
      </c>
      <c r="E794" t="s">
        <v>46</v>
      </c>
      <c r="F794" t="s">
        <v>23</v>
      </c>
      <c r="G794" t="s">
        <v>41</v>
      </c>
      <c r="H794">
        <v>399</v>
      </c>
      <c r="I794">
        <v>3</v>
      </c>
      <c r="J794">
        <v>1197</v>
      </c>
    </row>
    <row r="795" spans="1:10" x14ac:dyDescent="0.35">
      <c r="A795" s="3" t="s">
        <v>840</v>
      </c>
      <c r="B795" s="4">
        <v>43344</v>
      </c>
      <c r="C795">
        <v>11</v>
      </c>
      <c r="D795" t="s">
        <v>11</v>
      </c>
      <c r="E795" t="s">
        <v>12</v>
      </c>
      <c r="F795" t="s">
        <v>13</v>
      </c>
      <c r="G795" t="s">
        <v>14</v>
      </c>
      <c r="H795">
        <v>199</v>
      </c>
      <c r="I795">
        <v>8</v>
      </c>
      <c r="J795">
        <v>1592</v>
      </c>
    </row>
    <row r="796" spans="1:10" x14ac:dyDescent="0.35">
      <c r="A796" s="3" t="s">
        <v>841</v>
      </c>
      <c r="B796" s="4">
        <v>43344</v>
      </c>
      <c r="C796">
        <v>13</v>
      </c>
      <c r="D796" t="s">
        <v>33</v>
      </c>
      <c r="E796" t="s">
        <v>63</v>
      </c>
      <c r="F796" t="s">
        <v>13</v>
      </c>
      <c r="G796" t="s">
        <v>14</v>
      </c>
      <c r="H796">
        <v>199</v>
      </c>
      <c r="I796">
        <v>9</v>
      </c>
      <c r="J796">
        <v>1791</v>
      </c>
    </row>
    <row r="797" spans="1:10" x14ac:dyDescent="0.35">
      <c r="A797" s="3" t="s">
        <v>842</v>
      </c>
      <c r="B797" s="4">
        <v>43344</v>
      </c>
      <c r="C797">
        <v>18</v>
      </c>
      <c r="D797" t="s">
        <v>26</v>
      </c>
      <c r="E797" t="s">
        <v>36</v>
      </c>
      <c r="F797" t="s">
        <v>28</v>
      </c>
      <c r="G797" t="s">
        <v>19</v>
      </c>
      <c r="H797">
        <v>289</v>
      </c>
      <c r="I797">
        <v>4</v>
      </c>
      <c r="J797">
        <v>1156</v>
      </c>
    </row>
    <row r="798" spans="1:10" x14ac:dyDescent="0.35">
      <c r="A798" s="3" t="s">
        <v>843</v>
      </c>
      <c r="B798" s="4">
        <v>43345</v>
      </c>
      <c r="C798">
        <v>4</v>
      </c>
      <c r="D798" t="s">
        <v>51</v>
      </c>
      <c r="E798" t="s">
        <v>68</v>
      </c>
      <c r="F798" t="s">
        <v>18</v>
      </c>
      <c r="G798" t="s">
        <v>31</v>
      </c>
      <c r="H798">
        <v>69</v>
      </c>
      <c r="I798">
        <v>2</v>
      </c>
      <c r="J798">
        <v>138</v>
      </c>
    </row>
    <row r="799" spans="1:10" x14ac:dyDescent="0.35">
      <c r="A799" s="3" t="s">
        <v>844</v>
      </c>
      <c r="B799" s="4">
        <v>43345</v>
      </c>
      <c r="C799">
        <v>20</v>
      </c>
      <c r="D799" t="s">
        <v>40</v>
      </c>
      <c r="E799" t="s">
        <v>36</v>
      </c>
      <c r="F799" t="s">
        <v>28</v>
      </c>
      <c r="G799" t="s">
        <v>31</v>
      </c>
      <c r="H799">
        <v>69</v>
      </c>
      <c r="I799">
        <v>6</v>
      </c>
      <c r="J799">
        <v>414</v>
      </c>
    </row>
    <row r="800" spans="1:10" x14ac:dyDescent="0.35">
      <c r="A800" s="3" t="s">
        <v>845</v>
      </c>
      <c r="B800" s="4">
        <v>43346</v>
      </c>
      <c r="C800">
        <v>16</v>
      </c>
      <c r="D800" t="s">
        <v>30</v>
      </c>
      <c r="E800" t="s">
        <v>36</v>
      </c>
      <c r="F800" t="s">
        <v>28</v>
      </c>
      <c r="G800" t="s">
        <v>41</v>
      </c>
      <c r="H800">
        <v>399</v>
      </c>
      <c r="I800">
        <v>5</v>
      </c>
      <c r="J800">
        <v>1995</v>
      </c>
    </row>
    <row r="801" spans="1:10" x14ac:dyDescent="0.35">
      <c r="A801" s="3" t="s">
        <v>846</v>
      </c>
      <c r="B801" s="4">
        <v>43346</v>
      </c>
      <c r="C801">
        <v>3</v>
      </c>
      <c r="D801" t="s">
        <v>43</v>
      </c>
      <c r="E801" t="s">
        <v>68</v>
      </c>
      <c r="F801" t="s">
        <v>18</v>
      </c>
      <c r="G801" t="s">
        <v>24</v>
      </c>
      <c r="H801">
        <v>159</v>
      </c>
      <c r="I801">
        <v>4</v>
      </c>
      <c r="J801">
        <v>636</v>
      </c>
    </row>
    <row r="802" spans="1:10" x14ac:dyDescent="0.35">
      <c r="A802" s="3" t="s">
        <v>847</v>
      </c>
      <c r="B802" s="4">
        <v>43346</v>
      </c>
      <c r="C802">
        <v>10</v>
      </c>
      <c r="D802" t="s">
        <v>58</v>
      </c>
      <c r="E802" t="s">
        <v>46</v>
      </c>
      <c r="F802" t="s">
        <v>23</v>
      </c>
      <c r="G802" t="s">
        <v>19</v>
      </c>
      <c r="H802">
        <v>289</v>
      </c>
      <c r="I802">
        <v>7</v>
      </c>
      <c r="J802">
        <v>2023</v>
      </c>
    </row>
    <row r="803" spans="1:10" x14ac:dyDescent="0.35">
      <c r="A803" s="3" t="s">
        <v>848</v>
      </c>
      <c r="B803" s="4">
        <v>43346</v>
      </c>
      <c r="C803">
        <v>6</v>
      </c>
      <c r="D803" t="s">
        <v>48</v>
      </c>
      <c r="E803" t="s">
        <v>46</v>
      </c>
      <c r="F803" t="s">
        <v>23</v>
      </c>
      <c r="G803" t="s">
        <v>41</v>
      </c>
      <c r="H803">
        <v>399</v>
      </c>
      <c r="I803">
        <v>8</v>
      </c>
      <c r="J803">
        <v>3192</v>
      </c>
    </row>
    <row r="804" spans="1:10" x14ac:dyDescent="0.35">
      <c r="A804" s="3" t="s">
        <v>849</v>
      </c>
      <c r="B804" s="4">
        <v>43346</v>
      </c>
      <c r="C804">
        <v>17</v>
      </c>
      <c r="D804" t="s">
        <v>35</v>
      </c>
      <c r="E804" t="s">
        <v>36</v>
      </c>
      <c r="F804" t="s">
        <v>28</v>
      </c>
      <c r="G804" t="s">
        <v>14</v>
      </c>
      <c r="H804">
        <v>199</v>
      </c>
      <c r="I804">
        <v>5</v>
      </c>
      <c r="J804">
        <v>995</v>
      </c>
    </row>
    <row r="805" spans="1:10" x14ac:dyDescent="0.35">
      <c r="A805" s="3" t="s">
        <v>850</v>
      </c>
      <c r="B805" s="4">
        <v>43347</v>
      </c>
      <c r="C805">
        <v>16</v>
      </c>
      <c r="D805" t="s">
        <v>30</v>
      </c>
      <c r="E805" t="s">
        <v>27</v>
      </c>
      <c r="F805" t="s">
        <v>28</v>
      </c>
      <c r="G805" t="s">
        <v>31</v>
      </c>
      <c r="H805">
        <v>69</v>
      </c>
      <c r="I805">
        <v>1</v>
      </c>
      <c r="J805">
        <v>69</v>
      </c>
    </row>
    <row r="806" spans="1:10" x14ac:dyDescent="0.35">
      <c r="A806" s="3" t="s">
        <v>851</v>
      </c>
      <c r="B806" s="4">
        <v>43348</v>
      </c>
      <c r="C806">
        <v>19</v>
      </c>
      <c r="D806" t="s">
        <v>56</v>
      </c>
      <c r="E806" t="s">
        <v>36</v>
      </c>
      <c r="F806" t="s">
        <v>28</v>
      </c>
      <c r="G806" t="s">
        <v>41</v>
      </c>
      <c r="H806">
        <v>399</v>
      </c>
      <c r="I806">
        <v>7</v>
      </c>
      <c r="J806">
        <v>2793</v>
      </c>
    </row>
    <row r="807" spans="1:10" x14ac:dyDescent="0.35">
      <c r="A807" s="3" t="s">
        <v>852</v>
      </c>
      <c r="B807" s="4">
        <v>43348</v>
      </c>
      <c r="C807">
        <v>5</v>
      </c>
      <c r="D807" t="s">
        <v>60</v>
      </c>
      <c r="E807" t="s">
        <v>17</v>
      </c>
      <c r="F807" t="s">
        <v>18</v>
      </c>
      <c r="G807" t="s">
        <v>41</v>
      </c>
      <c r="H807">
        <v>399</v>
      </c>
      <c r="I807">
        <v>6</v>
      </c>
      <c r="J807">
        <v>2394</v>
      </c>
    </row>
    <row r="808" spans="1:10" x14ac:dyDescent="0.35">
      <c r="A808" s="3" t="s">
        <v>853</v>
      </c>
      <c r="B808" s="4">
        <v>43348</v>
      </c>
      <c r="C808">
        <v>11</v>
      </c>
      <c r="D808" t="s">
        <v>11</v>
      </c>
      <c r="E808" t="s">
        <v>12</v>
      </c>
      <c r="F808" t="s">
        <v>13</v>
      </c>
      <c r="G808" t="s">
        <v>24</v>
      </c>
      <c r="H808">
        <v>159</v>
      </c>
      <c r="I808">
        <v>5</v>
      </c>
      <c r="J808">
        <v>795</v>
      </c>
    </row>
    <row r="809" spans="1:10" x14ac:dyDescent="0.35">
      <c r="A809" s="3" t="s">
        <v>854</v>
      </c>
      <c r="B809" s="4">
        <v>43349</v>
      </c>
      <c r="C809">
        <v>13</v>
      </c>
      <c r="D809" t="s">
        <v>33</v>
      </c>
      <c r="E809" t="s">
        <v>63</v>
      </c>
      <c r="F809" t="s">
        <v>13</v>
      </c>
      <c r="G809" t="s">
        <v>31</v>
      </c>
      <c r="H809">
        <v>69</v>
      </c>
      <c r="I809">
        <v>5</v>
      </c>
      <c r="J809">
        <v>345</v>
      </c>
    </row>
    <row r="810" spans="1:10" x14ac:dyDescent="0.35">
      <c r="A810" s="3" t="s">
        <v>855</v>
      </c>
      <c r="B810" s="4">
        <v>43349</v>
      </c>
      <c r="C810">
        <v>19</v>
      </c>
      <c r="D810" t="s">
        <v>56</v>
      </c>
      <c r="E810" t="s">
        <v>27</v>
      </c>
      <c r="F810" t="s">
        <v>28</v>
      </c>
      <c r="G810" t="s">
        <v>14</v>
      </c>
      <c r="H810">
        <v>199</v>
      </c>
      <c r="I810">
        <v>9</v>
      </c>
      <c r="J810">
        <v>1791</v>
      </c>
    </row>
    <row r="811" spans="1:10" x14ac:dyDescent="0.35">
      <c r="A811" s="3" t="s">
        <v>856</v>
      </c>
      <c r="B811" s="4">
        <v>43349</v>
      </c>
      <c r="C811">
        <v>15</v>
      </c>
      <c r="D811" t="s">
        <v>118</v>
      </c>
      <c r="E811" t="s">
        <v>12</v>
      </c>
      <c r="F811" t="s">
        <v>13</v>
      </c>
      <c r="G811" t="s">
        <v>31</v>
      </c>
      <c r="H811">
        <v>69</v>
      </c>
      <c r="I811">
        <v>5</v>
      </c>
      <c r="J811">
        <v>345</v>
      </c>
    </row>
    <row r="812" spans="1:10" x14ac:dyDescent="0.35">
      <c r="A812" s="3" t="s">
        <v>857</v>
      </c>
      <c r="B812" s="4">
        <v>43349</v>
      </c>
      <c r="C812">
        <v>14</v>
      </c>
      <c r="D812" t="s">
        <v>38</v>
      </c>
      <c r="E812" t="s">
        <v>12</v>
      </c>
      <c r="F812" t="s">
        <v>13</v>
      </c>
      <c r="G812" t="s">
        <v>31</v>
      </c>
      <c r="H812">
        <v>69</v>
      </c>
      <c r="I812">
        <v>9</v>
      </c>
      <c r="J812">
        <v>621</v>
      </c>
    </row>
    <row r="813" spans="1:10" x14ac:dyDescent="0.35">
      <c r="A813" s="3" t="s">
        <v>858</v>
      </c>
      <c r="B813" s="4">
        <v>43350</v>
      </c>
      <c r="C813">
        <v>16</v>
      </c>
      <c r="D813" t="s">
        <v>30</v>
      </c>
      <c r="E813" t="s">
        <v>36</v>
      </c>
      <c r="F813" t="s">
        <v>28</v>
      </c>
      <c r="G813" t="s">
        <v>41</v>
      </c>
      <c r="H813">
        <v>399</v>
      </c>
      <c r="I813">
        <v>1</v>
      </c>
      <c r="J813">
        <v>399</v>
      </c>
    </row>
    <row r="814" spans="1:10" x14ac:dyDescent="0.35">
      <c r="A814" s="3" t="s">
        <v>859</v>
      </c>
      <c r="B814" s="4">
        <v>43351</v>
      </c>
      <c r="C814">
        <v>16</v>
      </c>
      <c r="D814" t="s">
        <v>30</v>
      </c>
      <c r="E814" t="s">
        <v>36</v>
      </c>
      <c r="F814" t="s">
        <v>28</v>
      </c>
      <c r="G814" t="s">
        <v>24</v>
      </c>
      <c r="H814">
        <v>159</v>
      </c>
      <c r="I814">
        <v>8</v>
      </c>
      <c r="J814">
        <v>1272</v>
      </c>
    </row>
    <row r="815" spans="1:10" x14ac:dyDescent="0.35">
      <c r="A815" s="3" t="s">
        <v>860</v>
      </c>
      <c r="B815" s="4">
        <v>43351</v>
      </c>
      <c r="C815">
        <v>16</v>
      </c>
      <c r="D815" t="s">
        <v>30</v>
      </c>
      <c r="E815" t="s">
        <v>27</v>
      </c>
      <c r="F815" t="s">
        <v>28</v>
      </c>
      <c r="G815" t="s">
        <v>24</v>
      </c>
      <c r="H815">
        <v>159</v>
      </c>
      <c r="I815">
        <v>4</v>
      </c>
      <c r="J815">
        <v>636</v>
      </c>
    </row>
    <row r="816" spans="1:10" x14ac:dyDescent="0.35">
      <c r="A816" s="3" t="s">
        <v>861</v>
      </c>
      <c r="B816" s="4">
        <v>43351</v>
      </c>
      <c r="C816">
        <v>3</v>
      </c>
      <c r="D816" t="s">
        <v>43</v>
      </c>
      <c r="E816" t="s">
        <v>17</v>
      </c>
      <c r="F816" t="s">
        <v>18</v>
      </c>
      <c r="G816" t="s">
        <v>24</v>
      </c>
      <c r="H816">
        <v>159</v>
      </c>
      <c r="I816">
        <v>8</v>
      </c>
      <c r="J816">
        <v>1272</v>
      </c>
    </row>
    <row r="817" spans="1:10" x14ac:dyDescent="0.35">
      <c r="A817" s="3" t="s">
        <v>862</v>
      </c>
      <c r="B817" s="4">
        <v>43351</v>
      </c>
      <c r="C817">
        <v>15</v>
      </c>
      <c r="D817" t="s">
        <v>118</v>
      </c>
      <c r="E817" t="s">
        <v>63</v>
      </c>
      <c r="F817" t="s">
        <v>13</v>
      </c>
      <c r="G817" t="s">
        <v>41</v>
      </c>
      <c r="H817">
        <v>399</v>
      </c>
      <c r="I817">
        <v>4</v>
      </c>
      <c r="J817">
        <v>1596</v>
      </c>
    </row>
    <row r="818" spans="1:10" x14ac:dyDescent="0.35">
      <c r="A818" s="3" t="s">
        <v>863</v>
      </c>
      <c r="B818" s="4">
        <v>43351</v>
      </c>
      <c r="C818">
        <v>20</v>
      </c>
      <c r="D818" t="s">
        <v>40</v>
      </c>
      <c r="E818" t="s">
        <v>27</v>
      </c>
      <c r="F818" t="s">
        <v>28</v>
      </c>
      <c r="G818" t="s">
        <v>31</v>
      </c>
      <c r="H818">
        <v>69</v>
      </c>
      <c r="I818">
        <v>5</v>
      </c>
      <c r="J818">
        <v>345</v>
      </c>
    </row>
    <row r="819" spans="1:10" x14ac:dyDescent="0.35">
      <c r="A819" s="3" t="s">
        <v>864</v>
      </c>
      <c r="B819" s="4">
        <v>43352</v>
      </c>
      <c r="C819">
        <v>13</v>
      </c>
      <c r="D819" t="s">
        <v>33</v>
      </c>
      <c r="E819" t="s">
        <v>12</v>
      </c>
      <c r="F819" t="s">
        <v>13</v>
      </c>
      <c r="G819" t="s">
        <v>41</v>
      </c>
      <c r="H819">
        <v>399</v>
      </c>
      <c r="I819">
        <v>3</v>
      </c>
      <c r="J819">
        <v>1197</v>
      </c>
    </row>
    <row r="820" spans="1:10" x14ac:dyDescent="0.35">
      <c r="A820" s="3" t="s">
        <v>865</v>
      </c>
      <c r="B820" s="4">
        <v>43352</v>
      </c>
      <c r="C820">
        <v>6</v>
      </c>
      <c r="D820" t="s">
        <v>48</v>
      </c>
      <c r="E820" t="s">
        <v>22</v>
      </c>
      <c r="F820" t="s">
        <v>23</v>
      </c>
      <c r="G820" t="s">
        <v>19</v>
      </c>
      <c r="H820">
        <v>289</v>
      </c>
      <c r="I820">
        <v>0</v>
      </c>
      <c r="J820">
        <v>0</v>
      </c>
    </row>
    <row r="821" spans="1:10" x14ac:dyDescent="0.35">
      <c r="A821" s="3" t="s">
        <v>866</v>
      </c>
      <c r="B821" s="4">
        <v>43353</v>
      </c>
      <c r="C821">
        <v>11</v>
      </c>
      <c r="D821" t="s">
        <v>11</v>
      </c>
      <c r="E821" t="s">
        <v>63</v>
      </c>
      <c r="F821" t="s">
        <v>13</v>
      </c>
      <c r="G821" t="s">
        <v>24</v>
      </c>
      <c r="H821">
        <v>159</v>
      </c>
      <c r="I821">
        <v>4</v>
      </c>
      <c r="J821">
        <v>636</v>
      </c>
    </row>
    <row r="822" spans="1:10" x14ac:dyDescent="0.35">
      <c r="A822" s="3" t="s">
        <v>867</v>
      </c>
      <c r="B822" s="4">
        <v>43353</v>
      </c>
      <c r="C822">
        <v>12</v>
      </c>
      <c r="D822" t="s">
        <v>66</v>
      </c>
      <c r="E822" t="s">
        <v>12</v>
      </c>
      <c r="F822" t="s">
        <v>13</v>
      </c>
      <c r="G822" t="s">
        <v>24</v>
      </c>
      <c r="H822">
        <v>159</v>
      </c>
      <c r="I822">
        <v>4</v>
      </c>
      <c r="J822">
        <v>636</v>
      </c>
    </row>
    <row r="823" spans="1:10" x14ac:dyDescent="0.35">
      <c r="A823" s="3" t="s">
        <v>868</v>
      </c>
      <c r="B823" s="4">
        <v>43353</v>
      </c>
      <c r="C823">
        <v>19</v>
      </c>
      <c r="D823" t="s">
        <v>56</v>
      </c>
      <c r="E823" t="s">
        <v>27</v>
      </c>
      <c r="F823" t="s">
        <v>28</v>
      </c>
      <c r="G823" t="s">
        <v>41</v>
      </c>
      <c r="H823">
        <v>399</v>
      </c>
      <c r="I823">
        <v>4</v>
      </c>
      <c r="J823">
        <v>1596</v>
      </c>
    </row>
    <row r="824" spans="1:10" x14ac:dyDescent="0.35">
      <c r="A824" s="3" t="s">
        <v>869</v>
      </c>
      <c r="B824" s="4">
        <v>43353</v>
      </c>
      <c r="C824">
        <v>11</v>
      </c>
      <c r="D824" t="s">
        <v>11</v>
      </c>
      <c r="E824" t="s">
        <v>63</v>
      </c>
      <c r="F824" t="s">
        <v>13</v>
      </c>
      <c r="G824" t="s">
        <v>31</v>
      </c>
      <c r="H824">
        <v>69</v>
      </c>
      <c r="I824">
        <v>8</v>
      </c>
      <c r="J824">
        <v>552</v>
      </c>
    </row>
    <row r="825" spans="1:10" x14ac:dyDescent="0.35">
      <c r="A825" s="3" t="s">
        <v>870</v>
      </c>
      <c r="B825" s="4">
        <v>43353</v>
      </c>
      <c r="C825">
        <v>8</v>
      </c>
      <c r="D825" t="s">
        <v>45</v>
      </c>
      <c r="E825" t="s">
        <v>22</v>
      </c>
      <c r="F825" t="s">
        <v>23</v>
      </c>
      <c r="G825" t="s">
        <v>19</v>
      </c>
      <c r="H825">
        <v>289</v>
      </c>
      <c r="I825">
        <v>0</v>
      </c>
      <c r="J825">
        <v>0</v>
      </c>
    </row>
    <row r="826" spans="1:10" x14ac:dyDescent="0.35">
      <c r="A826" s="3" t="s">
        <v>871</v>
      </c>
      <c r="B826" s="4">
        <v>43354</v>
      </c>
      <c r="C826">
        <v>20</v>
      </c>
      <c r="D826" t="s">
        <v>40</v>
      </c>
      <c r="E826" t="s">
        <v>36</v>
      </c>
      <c r="F826" t="s">
        <v>28</v>
      </c>
      <c r="G826" t="s">
        <v>41</v>
      </c>
      <c r="H826">
        <v>399</v>
      </c>
      <c r="I826">
        <v>9</v>
      </c>
      <c r="J826">
        <v>3591</v>
      </c>
    </row>
    <row r="827" spans="1:10" x14ac:dyDescent="0.35">
      <c r="A827" s="3" t="s">
        <v>872</v>
      </c>
      <c r="B827" s="4">
        <v>43354</v>
      </c>
      <c r="C827">
        <v>15</v>
      </c>
      <c r="D827" t="s">
        <v>118</v>
      </c>
      <c r="E827" t="s">
        <v>63</v>
      </c>
      <c r="F827" t="s">
        <v>13</v>
      </c>
      <c r="G827" t="s">
        <v>19</v>
      </c>
      <c r="H827">
        <v>289</v>
      </c>
      <c r="I827">
        <v>1</v>
      </c>
      <c r="J827">
        <v>289</v>
      </c>
    </row>
    <row r="828" spans="1:10" x14ac:dyDescent="0.35">
      <c r="A828" s="3" t="s">
        <v>873</v>
      </c>
      <c r="B828" s="4">
        <v>43354</v>
      </c>
      <c r="C828">
        <v>1</v>
      </c>
      <c r="D828" t="s">
        <v>16</v>
      </c>
      <c r="E828" t="s">
        <v>17</v>
      </c>
      <c r="F828" t="s">
        <v>18</v>
      </c>
      <c r="G828" t="s">
        <v>24</v>
      </c>
      <c r="H828">
        <v>159</v>
      </c>
      <c r="I828">
        <v>3</v>
      </c>
      <c r="J828">
        <v>477</v>
      </c>
    </row>
    <row r="829" spans="1:10" x14ac:dyDescent="0.35">
      <c r="A829" s="3" t="s">
        <v>874</v>
      </c>
      <c r="B829" s="4">
        <v>43355</v>
      </c>
      <c r="C829">
        <v>5</v>
      </c>
      <c r="D829" t="s">
        <v>60</v>
      </c>
      <c r="E829" t="s">
        <v>17</v>
      </c>
      <c r="F829" t="s">
        <v>18</v>
      </c>
      <c r="G829" t="s">
        <v>14</v>
      </c>
      <c r="H829">
        <v>199</v>
      </c>
      <c r="I829">
        <v>3</v>
      </c>
      <c r="J829">
        <v>597</v>
      </c>
    </row>
    <row r="830" spans="1:10" x14ac:dyDescent="0.35">
      <c r="A830" s="3" t="s">
        <v>875</v>
      </c>
      <c r="B830" s="4">
        <v>43355</v>
      </c>
      <c r="C830">
        <v>14</v>
      </c>
      <c r="D830" t="s">
        <v>38</v>
      </c>
      <c r="E830" t="s">
        <v>12</v>
      </c>
      <c r="F830" t="s">
        <v>13</v>
      </c>
      <c r="G830" t="s">
        <v>31</v>
      </c>
      <c r="H830">
        <v>69</v>
      </c>
      <c r="I830">
        <v>4</v>
      </c>
      <c r="J830">
        <v>276</v>
      </c>
    </row>
    <row r="831" spans="1:10" x14ac:dyDescent="0.35">
      <c r="A831" s="3" t="s">
        <v>876</v>
      </c>
      <c r="B831" s="4">
        <v>43356</v>
      </c>
      <c r="C831">
        <v>1</v>
      </c>
      <c r="D831" t="s">
        <v>16</v>
      </c>
      <c r="E831" t="s">
        <v>17</v>
      </c>
      <c r="F831" t="s">
        <v>18</v>
      </c>
      <c r="G831" t="s">
        <v>41</v>
      </c>
      <c r="H831">
        <v>399</v>
      </c>
      <c r="I831">
        <v>6</v>
      </c>
      <c r="J831">
        <v>2394</v>
      </c>
    </row>
    <row r="832" spans="1:10" x14ac:dyDescent="0.35">
      <c r="A832" s="3" t="s">
        <v>877</v>
      </c>
      <c r="B832" s="4">
        <v>43357</v>
      </c>
      <c r="C832">
        <v>1</v>
      </c>
      <c r="D832" t="s">
        <v>16</v>
      </c>
      <c r="E832" t="s">
        <v>17</v>
      </c>
      <c r="F832" t="s">
        <v>18</v>
      </c>
      <c r="G832" t="s">
        <v>14</v>
      </c>
      <c r="H832">
        <v>199</v>
      </c>
      <c r="I832">
        <v>1</v>
      </c>
      <c r="J832">
        <v>199</v>
      </c>
    </row>
    <row r="833" spans="1:10" x14ac:dyDescent="0.35">
      <c r="A833" s="3" t="s">
        <v>878</v>
      </c>
      <c r="B833" s="4">
        <v>43357</v>
      </c>
      <c r="C833">
        <v>3</v>
      </c>
      <c r="D833" t="s">
        <v>43</v>
      </c>
      <c r="E833" t="s">
        <v>68</v>
      </c>
      <c r="F833" t="s">
        <v>18</v>
      </c>
      <c r="G833" t="s">
        <v>19</v>
      </c>
      <c r="H833">
        <v>289</v>
      </c>
      <c r="I833">
        <v>1</v>
      </c>
      <c r="J833">
        <v>289</v>
      </c>
    </row>
    <row r="834" spans="1:10" x14ac:dyDescent="0.35">
      <c r="A834" s="3" t="s">
        <v>879</v>
      </c>
      <c r="B834" s="4">
        <v>43358</v>
      </c>
      <c r="C834">
        <v>16</v>
      </c>
      <c r="D834" t="s">
        <v>30</v>
      </c>
      <c r="E834" t="s">
        <v>36</v>
      </c>
      <c r="F834" t="s">
        <v>28</v>
      </c>
      <c r="G834" t="s">
        <v>41</v>
      </c>
      <c r="H834">
        <v>399</v>
      </c>
      <c r="I834">
        <v>9</v>
      </c>
      <c r="J834">
        <v>3591</v>
      </c>
    </row>
    <row r="835" spans="1:10" x14ac:dyDescent="0.35">
      <c r="A835" s="3" t="s">
        <v>880</v>
      </c>
      <c r="B835" s="4">
        <v>43358</v>
      </c>
      <c r="C835">
        <v>6</v>
      </c>
      <c r="D835" t="s">
        <v>48</v>
      </c>
      <c r="E835" t="s">
        <v>46</v>
      </c>
      <c r="F835" t="s">
        <v>23</v>
      </c>
      <c r="G835" t="s">
        <v>31</v>
      </c>
      <c r="H835">
        <v>69</v>
      </c>
      <c r="I835">
        <v>6</v>
      </c>
      <c r="J835">
        <v>414</v>
      </c>
    </row>
    <row r="836" spans="1:10" x14ac:dyDescent="0.35">
      <c r="A836" s="3" t="s">
        <v>881</v>
      </c>
      <c r="B836" s="4">
        <v>43358</v>
      </c>
      <c r="C836">
        <v>19</v>
      </c>
      <c r="D836" t="s">
        <v>56</v>
      </c>
      <c r="E836" t="s">
        <v>36</v>
      </c>
      <c r="F836" t="s">
        <v>28</v>
      </c>
      <c r="G836" t="s">
        <v>41</v>
      </c>
      <c r="H836">
        <v>399</v>
      </c>
      <c r="I836">
        <v>2</v>
      </c>
      <c r="J836">
        <v>798</v>
      </c>
    </row>
    <row r="837" spans="1:10" x14ac:dyDescent="0.35">
      <c r="A837" s="3" t="s">
        <v>882</v>
      </c>
      <c r="B837" s="4">
        <v>43359</v>
      </c>
      <c r="C837">
        <v>5</v>
      </c>
      <c r="D837" t="s">
        <v>60</v>
      </c>
      <c r="E837" t="s">
        <v>17</v>
      </c>
      <c r="F837" t="s">
        <v>18</v>
      </c>
      <c r="G837" t="s">
        <v>31</v>
      </c>
      <c r="H837">
        <v>69</v>
      </c>
      <c r="I837">
        <v>6</v>
      </c>
      <c r="J837">
        <v>414</v>
      </c>
    </row>
    <row r="838" spans="1:10" x14ac:dyDescent="0.35">
      <c r="A838" s="3" t="s">
        <v>883</v>
      </c>
      <c r="B838" s="4">
        <v>43360</v>
      </c>
      <c r="C838">
        <v>3</v>
      </c>
      <c r="D838" t="s">
        <v>43</v>
      </c>
      <c r="E838" t="s">
        <v>68</v>
      </c>
      <c r="F838" t="s">
        <v>18</v>
      </c>
      <c r="G838" t="s">
        <v>14</v>
      </c>
      <c r="H838">
        <v>199</v>
      </c>
      <c r="I838">
        <v>6</v>
      </c>
      <c r="J838">
        <v>1194</v>
      </c>
    </row>
    <row r="839" spans="1:10" x14ac:dyDescent="0.35">
      <c r="A839" s="3" t="s">
        <v>884</v>
      </c>
      <c r="B839" s="4">
        <v>43361</v>
      </c>
      <c r="C839">
        <v>7</v>
      </c>
      <c r="D839" t="s">
        <v>88</v>
      </c>
      <c r="E839" t="s">
        <v>46</v>
      </c>
      <c r="F839" t="s">
        <v>23</v>
      </c>
      <c r="G839" t="s">
        <v>41</v>
      </c>
      <c r="H839">
        <v>399</v>
      </c>
      <c r="I839">
        <v>3</v>
      </c>
      <c r="J839">
        <v>1197</v>
      </c>
    </row>
    <row r="840" spans="1:10" x14ac:dyDescent="0.35">
      <c r="A840" s="3" t="s">
        <v>885</v>
      </c>
      <c r="B840" s="4">
        <v>43362</v>
      </c>
      <c r="C840">
        <v>20</v>
      </c>
      <c r="D840" t="s">
        <v>40</v>
      </c>
      <c r="E840" t="s">
        <v>36</v>
      </c>
      <c r="F840" t="s">
        <v>28</v>
      </c>
      <c r="G840" t="s">
        <v>19</v>
      </c>
      <c r="H840">
        <v>289</v>
      </c>
      <c r="I840">
        <v>4</v>
      </c>
      <c r="J840">
        <v>1156</v>
      </c>
    </row>
    <row r="841" spans="1:10" x14ac:dyDescent="0.35">
      <c r="A841" s="3" t="s">
        <v>886</v>
      </c>
      <c r="B841" s="4">
        <v>43363</v>
      </c>
      <c r="C841">
        <v>6</v>
      </c>
      <c r="D841" t="s">
        <v>48</v>
      </c>
      <c r="E841" t="s">
        <v>46</v>
      </c>
      <c r="F841" t="s">
        <v>23</v>
      </c>
      <c r="G841" t="s">
        <v>24</v>
      </c>
      <c r="H841">
        <v>159</v>
      </c>
      <c r="I841">
        <v>8</v>
      </c>
      <c r="J841">
        <v>1272</v>
      </c>
    </row>
    <row r="842" spans="1:10" x14ac:dyDescent="0.35">
      <c r="A842" s="3" t="s">
        <v>887</v>
      </c>
      <c r="B842" s="4">
        <v>43363</v>
      </c>
      <c r="C842">
        <v>7</v>
      </c>
      <c r="D842" t="s">
        <v>88</v>
      </c>
      <c r="E842" t="s">
        <v>22</v>
      </c>
      <c r="F842" t="s">
        <v>23</v>
      </c>
      <c r="G842" t="s">
        <v>19</v>
      </c>
      <c r="H842">
        <v>289</v>
      </c>
      <c r="I842">
        <v>2</v>
      </c>
      <c r="J842">
        <v>578</v>
      </c>
    </row>
    <row r="843" spans="1:10" x14ac:dyDescent="0.35">
      <c r="A843" s="3" t="s">
        <v>888</v>
      </c>
      <c r="B843" s="4">
        <v>43363</v>
      </c>
      <c r="C843">
        <v>12</v>
      </c>
      <c r="D843" t="s">
        <v>66</v>
      </c>
      <c r="E843" t="s">
        <v>63</v>
      </c>
      <c r="F843" t="s">
        <v>13</v>
      </c>
      <c r="G843" t="s">
        <v>14</v>
      </c>
      <c r="H843">
        <v>199</v>
      </c>
      <c r="I843">
        <v>4</v>
      </c>
      <c r="J843">
        <v>796</v>
      </c>
    </row>
    <row r="844" spans="1:10" x14ac:dyDescent="0.35">
      <c r="A844" s="3" t="s">
        <v>889</v>
      </c>
      <c r="B844" s="4">
        <v>43363</v>
      </c>
      <c r="C844">
        <v>4</v>
      </c>
      <c r="D844" t="s">
        <v>51</v>
      </c>
      <c r="E844" t="s">
        <v>17</v>
      </c>
      <c r="F844" t="s">
        <v>18</v>
      </c>
      <c r="G844" t="s">
        <v>14</v>
      </c>
      <c r="H844">
        <v>199</v>
      </c>
      <c r="I844">
        <v>7</v>
      </c>
      <c r="J844">
        <v>1393</v>
      </c>
    </row>
    <row r="845" spans="1:10" x14ac:dyDescent="0.35">
      <c r="A845" s="3" t="s">
        <v>890</v>
      </c>
      <c r="B845" s="4">
        <v>43364</v>
      </c>
      <c r="C845">
        <v>11</v>
      </c>
      <c r="D845" t="s">
        <v>11</v>
      </c>
      <c r="E845" t="s">
        <v>12</v>
      </c>
      <c r="F845" t="s">
        <v>13</v>
      </c>
      <c r="G845" t="s">
        <v>19</v>
      </c>
      <c r="H845">
        <v>289</v>
      </c>
      <c r="I845">
        <v>6</v>
      </c>
      <c r="J845">
        <v>1734</v>
      </c>
    </row>
    <row r="846" spans="1:10" x14ac:dyDescent="0.35">
      <c r="A846" s="3" t="s">
        <v>891</v>
      </c>
      <c r="B846" s="4">
        <v>43364</v>
      </c>
      <c r="C846">
        <v>8</v>
      </c>
      <c r="D846" t="s">
        <v>45</v>
      </c>
      <c r="E846" t="s">
        <v>46</v>
      </c>
      <c r="F846" t="s">
        <v>23</v>
      </c>
      <c r="G846" t="s">
        <v>24</v>
      </c>
      <c r="H846">
        <v>159</v>
      </c>
      <c r="I846">
        <v>7</v>
      </c>
      <c r="J846">
        <v>1113</v>
      </c>
    </row>
    <row r="847" spans="1:10" x14ac:dyDescent="0.35">
      <c r="A847" s="3" t="s">
        <v>892</v>
      </c>
      <c r="B847" s="4">
        <v>43365</v>
      </c>
      <c r="C847">
        <v>8</v>
      </c>
      <c r="D847" t="s">
        <v>45</v>
      </c>
      <c r="E847" t="s">
        <v>46</v>
      </c>
      <c r="F847" t="s">
        <v>23</v>
      </c>
      <c r="G847" t="s">
        <v>14</v>
      </c>
      <c r="H847">
        <v>199</v>
      </c>
      <c r="I847">
        <v>8</v>
      </c>
      <c r="J847">
        <v>1592</v>
      </c>
    </row>
    <row r="848" spans="1:10" x14ac:dyDescent="0.35">
      <c r="A848" s="3" t="s">
        <v>893</v>
      </c>
      <c r="B848" s="4">
        <v>43365</v>
      </c>
      <c r="C848">
        <v>5</v>
      </c>
      <c r="D848" t="s">
        <v>60</v>
      </c>
      <c r="E848" t="s">
        <v>17</v>
      </c>
      <c r="F848" t="s">
        <v>18</v>
      </c>
      <c r="G848" t="s">
        <v>24</v>
      </c>
      <c r="H848">
        <v>159</v>
      </c>
      <c r="I848">
        <v>0</v>
      </c>
      <c r="J848">
        <v>0</v>
      </c>
    </row>
    <row r="849" spans="1:10" x14ac:dyDescent="0.35">
      <c r="A849" s="3" t="s">
        <v>894</v>
      </c>
      <c r="B849" s="4">
        <v>43365</v>
      </c>
      <c r="C849">
        <v>15</v>
      </c>
      <c r="D849" t="s">
        <v>118</v>
      </c>
      <c r="E849" t="s">
        <v>12</v>
      </c>
      <c r="F849" t="s">
        <v>13</v>
      </c>
      <c r="G849" t="s">
        <v>19</v>
      </c>
      <c r="H849">
        <v>289</v>
      </c>
      <c r="I849">
        <v>3</v>
      </c>
      <c r="J849">
        <v>867</v>
      </c>
    </row>
    <row r="850" spans="1:10" x14ac:dyDescent="0.35">
      <c r="A850" s="3" t="s">
        <v>895</v>
      </c>
      <c r="B850" s="4">
        <v>43365</v>
      </c>
      <c r="C850">
        <v>4</v>
      </c>
      <c r="D850" t="s">
        <v>51</v>
      </c>
      <c r="E850" t="s">
        <v>17</v>
      </c>
      <c r="F850" t="s">
        <v>18</v>
      </c>
      <c r="G850" t="s">
        <v>14</v>
      </c>
      <c r="H850">
        <v>199</v>
      </c>
      <c r="I850">
        <v>8</v>
      </c>
      <c r="J850">
        <v>1592</v>
      </c>
    </row>
    <row r="851" spans="1:10" x14ac:dyDescent="0.35">
      <c r="A851" s="3" t="s">
        <v>896</v>
      </c>
      <c r="B851" s="4">
        <v>43365</v>
      </c>
      <c r="C851">
        <v>10</v>
      </c>
      <c r="D851" t="s">
        <v>58</v>
      </c>
      <c r="E851" t="s">
        <v>46</v>
      </c>
      <c r="F851" t="s">
        <v>23</v>
      </c>
      <c r="G851" t="s">
        <v>19</v>
      </c>
      <c r="H851">
        <v>289</v>
      </c>
      <c r="I851">
        <v>0</v>
      </c>
      <c r="J851">
        <v>0</v>
      </c>
    </row>
    <row r="852" spans="1:10" x14ac:dyDescent="0.35">
      <c r="A852" s="3" t="s">
        <v>897</v>
      </c>
      <c r="B852" s="4">
        <v>43365</v>
      </c>
      <c r="C852">
        <v>17</v>
      </c>
      <c r="D852" t="s">
        <v>35</v>
      </c>
      <c r="E852" t="s">
        <v>27</v>
      </c>
      <c r="F852" t="s">
        <v>28</v>
      </c>
      <c r="G852" t="s">
        <v>19</v>
      </c>
      <c r="H852">
        <v>289</v>
      </c>
      <c r="I852">
        <v>0</v>
      </c>
      <c r="J852">
        <v>0</v>
      </c>
    </row>
    <row r="853" spans="1:10" x14ac:dyDescent="0.35">
      <c r="A853" s="3" t="s">
        <v>898</v>
      </c>
      <c r="B853" s="4">
        <v>43365</v>
      </c>
      <c r="C853">
        <v>6</v>
      </c>
      <c r="D853" t="s">
        <v>48</v>
      </c>
      <c r="E853" t="s">
        <v>46</v>
      </c>
      <c r="F853" t="s">
        <v>23</v>
      </c>
      <c r="G853" t="s">
        <v>41</v>
      </c>
      <c r="H853">
        <v>399</v>
      </c>
      <c r="I853">
        <v>9</v>
      </c>
      <c r="J853">
        <v>3591</v>
      </c>
    </row>
    <row r="854" spans="1:10" x14ac:dyDescent="0.35">
      <c r="A854" s="3" t="s">
        <v>899</v>
      </c>
      <c r="B854" s="4">
        <v>43365</v>
      </c>
      <c r="C854">
        <v>14</v>
      </c>
      <c r="D854" t="s">
        <v>38</v>
      </c>
      <c r="E854" t="s">
        <v>63</v>
      </c>
      <c r="F854" t="s">
        <v>13</v>
      </c>
      <c r="G854" t="s">
        <v>41</v>
      </c>
      <c r="H854">
        <v>399</v>
      </c>
      <c r="I854">
        <v>4</v>
      </c>
      <c r="J854">
        <v>1596</v>
      </c>
    </row>
    <row r="855" spans="1:10" x14ac:dyDescent="0.35">
      <c r="A855" s="3" t="s">
        <v>900</v>
      </c>
      <c r="B855" s="4">
        <v>43365</v>
      </c>
      <c r="C855">
        <v>7</v>
      </c>
      <c r="D855" t="s">
        <v>88</v>
      </c>
      <c r="E855" t="s">
        <v>22</v>
      </c>
      <c r="F855" t="s">
        <v>23</v>
      </c>
      <c r="G855" t="s">
        <v>14</v>
      </c>
      <c r="H855">
        <v>199</v>
      </c>
      <c r="I855">
        <v>5</v>
      </c>
      <c r="J855">
        <v>995</v>
      </c>
    </row>
    <row r="856" spans="1:10" x14ac:dyDescent="0.35">
      <c r="A856" s="3" t="s">
        <v>901</v>
      </c>
      <c r="B856" s="4">
        <v>43365</v>
      </c>
      <c r="C856">
        <v>9</v>
      </c>
      <c r="D856" t="s">
        <v>21</v>
      </c>
      <c r="E856" t="s">
        <v>22</v>
      </c>
      <c r="F856" t="s">
        <v>23</v>
      </c>
      <c r="G856" t="s">
        <v>19</v>
      </c>
      <c r="H856">
        <v>289</v>
      </c>
      <c r="I856">
        <v>7</v>
      </c>
      <c r="J856">
        <v>2023</v>
      </c>
    </row>
    <row r="857" spans="1:10" x14ac:dyDescent="0.35">
      <c r="A857" s="3" t="s">
        <v>902</v>
      </c>
      <c r="B857" s="4">
        <v>43365</v>
      </c>
      <c r="C857">
        <v>19</v>
      </c>
      <c r="D857" t="s">
        <v>56</v>
      </c>
      <c r="E857" t="s">
        <v>36</v>
      </c>
      <c r="F857" t="s">
        <v>28</v>
      </c>
      <c r="G857" t="s">
        <v>24</v>
      </c>
      <c r="H857">
        <v>159</v>
      </c>
      <c r="I857">
        <v>3</v>
      </c>
      <c r="J857">
        <v>477</v>
      </c>
    </row>
    <row r="858" spans="1:10" x14ac:dyDescent="0.35">
      <c r="A858" s="3" t="s">
        <v>903</v>
      </c>
      <c r="B858" s="4">
        <v>43366</v>
      </c>
      <c r="C858">
        <v>19</v>
      </c>
      <c r="D858" t="s">
        <v>56</v>
      </c>
      <c r="E858" t="s">
        <v>27</v>
      </c>
      <c r="F858" t="s">
        <v>28</v>
      </c>
      <c r="G858" t="s">
        <v>19</v>
      </c>
      <c r="H858">
        <v>289</v>
      </c>
      <c r="I858">
        <v>8</v>
      </c>
      <c r="J858">
        <v>2312</v>
      </c>
    </row>
    <row r="859" spans="1:10" x14ac:dyDescent="0.35">
      <c r="A859" s="3" t="s">
        <v>904</v>
      </c>
      <c r="B859" s="4">
        <v>43367</v>
      </c>
      <c r="C859">
        <v>17</v>
      </c>
      <c r="D859" t="s">
        <v>35</v>
      </c>
      <c r="E859" t="s">
        <v>27</v>
      </c>
      <c r="F859" t="s">
        <v>28</v>
      </c>
      <c r="G859" t="s">
        <v>31</v>
      </c>
      <c r="H859">
        <v>69</v>
      </c>
      <c r="I859">
        <v>5</v>
      </c>
      <c r="J859">
        <v>345</v>
      </c>
    </row>
    <row r="860" spans="1:10" x14ac:dyDescent="0.35">
      <c r="A860" s="3" t="s">
        <v>905</v>
      </c>
      <c r="B860" s="4">
        <v>43367</v>
      </c>
      <c r="C860">
        <v>19</v>
      </c>
      <c r="D860" t="s">
        <v>56</v>
      </c>
      <c r="E860" t="s">
        <v>36</v>
      </c>
      <c r="F860" t="s">
        <v>28</v>
      </c>
      <c r="G860" t="s">
        <v>19</v>
      </c>
      <c r="H860">
        <v>289</v>
      </c>
      <c r="I860">
        <v>4</v>
      </c>
      <c r="J860">
        <v>1156</v>
      </c>
    </row>
    <row r="861" spans="1:10" x14ac:dyDescent="0.35">
      <c r="A861" s="3" t="s">
        <v>906</v>
      </c>
      <c r="B861" s="4">
        <v>43367</v>
      </c>
      <c r="C861">
        <v>6</v>
      </c>
      <c r="D861" t="s">
        <v>48</v>
      </c>
      <c r="E861" t="s">
        <v>46</v>
      </c>
      <c r="F861" t="s">
        <v>23</v>
      </c>
      <c r="G861" t="s">
        <v>14</v>
      </c>
      <c r="H861">
        <v>199</v>
      </c>
      <c r="I861">
        <v>8</v>
      </c>
      <c r="J861">
        <v>1592</v>
      </c>
    </row>
    <row r="862" spans="1:10" x14ac:dyDescent="0.35">
      <c r="A862" s="3" t="s">
        <v>907</v>
      </c>
      <c r="B862" s="4">
        <v>43367</v>
      </c>
      <c r="C862">
        <v>14</v>
      </c>
      <c r="D862" t="s">
        <v>38</v>
      </c>
      <c r="E862" t="s">
        <v>12</v>
      </c>
      <c r="F862" t="s">
        <v>13</v>
      </c>
      <c r="G862" t="s">
        <v>41</v>
      </c>
      <c r="H862">
        <v>399</v>
      </c>
      <c r="I862">
        <v>2</v>
      </c>
      <c r="J862">
        <v>798</v>
      </c>
    </row>
    <row r="863" spans="1:10" x14ac:dyDescent="0.35">
      <c r="A863" s="3" t="s">
        <v>908</v>
      </c>
      <c r="B863" s="4">
        <v>43368</v>
      </c>
      <c r="C863">
        <v>17</v>
      </c>
      <c r="D863" t="s">
        <v>35</v>
      </c>
      <c r="E863" t="s">
        <v>27</v>
      </c>
      <c r="F863" t="s">
        <v>28</v>
      </c>
      <c r="G863" t="s">
        <v>31</v>
      </c>
      <c r="H863">
        <v>69</v>
      </c>
      <c r="I863">
        <v>8</v>
      </c>
      <c r="J863">
        <v>552</v>
      </c>
    </row>
    <row r="864" spans="1:10" x14ac:dyDescent="0.35">
      <c r="A864" s="3" t="s">
        <v>909</v>
      </c>
      <c r="B864" s="4">
        <v>43368</v>
      </c>
      <c r="C864">
        <v>16</v>
      </c>
      <c r="D864" t="s">
        <v>30</v>
      </c>
      <c r="E864" t="s">
        <v>27</v>
      </c>
      <c r="F864" t="s">
        <v>28</v>
      </c>
      <c r="G864" t="s">
        <v>14</v>
      </c>
      <c r="H864">
        <v>199</v>
      </c>
      <c r="I864">
        <v>0</v>
      </c>
      <c r="J864">
        <v>0</v>
      </c>
    </row>
    <row r="865" spans="1:10" x14ac:dyDescent="0.35">
      <c r="A865" s="3" t="s">
        <v>910</v>
      </c>
      <c r="B865" s="4">
        <v>43368</v>
      </c>
      <c r="C865">
        <v>3</v>
      </c>
      <c r="D865" t="s">
        <v>43</v>
      </c>
      <c r="E865" t="s">
        <v>68</v>
      </c>
      <c r="F865" t="s">
        <v>18</v>
      </c>
      <c r="G865" t="s">
        <v>19</v>
      </c>
      <c r="H865">
        <v>289</v>
      </c>
      <c r="I865">
        <v>4</v>
      </c>
      <c r="J865">
        <v>1156</v>
      </c>
    </row>
    <row r="866" spans="1:10" x14ac:dyDescent="0.35">
      <c r="A866" s="3" t="s">
        <v>911</v>
      </c>
      <c r="B866" s="4">
        <v>43369</v>
      </c>
      <c r="C866">
        <v>16</v>
      </c>
      <c r="D866" t="s">
        <v>30</v>
      </c>
      <c r="E866" t="s">
        <v>27</v>
      </c>
      <c r="F866" t="s">
        <v>28</v>
      </c>
      <c r="G866" t="s">
        <v>31</v>
      </c>
      <c r="H866">
        <v>69</v>
      </c>
      <c r="I866">
        <v>6</v>
      </c>
      <c r="J866">
        <v>414</v>
      </c>
    </row>
    <row r="867" spans="1:10" x14ac:dyDescent="0.35">
      <c r="A867" s="3" t="s">
        <v>912</v>
      </c>
      <c r="B867" s="4">
        <v>43369</v>
      </c>
      <c r="C867">
        <v>19</v>
      </c>
      <c r="D867" t="s">
        <v>56</v>
      </c>
      <c r="E867" t="s">
        <v>36</v>
      </c>
      <c r="F867" t="s">
        <v>28</v>
      </c>
      <c r="G867" t="s">
        <v>31</v>
      </c>
      <c r="H867">
        <v>69</v>
      </c>
      <c r="I867">
        <v>2</v>
      </c>
      <c r="J867">
        <v>138</v>
      </c>
    </row>
    <row r="868" spans="1:10" x14ac:dyDescent="0.35">
      <c r="A868" s="3" t="s">
        <v>913</v>
      </c>
      <c r="B868" s="4">
        <v>43370</v>
      </c>
      <c r="C868">
        <v>7</v>
      </c>
      <c r="D868" t="s">
        <v>88</v>
      </c>
      <c r="E868" t="s">
        <v>46</v>
      </c>
      <c r="F868" t="s">
        <v>23</v>
      </c>
      <c r="G868" t="s">
        <v>14</v>
      </c>
      <c r="H868">
        <v>199</v>
      </c>
      <c r="I868">
        <v>6</v>
      </c>
      <c r="J868">
        <v>1194</v>
      </c>
    </row>
    <row r="869" spans="1:10" x14ac:dyDescent="0.35">
      <c r="A869" s="3" t="s">
        <v>914</v>
      </c>
      <c r="B869" s="4">
        <v>43370</v>
      </c>
      <c r="C869">
        <v>9</v>
      </c>
      <c r="D869" t="s">
        <v>21</v>
      </c>
      <c r="E869" t="s">
        <v>46</v>
      </c>
      <c r="F869" t="s">
        <v>23</v>
      </c>
      <c r="G869" t="s">
        <v>31</v>
      </c>
      <c r="H869">
        <v>69</v>
      </c>
      <c r="I869">
        <v>7</v>
      </c>
      <c r="J869">
        <v>483</v>
      </c>
    </row>
    <row r="870" spans="1:10" x14ac:dyDescent="0.35">
      <c r="A870" s="3" t="s">
        <v>915</v>
      </c>
      <c r="B870" s="4">
        <v>43371</v>
      </c>
      <c r="C870">
        <v>14</v>
      </c>
      <c r="D870" t="s">
        <v>38</v>
      </c>
      <c r="E870" t="s">
        <v>63</v>
      </c>
      <c r="F870" t="s">
        <v>13</v>
      </c>
      <c r="G870" t="s">
        <v>41</v>
      </c>
      <c r="H870">
        <v>399</v>
      </c>
      <c r="I870">
        <v>3</v>
      </c>
      <c r="J870">
        <v>1197</v>
      </c>
    </row>
    <row r="871" spans="1:10" x14ac:dyDescent="0.35">
      <c r="A871" s="3" t="s">
        <v>916</v>
      </c>
      <c r="B871" s="4">
        <v>43371</v>
      </c>
      <c r="C871">
        <v>3</v>
      </c>
      <c r="D871" t="s">
        <v>43</v>
      </c>
      <c r="E871" t="s">
        <v>68</v>
      </c>
      <c r="F871" t="s">
        <v>18</v>
      </c>
      <c r="G871" t="s">
        <v>24</v>
      </c>
      <c r="H871">
        <v>159</v>
      </c>
      <c r="I871">
        <v>5</v>
      </c>
      <c r="J871">
        <v>795</v>
      </c>
    </row>
    <row r="872" spans="1:10" x14ac:dyDescent="0.35">
      <c r="A872" s="3" t="s">
        <v>917</v>
      </c>
      <c r="B872" s="4">
        <v>43371</v>
      </c>
      <c r="C872">
        <v>9</v>
      </c>
      <c r="D872" t="s">
        <v>21</v>
      </c>
      <c r="E872" t="s">
        <v>46</v>
      </c>
      <c r="F872" t="s">
        <v>23</v>
      </c>
      <c r="G872" t="s">
        <v>31</v>
      </c>
      <c r="H872">
        <v>69</v>
      </c>
      <c r="I872">
        <v>6</v>
      </c>
      <c r="J872">
        <v>414</v>
      </c>
    </row>
    <row r="873" spans="1:10" x14ac:dyDescent="0.35">
      <c r="A873" s="3" t="s">
        <v>918</v>
      </c>
      <c r="B873" s="4">
        <v>43371</v>
      </c>
      <c r="C873">
        <v>1</v>
      </c>
      <c r="D873" t="s">
        <v>16</v>
      </c>
      <c r="E873" t="s">
        <v>17</v>
      </c>
      <c r="F873" t="s">
        <v>18</v>
      </c>
      <c r="G873" t="s">
        <v>24</v>
      </c>
      <c r="H873">
        <v>159</v>
      </c>
      <c r="I873">
        <v>5</v>
      </c>
      <c r="J873">
        <v>795</v>
      </c>
    </row>
    <row r="874" spans="1:10" x14ac:dyDescent="0.35">
      <c r="A874" s="3" t="s">
        <v>919</v>
      </c>
      <c r="B874" s="4">
        <v>43372</v>
      </c>
      <c r="C874">
        <v>20</v>
      </c>
      <c r="D874" t="s">
        <v>40</v>
      </c>
      <c r="E874" t="s">
        <v>27</v>
      </c>
      <c r="F874" t="s">
        <v>28</v>
      </c>
      <c r="G874" t="s">
        <v>14</v>
      </c>
      <c r="H874">
        <v>199</v>
      </c>
      <c r="I874">
        <v>3</v>
      </c>
      <c r="J874">
        <v>597</v>
      </c>
    </row>
    <row r="875" spans="1:10" x14ac:dyDescent="0.35">
      <c r="A875" s="3" t="s">
        <v>920</v>
      </c>
      <c r="B875" s="4">
        <v>43372</v>
      </c>
      <c r="C875">
        <v>3</v>
      </c>
      <c r="D875" t="s">
        <v>43</v>
      </c>
      <c r="E875" t="s">
        <v>68</v>
      </c>
      <c r="F875" t="s">
        <v>18</v>
      </c>
      <c r="G875" t="s">
        <v>19</v>
      </c>
      <c r="H875">
        <v>289</v>
      </c>
      <c r="I875">
        <v>8</v>
      </c>
      <c r="J875">
        <v>2312</v>
      </c>
    </row>
    <row r="876" spans="1:10" x14ac:dyDescent="0.35">
      <c r="A876" s="3" t="s">
        <v>921</v>
      </c>
      <c r="B876" s="4">
        <v>43372</v>
      </c>
      <c r="C876">
        <v>4</v>
      </c>
      <c r="D876" t="s">
        <v>51</v>
      </c>
      <c r="E876" t="s">
        <v>68</v>
      </c>
      <c r="F876" t="s">
        <v>18</v>
      </c>
      <c r="G876" t="s">
        <v>31</v>
      </c>
      <c r="H876">
        <v>69</v>
      </c>
      <c r="I876">
        <v>6</v>
      </c>
      <c r="J876">
        <v>414</v>
      </c>
    </row>
    <row r="877" spans="1:10" x14ac:dyDescent="0.35">
      <c r="A877" s="3" t="s">
        <v>922</v>
      </c>
      <c r="B877" s="4">
        <v>43372</v>
      </c>
      <c r="C877">
        <v>7</v>
      </c>
      <c r="D877" t="s">
        <v>88</v>
      </c>
      <c r="E877" t="s">
        <v>46</v>
      </c>
      <c r="F877" t="s">
        <v>23</v>
      </c>
      <c r="G877" t="s">
        <v>19</v>
      </c>
      <c r="H877">
        <v>289</v>
      </c>
      <c r="I877">
        <v>0</v>
      </c>
      <c r="J877">
        <v>0</v>
      </c>
    </row>
    <row r="878" spans="1:10" x14ac:dyDescent="0.35">
      <c r="A878" s="3" t="s">
        <v>923</v>
      </c>
      <c r="B878" s="4">
        <v>43373</v>
      </c>
      <c r="C878">
        <v>11</v>
      </c>
      <c r="D878" t="s">
        <v>11</v>
      </c>
      <c r="E878" t="s">
        <v>12</v>
      </c>
      <c r="F878" t="s">
        <v>13</v>
      </c>
      <c r="G878" t="s">
        <v>19</v>
      </c>
      <c r="H878">
        <v>289</v>
      </c>
      <c r="I878">
        <v>1</v>
      </c>
      <c r="J878">
        <v>289</v>
      </c>
    </row>
    <row r="879" spans="1:10" x14ac:dyDescent="0.35">
      <c r="A879" s="3" t="s">
        <v>924</v>
      </c>
      <c r="B879" s="4">
        <v>43373</v>
      </c>
      <c r="C879">
        <v>15</v>
      </c>
      <c r="D879" t="s">
        <v>118</v>
      </c>
      <c r="E879" t="s">
        <v>63</v>
      </c>
      <c r="F879" t="s">
        <v>13</v>
      </c>
      <c r="G879" t="s">
        <v>24</v>
      </c>
      <c r="H879">
        <v>159</v>
      </c>
      <c r="I879">
        <v>0</v>
      </c>
      <c r="J879">
        <v>0</v>
      </c>
    </row>
    <row r="880" spans="1:10" x14ac:dyDescent="0.35">
      <c r="A880" s="3" t="s">
        <v>925</v>
      </c>
      <c r="B880" s="4">
        <v>43373</v>
      </c>
      <c r="C880">
        <v>20</v>
      </c>
      <c r="D880" t="s">
        <v>40</v>
      </c>
      <c r="E880" t="s">
        <v>36</v>
      </c>
      <c r="F880" t="s">
        <v>28</v>
      </c>
      <c r="G880" t="s">
        <v>14</v>
      </c>
      <c r="H880">
        <v>199</v>
      </c>
      <c r="I880">
        <v>1</v>
      </c>
      <c r="J880">
        <v>199</v>
      </c>
    </row>
    <row r="881" spans="1:10" x14ac:dyDescent="0.35">
      <c r="A881" s="3" t="s">
        <v>926</v>
      </c>
      <c r="B881" s="4">
        <v>43373</v>
      </c>
      <c r="C881">
        <v>6</v>
      </c>
      <c r="D881" t="s">
        <v>48</v>
      </c>
      <c r="E881" t="s">
        <v>22</v>
      </c>
      <c r="F881" t="s">
        <v>23</v>
      </c>
      <c r="G881" t="s">
        <v>14</v>
      </c>
      <c r="H881">
        <v>199</v>
      </c>
      <c r="I881">
        <v>7</v>
      </c>
      <c r="J881">
        <v>1393</v>
      </c>
    </row>
    <row r="882" spans="1:10" x14ac:dyDescent="0.35">
      <c r="A882" s="3" t="s">
        <v>927</v>
      </c>
      <c r="B882" s="4">
        <v>43374</v>
      </c>
      <c r="C882">
        <v>9</v>
      </c>
      <c r="D882" t="s">
        <v>21</v>
      </c>
      <c r="E882" t="s">
        <v>22</v>
      </c>
      <c r="F882" t="s">
        <v>23</v>
      </c>
      <c r="G882" t="s">
        <v>41</v>
      </c>
      <c r="H882">
        <v>399</v>
      </c>
      <c r="I882">
        <v>7</v>
      </c>
      <c r="J882">
        <v>2793</v>
      </c>
    </row>
    <row r="883" spans="1:10" x14ac:dyDescent="0.35">
      <c r="A883" s="3" t="s">
        <v>928</v>
      </c>
      <c r="B883" s="4">
        <v>43374</v>
      </c>
      <c r="C883">
        <v>7</v>
      </c>
      <c r="D883" t="s">
        <v>88</v>
      </c>
      <c r="E883" t="s">
        <v>46</v>
      </c>
      <c r="F883" t="s">
        <v>23</v>
      </c>
      <c r="G883" t="s">
        <v>24</v>
      </c>
      <c r="H883">
        <v>159</v>
      </c>
      <c r="I883">
        <v>2</v>
      </c>
      <c r="J883">
        <v>318</v>
      </c>
    </row>
    <row r="884" spans="1:10" x14ac:dyDescent="0.35">
      <c r="A884" s="3" t="s">
        <v>929</v>
      </c>
      <c r="B884" s="4">
        <v>43375</v>
      </c>
      <c r="C884">
        <v>3</v>
      </c>
      <c r="D884" t="s">
        <v>43</v>
      </c>
      <c r="E884" t="s">
        <v>68</v>
      </c>
      <c r="F884" t="s">
        <v>18</v>
      </c>
      <c r="G884" t="s">
        <v>14</v>
      </c>
      <c r="H884">
        <v>199</v>
      </c>
      <c r="I884">
        <v>5</v>
      </c>
      <c r="J884">
        <v>995</v>
      </c>
    </row>
    <row r="885" spans="1:10" x14ac:dyDescent="0.35">
      <c r="A885" s="3" t="s">
        <v>930</v>
      </c>
      <c r="B885" s="4">
        <v>43375</v>
      </c>
      <c r="C885">
        <v>14</v>
      </c>
      <c r="D885" t="s">
        <v>38</v>
      </c>
      <c r="E885" t="s">
        <v>63</v>
      </c>
      <c r="F885" t="s">
        <v>13</v>
      </c>
      <c r="G885" t="s">
        <v>19</v>
      </c>
      <c r="H885">
        <v>289</v>
      </c>
      <c r="I885">
        <v>9</v>
      </c>
      <c r="J885">
        <v>2601</v>
      </c>
    </row>
    <row r="886" spans="1:10" x14ac:dyDescent="0.35">
      <c r="A886" s="3" t="s">
        <v>931</v>
      </c>
      <c r="B886" s="4">
        <v>43375</v>
      </c>
      <c r="C886">
        <v>15</v>
      </c>
      <c r="D886" t="s">
        <v>118</v>
      </c>
      <c r="E886" t="s">
        <v>63</v>
      </c>
      <c r="F886" t="s">
        <v>13</v>
      </c>
      <c r="G886" t="s">
        <v>24</v>
      </c>
      <c r="H886">
        <v>159</v>
      </c>
      <c r="I886">
        <v>8</v>
      </c>
      <c r="J886">
        <v>1272</v>
      </c>
    </row>
    <row r="887" spans="1:10" x14ac:dyDescent="0.35">
      <c r="A887" s="3" t="s">
        <v>932</v>
      </c>
      <c r="B887" s="4">
        <v>43376</v>
      </c>
      <c r="C887">
        <v>20</v>
      </c>
      <c r="D887" t="s">
        <v>40</v>
      </c>
      <c r="E887" t="s">
        <v>27</v>
      </c>
      <c r="F887" t="s">
        <v>28</v>
      </c>
      <c r="G887" t="s">
        <v>24</v>
      </c>
      <c r="H887">
        <v>159</v>
      </c>
      <c r="I887">
        <v>1</v>
      </c>
      <c r="J887">
        <v>159</v>
      </c>
    </row>
    <row r="888" spans="1:10" x14ac:dyDescent="0.35">
      <c r="A888" s="3" t="s">
        <v>933</v>
      </c>
      <c r="B888" s="4">
        <v>43377</v>
      </c>
      <c r="C888">
        <v>20</v>
      </c>
      <c r="D888" t="s">
        <v>40</v>
      </c>
      <c r="E888" t="s">
        <v>36</v>
      </c>
      <c r="F888" t="s">
        <v>28</v>
      </c>
      <c r="G888" t="s">
        <v>19</v>
      </c>
      <c r="H888">
        <v>289</v>
      </c>
      <c r="I888">
        <v>1</v>
      </c>
      <c r="J888">
        <v>289</v>
      </c>
    </row>
    <row r="889" spans="1:10" x14ac:dyDescent="0.35">
      <c r="A889" s="3" t="s">
        <v>934</v>
      </c>
      <c r="B889" s="4">
        <v>43377</v>
      </c>
      <c r="C889">
        <v>15</v>
      </c>
      <c r="D889" t="s">
        <v>118</v>
      </c>
      <c r="E889" t="s">
        <v>12</v>
      </c>
      <c r="F889" t="s">
        <v>13</v>
      </c>
      <c r="G889" t="s">
        <v>14</v>
      </c>
      <c r="H889">
        <v>199</v>
      </c>
      <c r="I889">
        <v>3</v>
      </c>
      <c r="J889">
        <v>597</v>
      </c>
    </row>
    <row r="890" spans="1:10" x14ac:dyDescent="0.35">
      <c r="A890" s="3" t="s">
        <v>935</v>
      </c>
      <c r="B890" s="4">
        <v>43378</v>
      </c>
      <c r="C890">
        <v>20</v>
      </c>
      <c r="D890" t="s">
        <v>40</v>
      </c>
      <c r="E890" t="s">
        <v>27</v>
      </c>
      <c r="F890" t="s">
        <v>28</v>
      </c>
      <c r="G890" t="s">
        <v>14</v>
      </c>
      <c r="H890">
        <v>199</v>
      </c>
      <c r="I890">
        <v>3</v>
      </c>
      <c r="J890">
        <v>597</v>
      </c>
    </row>
    <row r="891" spans="1:10" x14ac:dyDescent="0.35">
      <c r="A891" s="3" t="s">
        <v>936</v>
      </c>
      <c r="B891" s="4">
        <v>43378</v>
      </c>
      <c r="C891">
        <v>9</v>
      </c>
      <c r="D891" t="s">
        <v>21</v>
      </c>
      <c r="E891" t="s">
        <v>46</v>
      </c>
      <c r="F891" t="s">
        <v>23</v>
      </c>
      <c r="G891" t="s">
        <v>19</v>
      </c>
      <c r="H891">
        <v>289</v>
      </c>
      <c r="I891">
        <v>9</v>
      </c>
      <c r="J891">
        <v>2601</v>
      </c>
    </row>
    <row r="892" spans="1:10" x14ac:dyDescent="0.35">
      <c r="A892" s="3" t="s">
        <v>937</v>
      </c>
      <c r="B892" s="4">
        <v>43378</v>
      </c>
      <c r="C892">
        <v>4</v>
      </c>
      <c r="D892" t="s">
        <v>51</v>
      </c>
      <c r="E892" t="s">
        <v>17</v>
      </c>
      <c r="F892" t="s">
        <v>18</v>
      </c>
      <c r="G892" t="s">
        <v>14</v>
      </c>
      <c r="H892">
        <v>199</v>
      </c>
      <c r="I892">
        <v>9</v>
      </c>
      <c r="J892">
        <v>1791</v>
      </c>
    </row>
    <row r="893" spans="1:10" x14ac:dyDescent="0.35">
      <c r="A893" s="3" t="s">
        <v>938</v>
      </c>
      <c r="B893" s="4">
        <v>43378</v>
      </c>
      <c r="C893">
        <v>16</v>
      </c>
      <c r="D893" t="s">
        <v>30</v>
      </c>
      <c r="E893" t="s">
        <v>36</v>
      </c>
      <c r="F893" t="s">
        <v>28</v>
      </c>
      <c r="G893" t="s">
        <v>24</v>
      </c>
      <c r="H893">
        <v>159</v>
      </c>
      <c r="I893">
        <v>7</v>
      </c>
      <c r="J893">
        <v>1113</v>
      </c>
    </row>
    <row r="894" spans="1:10" x14ac:dyDescent="0.35">
      <c r="A894" s="3" t="s">
        <v>939</v>
      </c>
      <c r="B894" s="4">
        <v>43378</v>
      </c>
      <c r="C894">
        <v>5</v>
      </c>
      <c r="D894" t="s">
        <v>60</v>
      </c>
      <c r="E894" t="s">
        <v>68</v>
      </c>
      <c r="F894" t="s">
        <v>18</v>
      </c>
      <c r="G894" t="s">
        <v>31</v>
      </c>
      <c r="H894">
        <v>69</v>
      </c>
      <c r="I894">
        <v>3</v>
      </c>
      <c r="J894">
        <v>207</v>
      </c>
    </row>
    <row r="895" spans="1:10" x14ac:dyDescent="0.35">
      <c r="A895" s="3" t="s">
        <v>940</v>
      </c>
      <c r="B895" s="4">
        <v>43379</v>
      </c>
      <c r="C895">
        <v>11</v>
      </c>
      <c r="D895" t="s">
        <v>11</v>
      </c>
      <c r="E895" t="s">
        <v>63</v>
      </c>
      <c r="F895" t="s">
        <v>13</v>
      </c>
      <c r="G895" t="s">
        <v>24</v>
      </c>
      <c r="H895">
        <v>159</v>
      </c>
      <c r="I895">
        <v>6</v>
      </c>
      <c r="J895">
        <v>954</v>
      </c>
    </row>
    <row r="896" spans="1:10" x14ac:dyDescent="0.35">
      <c r="A896" s="3" t="s">
        <v>941</v>
      </c>
      <c r="B896" s="4">
        <v>43379</v>
      </c>
      <c r="C896">
        <v>9</v>
      </c>
      <c r="D896" t="s">
        <v>21</v>
      </c>
      <c r="E896" t="s">
        <v>22</v>
      </c>
      <c r="F896" t="s">
        <v>23</v>
      </c>
      <c r="G896" t="s">
        <v>14</v>
      </c>
      <c r="H896">
        <v>199</v>
      </c>
      <c r="I896">
        <v>2</v>
      </c>
      <c r="J896">
        <v>398</v>
      </c>
    </row>
    <row r="897" spans="1:10" x14ac:dyDescent="0.35">
      <c r="A897" s="3" t="s">
        <v>942</v>
      </c>
      <c r="B897" s="4">
        <v>43379</v>
      </c>
      <c r="C897">
        <v>6</v>
      </c>
      <c r="D897" t="s">
        <v>48</v>
      </c>
      <c r="E897" t="s">
        <v>46</v>
      </c>
      <c r="F897" t="s">
        <v>23</v>
      </c>
      <c r="G897" t="s">
        <v>14</v>
      </c>
      <c r="H897">
        <v>199</v>
      </c>
      <c r="I897">
        <v>8</v>
      </c>
      <c r="J897">
        <v>1592</v>
      </c>
    </row>
    <row r="898" spans="1:10" x14ac:dyDescent="0.35">
      <c r="A898" s="3" t="s">
        <v>943</v>
      </c>
      <c r="B898" s="4">
        <v>43379</v>
      </c>
      <c r="C898">
        <v>4</v>
      </c>
      <c r="D898" t="s">
        <v>51</v>
      </c>
      <c r="E898" t="s">
        <v>17</v>
      </c>
      <c r="F898" t="s">
        <v>18</v>
      </c>
      <c r="G898" t="s">
        <v>41</v>
      </c>
      <c r="H898">
        <v>399</v>
      </c>
      <c r="I898">
        <v>0</v>
      </c>
      <c r="J898">
        <v>0</v>
      </c>
    </row>
    <row r="899" spans="1:10" x14ac:dyDescent="0.35">
      <c r="A899" s="3" t="s">
        <v>944</v>
      </c>
      <c r="B899" s="4">
        <v>43379</v>
      </c>
      <c r="C899">
        <v>17</v>
      </c>
      <c r="D899" t="s">
        <v>35</v>
      </c>
      <c r="E899" t="s">
        <v>36</v>
      </c>
      <c r="F899" t="s">
        <v>28</v>
      </c>
      <c r="G899" t="s">
        <v>14</v>
      </c>
      <c r="H899">
        <v>199</v>
      </c>
      <c r="I899">
        <v>2</v>
      </c>
      <c r="J899">
        <v>398</v>
      </c>
    </row>
    <row r="900" spans="1:10" x14ac:dyDescent="0.35">
      <c r="A900" s="3" t="s">
        <v>945</v>
      </c>
      <c r="B900" s="4">
        <v>43380</v>
      </c>
      <c r="C900">
        <v>1</v>
      </c>
      <c r="D900" t="s">
        <v>16</v>
      </c>
      <c r="E900" t="s">
        <v>68</v>
      </c>
      <c r="F900" t="s">
        <v>18</v>
      </c>
      <c r="G900" t="s">
        <v>14</v>
      </c>
      <c r="H900">
        <v>199</v>
      </c>
      <c r="I900">
        <v>4</v>
      </c>
      <c r="J900">
        <v>796</v>
      </c>
    </row>
    <row r="901" spans="1:10" x14ac:dyDescent="0.35">
      <c r="A901" s="3" t="s">
        <v>946</v>
      </c>
      <c r="B901" s="4">
        <v>43380</v>
      </c>
      <c r="C901">
        <v>4</v>
      </c>
      <c r="D901" t="s">
        <v>51</v>
      </c>
      <c r="E901" t="s">
        <v>17</v>
      </c>
      <c r="F901" t="s">
        <v>18</v>
      </c>
      <c r="G901" t="s">
        <v>24</v>
      </c>
      <c r="H901">
        <v>159</v>
      </c>
      <c r="I901">
        <v>5</v>
      </c>
      <c r="J901">
        <v>795</v>
      </c>
    </row>
    <row r="902" spans="1:10" x14ac:dyDescent="0.35">
      <c r="A902" s="3" t="s">
        <v>947</v>
      </c>
      <c r="B902" s="4">
        <v>43381</v>
      </c>
      <c r="C902">
        <v>15</v>
      </c>
      <c r="D902" t="s">
        <v>118</v>
      </c>
      <c r="E902" t="s">
        <v>12</v>
      </c>
      <c r="F902" t="s">
        <v>13</v>
      </c>
      <c r="G902" t="s">
        <v>41</v>
      </c>
      <c r="H902">
        <v>399</v>
      </c>
      <c r="I902">
        <v>7</v>
      </c>
      <c r="J902">
        <v>2793</v>
      </c>
    </row>
    <row r="903" spans="1:10" x14ac:dyDescent="0.35">
      <c r="A903" s="3" t="s">
        <v>948</v>
      </c>
      <c r="B903" s="4">
        <v>43382</v>
      </c>
      <c r="C903">
        <v>13</v>
      </c>
      <c r="D903" t="s">
        <v>33</v>
      </c>
      <c r="E903" t="s">
        <v>12</v>
      </c>
      <c r="F903" t="s">
        <v>13</v>
      </c>
      <c r="G903" t="s">
        <v>41</v>
      </c>
      <c r="H903">
        <v>399</v>
      </c>
      <c r="I903">
        <v>4</v>
      </c>
      <c r="J903">
        <v>1596</v>
      </c>
    </row>
    <row r="904" spans="1:10" x14ac:dyDescent="0.35">
      <c r="A904" s="3" t="s">
        <v>949</v>
      </c>
      <c r="B904" s="4">
        <v>43383</v>
      </c>
      <c r="C904">
        <v>6</v>
      </c>
      <c r="D904" t="s">
        <v>48</v>
      </c>
      <c r="E904" t="s">
        <v>22</v>
      </c>
      <c r="F904" t="s">
        <v>23</v>
      </c>
      <c r="G904" t="s">
        <v>19</v>
      </c>
      <c r="H904">
        <v>289</v>
      </c>
      <c r="I904">
        <v>3</v>
      </c>
      <c r="J904">
        <v>867</v>
      </c>
    </row>
    <row r="905" spans="1:10" x14ac:dyDescent="0.35">
      <c r="A905" s="3" t="s">
        <v>950</v>
      </c>
      <c r="B905" s="4">
        <v>43383</v>
      </c>
      <c r="C905">
        <v>5</v>
      </c>
      <c r="D905" t="s">
        <v>60</v>
      </c>
      <c r="E905" t="s">
        <v>17</v>
      </c>
      <c r="F905" t="s">
        <v>18</v>
      </c>
      <c r="G905" t="s">
        <v>19</v>
      </c>
      <c r="H905">
        <v>289</v>
      </c>
      <c r="I905">
        <v>1</v>
      </c>
      <c r="J905">
        <v>289</v>
      </c>
    </row>
    <row r="906" spans="1:10" x14ac:dyDescent="0.35">
      <c r="A906" s="3" t="s">
        <v>951</v>
      </c>
      <c r="B906" s="4">
        <v>43384</v>
      </c>
      <c r="C906">
        <v>13</v>
      </c>
      <c r="D906" t="s">
        <v>33</v>
      </c>
      <c r="E906" t="s">
        <v>12</v>
      </c>
      <c r="F906" t="s">
        <v>13</v>
      </c>
      <c r="G906" t="s">
        <v>19</v>
      </c>
      <c r="H906">
        <v>289</v>
      </c>
      <c r="I906">
        <v>7</v>
      </c>
      <c r="J906">
        <v>2023</v>
      </c>
    </row>
    <row r="907" spans="1:10" x14ac:dyDescent="0.35">
      <c r="A907" s="3" t="s">
        <v>952</v>
      </c>
      <c r="B907" s="4">
        <v>43384</v>
      </c>
      <c r="C907">
        <v>19</v>
      </c>
      <c r="D907" t="s">
        <v>56</v>
      </c>
      <c r="E907" t="s">
        <v>27</v>
      </c>
      <c r="F907" t="s">
        <v>28</v>
      </c>
      <c r="G907" t="s">
        <v>14</v>
      </c>
      <c r="H907">
        <v>199</v>
      </c>
      <c r="I907">
        <v>5</v>
      </c>
      <c r="J907">
        <v>995</v>
      </c>
    </row>
    <row r="908" spans="1:10" x14ac:dyDescent="0.35">
      <c r="A908" s="3" t="s">
        <v>953</v>
      </c>
      <c r="B908" s="4">
        <v>43385</v>
      </c>
      <c r="C908">
        <v>10</v>
      </c>
      <c r="D908" t="s">
        <v>58</v>
      </c>
      <c r="E908" t="s">
        <v>22</v>
      </c>
      <c r="F908" t="s">
        <v>23</v>
      </c>
      <c r="G908" t="s">
        <v>14</v>
      </c>
      <c r="H908">
        <v>199</v>
      </c>
      <c r="I908">
        <v>1</v>
      </c>
      <c r="J908">
        <v>199</v>
      </c>
    </row>
    <row r="909" spans="1:10" x14ac:dyDescent="0.35">
      <c r="A909" s="3" t="s">
        <v>954</v>
      </c>
      <c r="B909" s="4">
        <v>43385</v>
      </c>
      <c r="C909">
        <v>20</v>
      </c>
      <c r="D909" t="s">
        <v>40</v>
      </c>
      <c r="E909" t="s">
        <v>27</v>
      </c>
      <c r="F909" t="s">
        <v>28</v>
      </c>
      <c r="G909" t="s">
        <v>19</v>
      </c>
      <c r="H909">
        <v>289</v>
      </c>
      <c r="I909">
        <v>3</v>
      </c>
      <c r="J909">
        <v>867</v>
      </c>
    </row>
    <row r="910" spans="1:10" x14ac:dyDescent="0.35">
      <c r="A910" s="3" t="s">
        <v>955</v>
      </c>
      <c r="B910" s="4">
        <v>43386</v>
      </c>
      <c r="C910">
        <v>7</v>
      </c>
      <c r="D910" t="s">
        <v>88</v>
      </c>
      <c r="E910" t="s">
        <v>46</v>
      </c>
      <c r="F910" t="s">
        <v>23</v>
      </c>
      <c r="G910" t="s">
        <v>24</v>
      </c>
      <c r="H910">
        <v>159</v>
      </c>
      <c r="I910">
        <v>8</v>
      </c>
      <c r="J910">
        <v>1272</v>
      </c>
    </row>
    <row r="911" spans="1:10" x14ac:dyDescent="0.35">
      <c r="A911" s="3" t="s">
        <v>956</v>
      </c>
      <c r="B911" s="4">
        <v>43386</v>
      </c>
      <c r="C911">
        <v>19</v>
      </c>
      <c r="D911" t="s">
        <v>56</v>
      </c>
      <c r="E911" t="s">
        <v>27</v>
      </c>
      <c r="F911" t="s">
        <v>28</v>
      </c>
      <c r="G911" t="s">
        <v>14</v>
      </c>
      <c r="H911">
        <v>199</v>
      </c>
      <c r="I911">
        <v>3</v>
      </c>
      <c r="J911">
        <v>597</v>
      </c>
    </row>
    <row r="912" spans="1:10" x14ac:dyDescent="0.35">
      <c r="A912" s="3" t="s">
        <v>957</v>
      </c>
      <c r="B912" s="4">
        <v>43386</v>
      </c>
      <c r="C912">
        <v>18</v>
      </c>
      <c r="D912" t="s">
        <v>26</v>
      </c>
      <c r="E912" t="s">
        <v>27</v>
      </c>
      <c r="F912" t="s">
        <v>28</v>
      </c>
      <c r="G912" t="s">
        <v>31</v>
      </c>
      <c r="H912">
        <v>69</v>
      </c>
      <c r="I912">
        <v>9</v>
      </c>
      <c r="J912">
        <v>621</v>
      </c>
    </row>
    <row r="913" spans="1:10" x14ac:dyDescent="0.35">
      <c r="A913" s="3" t="s">
        <v>958</v>
      </c>
      <c r="B913" s="4">
        <v>43386</v>
      </c>
      <c r="C913">
        <v>13</v>
      </c>
      <c r="D913" t="s">
        <v>33</v>
      </c>
      <c r="E913" t="s">
        <v>12</v>
      </c>
      <c r="F913" t="s">
        <v>13</v>
      </c>
      <c r="G913" t="s">
        <v>19</v>
      </c>
      <c r="H913">
        <v>289</v>
      </c>
      <c r="I913">
        <v>8</v>
      </c>
      <c r="J913">
        <v>2312</v>
      </c>
    </row>
    <row r="914" spans="1:10" x14ac:dyDescent="0.35">
      <c r="A914" s="3" t="s">
        <v>959</v>
      </c>
      <c r="B914" s="4">
        <v>43386</v>
      </c>
      <c r="C914">
        <v>9</v>
      </c>
      <c r="D914" t="s">
        <v>21</v>
      </c>
      <c r="E914" t="s">
        <v>46</v>
      </c>
      <c r="F914" t="s">
        <v>23</v>
      </c>
      <c r="G914" t="s">
        <v>14</v>
      </c>
      <c r="H914">
        <v>199</v>
      </c>
      <c r="I914">
        <v>5</v>
      </c>
      <c r="J914">
        <v>995</v>
      </c>
    </row>
    <row r="915" spans="1:10" x14ac:dyDescent="0.35">
      <c r="A915" s="3" t="s">
        <v>960</v>
      </c>
      <c r="B915" s="4">
        <v>43386</v>
      </c>
      <c r="C915">
        <v>14</v>
      </c>
      <c r="D915" t="s">
        <v>38</v>
      </c>
      <c r="E915" t="s">
        <v>12</v>
      </c>
      <c r="F915" t="s">
        <v>13</v>
      </c>
      <c r="G915" t="s">
        <v>24</v>
      </c>
      <c r="H915">
        <v>159</v>
      </c>
      <c r="I915">
        <v>7</v>
      </c>
      <c r="J915">
        <v>1113</v>
      </c>
    </row>
    <row r="916" spans="1:10" x14ac:dyDescent="0.35">
      <c r="A916" s="3" t="s">
        <v>961</v>
      </c>
      <c r="B916" s="4">
        <v>43387</v>
      </c>
      <c r="C916">
        <v>3</v>
      </c>
      <c r="D916" t="s">
        <v>43</v>
      </c>
      <c r="E916" t="s">
        <v>17</v>
      </c>
      <c r="F916" t="s">
        <v>18</v>
      </c>
      <c r="G916" t="s">
        <v>31</v>
      </c>
      <c r="H916">
        <v>69</v>
      </c>
      <c r="I916">
        <v>2</v>
      </c>
      <c r="J916">
        <v>138</v>
      </c>
    </row>
    <row r="917" spans="1:10" x14ac:dyDescent="0.35">
      <c r="A917" s="3" t="s">
        <v>962</v>
      </c>
      <c r="B917" s="4">
        <v>43387</v>
      </c>
      <c r="C917">
        <v>10</v>
      </c>
      <c r="D917" t="s">
        <v>58</v>
      </c>
      <c r="E917" t="s">
        <v>46</v>
      </c>
      <c r="F917" t="s">
        <v>23</v>
      </c>
      <c r="G917" t="s">
        <v>19</v>
      </c>
      <c r="H917">
        <v>289</v>
      </c>
      <c r="I917">
        <v>5</v>
      </c>
      <c r="J917">
        <v>1445</v>
      </c>
    </row>
    <row r="918" spans="1:10" x14ac:dyDescent="0.35">
      <c r="A918" s="3" t="s">
        <v>963</v>
      </c>
      <c r="B918" s="4">
        <v>43388</v>
      </c>
      <c r="C918">
        <v>18</v>
      </c>
      <c r="D918" t="s">
        <v>26</v>
      </c>
      <c r="E918" t="s">
        <v>36</v>
      </c>
      <c r="F918" t="s">
        <v>28</v>
      </c>
      <c r="G918" t="s">
        <v>31</v>
      </c>
      <c r="H918">
        <v>69</v>
      </c>
      <c r="I918">
        <v>2</v>
      </c>
      <c r="J918">
        <v>138</v>
      </c>
    </row>
    <row r="919" spans="1:10" x14ac:dyDescent="0.35">
      <c r="A919" s="3" t="s">
        <v>964</v>
      </c>
      <c r="B919" s="4">
        <v>43388</v>
      </c>
      <c r="C919">
        <v>18</v>
      </c>
      <c r="D919" t="s">
        <v>26</v>
      </c>
      <c r="E919" t="s">
        <v>36</v>
      </c>
      <c r="F919" t="s">
        <v>28</v>
      </c>
      <c r="G919" t="s">
        <v>24</v>
      </c>
      <c r="H919">
        <v>159</v>
      </c>
      <c r="I919">
        <v>5</v>
      </c>
      <c r="J919">
        <v>795</v>
      </c>
    </row>
    <row r="920" spans="1:10" x14ac:dyDescent="0.35">
      <c r="A920" s="3" t="s">
        <v>965</v>
      </c>
      <c r="B920" s="4">
        <v>43388</v>
      </c>
      <c r="C920">
        <v>14</v>
      </c>
      <c r="D920" t="s">
        <v>38</v>
      </c>
      <c r="E920" t="s">
        <v>63</v>
      </c>
      <c r="F920" t="s">
        <v>13</v>
      </c>
      <c r="G920" t="s">
        <v>41</v>
      </c>
      <c r="H920">
        <v>399</v>
      </c>
      <c r="I920">
        <v>9</v>
      </c>
      <c r="J920">
        <v>3591</v>
      </c>
    </row>
    <row r="921" spans="1:10" x14ac:dyDescent="0.35">
      <c r="A921" s="3" t="s">
        <v>966</v>
      </c>
      <c r="B921" s="4">
        <v>43388</v>
      </c>
      <c r="C921">
        <v>2</v>
      </c>
      <c r="D921" t="s">
        <v>106</v>
      </c>
      <c r="E921" t="s">
        <v>68</v>
      </c>
      <c r="F921" t="s">
        <v>18</v>
      </c>
      <c r="G921" t="s">
        <v>14</v>
      </c>
      <c r="H921">
        <v>199</v>
      </c>
      <c r="I921">
        <v>3</v>
      </c>
      <c r="J921">
        <v>597</v>
      </c>
    </row>
    <row r="922" spans="1:10" x14ac:dyDescent="0.35">
      <c r="A922" s="3" t="s">
        <v>967</v>
      </c>
      <c r="B922" s="4">
        <v>43389</v>
      </c>
      <c r="C922">
        <v>17</v>
      </c>
      <c r="D922" t="s">
        <v>35</v>
      </c>
      <c r="E922" t="s">
        <v>27</v>
      </c>
      <c r="F922" t="s">
        <v>28</v>
      </c>
      <c r="G922" t="s">
        <v>41</v>
      </c>
      <c r="H922">
        <v>399</v>
      </c>
      <c r="I922">
        <v>6</v>
      </c>
      <c r="J922">
        <v>2394</v>
      </c>
    </row>
    <row r="923" spans="1:10" x14ac:dyDescent="0.35">
      <c r="A923" s="3" t="s">
        <v>968</v>
      </c>
      <c r="B923" s="4">
        <v>43389</v>
      </c>
      <c r="C923">
        <v>1</v>
      </c>
      <c r="D923" t="s">
        <v>16</v>
      </c>
      <c r="E923" t="s">
        <v>17</v>
      </c>
      <c r="F923" t="s">
        <v>18</v>
      </c>
      <c r="G923" t="s">
        <v>19</v>
      </c>
      <c r="H923">
        <v>289</v>
      </c>
      <c r="I923">
        <v>7</v>
      </c>
      <c r="J923">
        <v>2023</v>
      </c>
    </row>
    <row r="924" spans="1:10" x14ac:dyDescent="0.35">
      <c r="A924" s="3" t="s">
        <v>969</v>
      </c>
      <c r="B924" s="4">
        <v>43389</v>
      </c>
      <c r="C924">
        <v>15</v>
      </c>
      <c r="D924" t="s">
        <v>118</v>
      </c>
      <c r="E924" t="s">
        <v>63</v>
      </c>
      <c r="F924" t="s">
        <v>13</v>
      </c>
      <c r="G924" t="s">
        <v>24</v>
      </c>
      <c r="H924">
        <v>159</v>
      </c>
      <c r="I924">
        <v>3</v>
      </c>
      <c r="J924">
        <v>477</v>
      </c>
    </row>
    <row r="925" spans="1:10" x14ac:dyDescent="0.35">
      <c r="A925" s="3" t="s">
        <v>970</v>
      </c>
      <c r="B925" s="4">
        <v>43389</v>
      </c>
      <c r="C925">
        <v>11</v>
      </c>
      <c r="D925" t="s">
        <v>11</v>
      </c>
      <c r="E925" t="s">
        <v>12</v>
      </c>
      <c r="F925" t="s">
        <v>13</v>
      </c>
      <c r="G925" t="s">
        <v>19</v>
      </c>
      <c r="H925">
        <v>289</v>
      </c>
      <c r="I925">
        <v>9</v>
      </c>
      <c r="J925">
        <v>2601</v>
      </c>
    </row>
    <row r="926" spans="1:10" x14ac:dyDescent="0.35">
      <c r="A926" s="3" t="s">
        <v>971</v>
      </c>
      <c r="B926" s="4">
        <v>43389</v>
      </c>
      <c r="C926">
        <v>12</v>
      </c>
      <c r="D926" t="s">
        <v>66</v>
      </c>
      <c r="E926" t="s">
        <v>12</v>
      </c>
      <c r="F926" t="s">
        <v>13</v>
      </c>
      <c r="G926" t="s">
        <v>14</v>
      </c>
      <c r="H926">
        <v>199</v>
      </c>
      <c r="I926">
        <v>7</v>
      </c>
      <c r="J926">
        <v>1393</v>
      </c>
    </row>
    <row r="927" spans="1:10" x14ac:dyDescent="0.35">
      <c r="A927" s="3" t="s">
        <v>972</v>
      </c>
      <c r="B927" s="4">
        <v>43390</v>
      </c>
      <c r="C927">
        <v>1</v>
      </c>
      <c r="D927" t="s">
        <v>16</v>
      </c>
      <c r="E927" t="s">
        <v>68</v>
      </c>
      <c r="F927" t="s">
        <v>18</v>
      </c>
      <c r="G927" t="s">
        <v>14</v>
      </c>
      <c r="H927">
        <v>199</v>
      </c>
      <c r="I927">
        <v>0</v>
      </c>
      <c r="J927">
        <v>0</v>
      </c>
    </row>
    <row r="928" spans="1:10" x14ac:dyDescent="0.35">
      <c r="A928" s="3" t="s">
        <v>973</v>
      </c>
      <c r="B928" s="4">
        <v>43390</v>
      </c>
      <c r="C928">
        <v>8</v>
      </c>
      <c r="D928" t="s">
        <v>45</v>
      </c>
      <c r="E928" t="s">
        <v>46</v>
      </c>
      <c r="F928" t="s">
        <v>23</v>
      </c>
      <c r="G928" t="s">
        <v>14</v>
      </c>
      <c r="H928">
        <v>199</v>
      </c>
      <c r="I928">
        <v>8</v>
      </c>
      <c r="J928">
        <v>1592</v>
      </c>
    </row>
    <row r="929" spans="1:10" x14ac:dyDescent="0.35">
      <c r="A929" s="3" t="s">
        <v>974</v>
      </c>
      <c r="B929" s="4">
        <v>43390</v>
      </c>
      <c r="C929">
        <v>20</v>
      </c>
      <c r="D929" t="s">
        <v>40</v>
      </c>
      <c r="E929" t="s">
        <v>36</v>
      </c>
      <c r="F929" t="s">
        <v>28</v>
      </c>
      <c r="G929" t="s">
        <v>24</v>
      </c>
      <c r="H929">
        <v>159</v>
      </c>
      <c r="I929">
        <v>8</v>
      </c>
      <c r="J929">
        <v>1272</v>
      </c>
    </row>
    <row r="930" spans="1:10" x14ac:dyDescent="0.35">
      <c r="A930" s="3" t="s">
        <v>975</v>
      </c>
      <c r="B930" s="4">
        <v>43390</v>
      </c>
      <c r="C930">
        <v>14</v>
      </c>
      <c r="D930" t="s">
        <v>38</v>
      </c>
      <c r="E930" t="s">
        <v>63</v>
      </c>
      <c r="F930" t="s">
        <v>13</v>
      </c>
      <c r="G930" t="s">
        <v>24</v>
      </c>
      <c r="H930">
        <v>159</v>
      </c>
      <c r="I930">
        <v>5</v>
      </c>
      <c r="J930">
        <v>795</v>
      </c>
    </row>
    <row r="931" spans="1:10" x14ac:dyDescent="0.35">
      <c r="A931" s="3" t="s">
        <v>976</v>
      </c>
      <c r="B931" s="4">
        <v>43390</v>
      </c>
      <c r="C931">
        <v>10</v>
      </c>
      <c r="D931" t="s">
        <v>58</v>
      </c>
      <c r="E931" t="s">
        <v>46</v>
      </c>
      <c r="F931" t="s">
        <v>23</v>
      </c>
      <c r="G931" t="s">
        <v>14</v>
      </c>
      <c r="H931">
        <v>199</v>
      </c>
      <c r="I931">
        <v>3</v>
      </c>
      <c r="J931">
        <v>597</v>
      </c>
    </row>
    <row r="932" spans="1:10" x14ac:dyDescent="0.35">
      <c r="A932" s="3" t="s">
        <v>977</v>
      </c>
      <c r="B932" s="4">
        <v>43391</v>
      </c>
      <c r="C932">
        <v>17</v>
      </c>
      <c r="D932" t="s">
        <v>35</v>
      </c>
      <c r="E932" t="s">
        <v>36</v>
      </c>
      <c r="F932" t="s">
        <v>28</v>
      </c>
      <c r="G932" t="s">
        <v>41</v>
      </c>
      <c r="H932">
        <v>399</v>
      </c>
      <c r="I932">
        <v>0</v>
      </c>
      <c r="J932">
        <v>0</v>
      </c>
    </row>
    <row r="933" spans="1:10" x14ac:dyDescent="0.35">
      <c r="A933" s="3" t="s">
        <v>978</v>
      </c>
      <c r="B933" s="4">
        <v>43392</v>
      </c>
      <c r="C933">
        <v>5</v>
      </c>
      <c r="D933" t="s">
        <v>60</v>
      </c>
      <c r="E933" t="s">
        <v>68</v>
      </c>
      <c r="F933" t="s">
        <v>18</v>
      </c>
      <c r="G933" t="s">
        <v>14</v>
      </c>
      <c r="H933">
        <v>199</v>
      </c>
      <c r="I933">
        <v>6</v>
      </c>
      <c r="J933">
        <v>1194</v>
      </c>
    </row>
    <row r="934" spans="1:10" x14ac:dyDescent="0.35">
      <c r="A934" s="3" t="s">
        <v>979</v>
      </c>
      <c r="B934" s="4">
        <v>43392</v>
      </c>
      <c r="C934">
        <v>10</v>
      </c>
      <c r="D934" t="s">
        <v>58</v>
      </c>
      <c r="E934" t="s">
        <v>46</v>
      </c>
      <c r="F934" t="s">
        <v>23</v>
      </c>
      <c r="G934" t="s">
        <v>24</v>
      </c>
      <c r="H934">
        <v>159</v>
      </c>
      <c r="I934">
        <v>6</v>
      </c>
      <c r="J934">
        <v>954</v>
      </c>
    </row>
    <row r="935" spans="1:10" x14ac:dyDescent="0.35">
      <c r="A935" s="3" t="s">
        <v>980</v>
      </c>
      <c r="B935" s="4">
        <v>43393</v>
      </c>
      <c r="C935">
        <v>17</v>
      </c>
      <c r="D935" t="s">
        <v>35</v>
      </c>
      <c r="E935" t="s">
        <v>36</v>
      </c>
      <c r="F935" t="s">
        <v>28</v>
      </c>
      <c r="G935" t="s">
        <v>24</v>
      </c>
      <c r="H935">
        <v>159</v>
      </c>
      <c r="I935">
        <v>1</v>
      </c>
      <c r="J935">
        <v>159</v>
      </c>
    </row>
    <row r="936" spans="1:10" x14ac:dyDescent="0.35">
      <c r="A936" s="3" t="s">
        <v>981</v>
      </c>
      <c r="B936" s="4">
        <v>43393</v>
      </c>
      <c r="C936">
        <v>18</v>
      </c>
      <c r="D936" t="s">
        <v>26</v>
      </c>
      <c r="E936" t="s">
        <v>27</v>
      </c>
      <c r="F936" t="s">
        <v>28</v>
      </c>
      <c r="G936" t="s">
        <v>19</v>
      </c>
      <c r="H936">
        <v>289</v>
      </c>
      <c r="I936">
        <v>5</v>
      </c>
      <c r="J936">
        <v>1445</v>
      </c>
    </row>
    <row r="937" spans="1:10" x14ac:dyDescent="0.35">
      <c r="A937" s="3" t="s">
        <v>982</v>
      </c>
      <c r="B937" s="4">
        <v>43393</v>
      </c>
      <c r="C937">
        <v>2</v>
      </c>
      <c r="D937" t="s">
        <v>106</v>
      </c>
      <c r="E937" t="s">
        <v>17</v>
      </c>
      <c r="F937" t="s">
        <v>18</v>
      </c>
      <c r="G937" t="s">
        <v>31</v>
      </c>
      <c r="H937">
        <v>69</v>
      </c>
      <c r="I937">
        <v>8</v>
      </c>
      <c r="J937">
        <v>552</v>
      </c>
    </row>
    <row r="938" spans="1:10" x14ac:dyDescent="0.35">
      <c r="A938" s="3" t="s">
        <v>983</v>
      </c>
      <c r="B938" s="4">
        <v>43394</v>
      </c>
      <c r="C938">
        <v>17</v>
      </c>
      <c r="D938" t="s">
        <v>35</v>
      </c>
      <c r="E938" t="s">
        <v>27</v>
      </c>
      <c r="F938" t="s">
        <v>28</v>
      </c>
      <c r="G938" t="s">
        <v>31</v>
      </c>
      <c r="H938">
        <v>69</v>
      </c>
      <c r="I938">
        <v>5</v>
      </c>
      <c r="J938">
        <v>345</v>
      </c>
    </row>
    <row r="939" spans="1:10" x14ac:dyDescent="0.35">
      <c r="A939" s="3" t="s">
        <v>984</v>
      </c>
      <c r="B939" s="4">
        <v>43395</v>
      </c>
      <c r="C939">
        <v>10</v>
      </c>
      <c r="D939" t="s">
        <v>58</v>
      </c>
      <c r="E939" t="s">
        <v>22</v>
      </c>
      <c r="F939" t="s">
        <v>23</v>
      </c>
      <c r="G939" t="s">
        <v>41</v>
      </c>
      <c r="H939">
        <v>399</v>
      </c>
      <c r="I939">
        <v>0</v>
      </c>
      <c r="J939">
        <v>0</v>
      </c>
    </row>
    <row r="940" spans="1:10" x14ac:dyDescent="0.35">
      <c r="A940" s="3" t="s">
        <v>985</v>
      </c>
      <c r="B940" s="4">
        <v>43395</v>
      </c>
      <c r="C940">
        <v>1</v>
      </c>
      <c r="D940" t="s">
        <v>16</v>
      </c>
      <c r="E940" t="s">
        <v>68</v>
      </c>
      <c r="F940" t="s">
        <v>18</v>
      </c>
      <c r="G940" t="s">
        <v>19</v>
      </c>
      <c r="H940">
        <v>289</v>
      </c>
      <c r="I940">
        <v>7</v>
      </c>
      <c r="J940">
        <v>2023</v>
      </c>
    </row>
    <row r="941" spans="1:10" x14ac:dyDescent="0.35">
      <c r="A941" s="3" t="s">
        <v>986</v>
      </c>
      <c r="B941" s="4">
        <v>43395</v>
      </c>
      <c r="C941">
        <v>5</v>
      </c>
      <c r="D941" t="s">
        <v>60</v>
      </c>
      <c r="E941" t="s">
        <v>17</v>
      </c>
      <c r="F941" t="s">
        <v>18</v>
      </c>
      <c r="G941" t="s">
        <v>14</v>
      </c>
      <c r="H941">
        <v>199</v>
      </c>
      <c r="I941">
        <v>5</v>
      </c>
      <c r="J941">
        <v>995</v>
      </c>
    </row>
    <row r="942" spans="1:10" x14ac:dyDescent="0.35">
      <c r="A942" s="3" t="s">
        <v>987</v>
      </c>
      <c r="B942" s="4">
        <v>43395</v>
      </c>
      <c r="C942">
        <v>20</v>
      </c>
      <c r="D942" t="s">
        <v>40</v>
      </c>
      <c r="E942" t="s">
        <v>27</v>
      </c>
      <c r="F942" t="s">
        <v>28</v>
      </c>
      <c r="G942" t="s">
        <v>24</v>
      </c>
      <c r="H942">
        <v>159</v>
      </c>
      <c r="I942">
        <v>5</v>
      </c>
      <c r="J942">
        <v>795</v>
      </c>
    </row>
    <row r="943" spans="1:10" x14ac:dyDescent="0.35">
      <c r="A943" s="3" t="s">
        <v>988</v>
      </c>
      <c r="B943" s="4">
        <v>43395</v>
      </c>
      <c r="C943">
        <v>1</v>
      </c>
      <c r="D943" t="s">
        <v>16</v>
      </c>
      <c r="E943" t="s">
        <v>17</v>
      </c>
      <c r="F943" t="s">
        <v>18</v>
      </c>
      <c r="G943" t="s">
        <v>41</v>
      </c>
      <c r="H943">
        <v>399</v>
      </c>
      <c r="I943">
        <v>8</v>
      </c>
      <c r="J943">
        <v>3192</v>
      </c>
    </row>
    <row r="944" spans="1:10" x14ac:dyDescent="0.35">
      <c r="A944" s="3" t="s">
        <v>989</v>
      </c>
      <c r="B944" s="4">
        <v>43395</v>
      </c>
      <c r="C944">
        <v>6</v>
      </c>
      <c r="D944" t="s">
        <v>48</v>
      </c>
      <c r="E944" t="s">
        <v>22</v>
      </c>
      <c r="F944" t="s">
        <v>23</v>
      </c>
      <c r="G944" t="s">
        <v>24</v>
      </c>
      <c r="H944">
        <v>159</v>
      </c>
      <c r="I944">
        <v>6</v>
      </c>
      <c r="J944">
        <v>954</v>
      </c>
    </row>
    <row r="945" spans="1:10" x14ac:dyDescent="0.35">
      <c r="A945" s="3" t="s">
        <v>990</v>
      </c>
      <c r="B945" s="4">
        <v>43396</v>
      </c>
      <c r="C945">
        <v>4</v>
      </c>
      <c r="D945" t="s">
        <v>51</v>
      </c>
      <c r="E945" t="s">
        <v>68</v>
      </c>
      <c r="F945" t="s">
        <v>18</v>
      </c>
      <c r="G945" t="s">
        <v>41</v>
      </c>
      <c r="H945">
        <v>399</v>
      </c>
      <c r="I945">
        <v>1</v>
      </c>
      <c r="J945">
        <v>399</v>
      </c>
    </row>
    <row r="946" spans="1:10" x14ac:dyDescent="0.35">
      <c r="A946" s="3" t="s">
        <v>991</v>
      </c>
      <c r="B946" s="4">
        <v>43397</v>
      </c>
      <c r="C946">
        <v>17</v>
      </c>
      <c r="D946" t="s">
        <v>35</v>
      </c>
      <c r="E946" t="s">
        <v>36</v>
      </c>
      <c r="F946" t="s">
        <v>28</v>
      </c>
      <c r="G946" t="s">
        <v>14</v>
      </c>
      <c r="H946">
        <v>199</v>
      </c>
      <c r="I946">
        <v>5</v>
      </c>
      <c r="J946">
        <v>995</v>
      </c>
    </row>
    <row r="947" spans="1:10" x14ac:dyDescent="0.35">
      <c r="A947" s="3" t="s">
        <v>992</v>
      </c>
      <c r="B947" s="4">
        <v>43398</v>
      </c>
      <c r="C947">
        <v>1</v>
      </c>
      <c r="D947" t="s">
        <v>16</v>
      </c>
      <c r="E947" t="s">
        <v>17</v>
      </c>
      <c r="F947" t="s">
        <v>18</v>
      </c>
      <c r="G947" t="s">
        <v>14</v>
      </c>
      <c r="H947">
        <v>199</v>
      </c>
      <c r="I947">
        <v>1</v>
      </c>
      <c r="J947">
        <v>199</v>
      </c>
    </row>
    <row r="948" spans="1:10" x14ac:dyDescent="0.35">
      <c r="A948" s="3" t="s">
        <v>993</v>
      </c>
      <c r="B948" s="4">
        <v>43398</v>
      </c>
      <c r="C948">
        <v>15</v>
      </c>
      <c r="D948" t="s">
        <v>118</v>
      </c>
      <c r="E948" t="s">
        <v>12</v>
      </c>
      <c r="F948" t="s">
        <v>13</v>
      </c>
      <c r="G948" t="s">
        <v>31</v>
      </c>
      <c r="H948">
        <v>69</v>
      </c>
      <c r="I948">
        <v>4</v>
      </c>
      <c r="J948">
        <v>276</v>
      </c>
    </row>
    <row r="949" spans="1:10" x14ac:dyDescent="0.35">
      <c r="A949" s="3" t="s">
        <v>994</v>
      </c>
      <c r="B949" s="4">
        <v>43398</v>
      </c>
      <c r="C949">
        <v>9</v>
      </c>
      <c r="D949" t="s">
        <v>21</v>
      </c>
      <c r="E949" t="s">
        <v>46</v>
      </c>
      <c r="F949" t="s">
        <v>23</v>
      </c>
      <c r="G949" t="s">
        <v>14</v>
      </c>
      <c r="H949">
        <v>199</v>
      </c>
      <c r="I949">
        <v>5</v>
      </c>
      <c r="J949">
        <v>995</v>
      </c>
    </row>
    <row r="950" spans="1:10" x14ac:dyDescent="0.35">
      <c r="A950" s="3" t="s">
        <v>995</v>
      </c>
      <c r="B950" s="4">
        <v>43399</v>
      </c>
      <c r="C950">
        <v>6</v>
      </c>
      <c r="D950" t="s">
        <v>48</v>
      </c>
      <c r="E950" t="s">
        <v>46</v>
      </c>
      <c r="F950" t="s">
        <v>23</v>
      </c>
      <c r="G950" t="s">
        <v>41</v>
      </c>
      <c r="H950">
        <v>399</v>
      </c>
      <c r="I950">
        <v>5</v>
      </c>
      <c r="J950">
        <v>1995</v>
      </c>
    </row>
    <row r="951" spans="1:10" x14ac:dyDescent="0.35">
      <c r="A951" s="3" t="s">
        <v>996</v>
      </c>
      <c r="B951" s="4">
        <v>43399</v>
      </c>
      <c r="C951">
        <v>20</v>
      </c>
      <c r="D951" t="s">
        <v>40</v>
      </c>
      <c r="E951" t="s">
        <v>27</v>
      </c>
      <c r="F951" t="s">
        <v>28</v>
      </c>
      <c r="G951" t="s">
        <v>31</v>
      </c>
      <c r="H951">
        <v>69</v>
      </c>
      <c r="I951">
        <v>8</v>
      </c>
      <c r="J951">
        <v>552</v>
      </c>
    </row>
    <row r="952" spans="1:10" x14ac:dyDescent="0.35">
      <c r="A952" s="3" t="s">
        <v>997</v>
      </c>
      <c r="B952" s="4">
        <v>43400</v>
      </c>
      <c r="C952">
        <v>17</v>
      </c>
      <c r="D952" t="s">
        <v>35</v>
      </c>
      <c r="E952" t="s">
        <v>36</v>
      </c>
      <c r="F952" t="s">
        <v>28</v>
      </c>
      <c r="G952" t="s">
        <v>14</v>
      </c>
      <c r="H952">
        <v>199</v>
      </c>
      <c r="I952">
        <v>1</v>
      </c>
      <c r="J952">
        <v>199</v>
      </c>
    </row>
    <row r="953" spans="1:10" x14ac:dyDescent="0.35">
      <c r="A953" s="3" t="s">
        <v>998</v>
      </c>
      <c r="B953" s="4">
        <v>43400</v>
      </c>
      <c r="C953">
        <v>6</v>
      </c>
      <c r="D953" t="s">
        <v>48</v>
      </c>
      <c r="E953" t="s">
        <v>46</v>
      </c>
      <c r="F953" t="s">
        <v>23</v>
      </c>
      <c r="G953" t="s">
        <v>41</v>
      </c>
      <c r="H953">
        <v>399</v>
      </c>
      <c r="I953">
        <v>7</v>
      </c>
      <c r="J953">
        <v>2793</v>
      </c>
    </row>
    <row r="954" spans="1:10" x14ac:dyDescent="0.35">
      <c r="A954" s="3" t="s">
        <v>999</v>
      </c>
      <c r="B954" s="4">
        <v>43400</v>
      </c>
      <c r="C954">
        <v>3</v>
      </c>
      <c r="D954" t="s">
        <v>43</v>
      </c>
      <c r="E954" t="s">
        <v>68</v>
      </c>
      <c r="F954" t="s">
        <v>18</v>
      </c>
      <c r="G954" t="s">
        <v>14</v>
      </c>
      <c r="H954">
        <v>199</v>
      </c>
      <c r="I954">
        <v>1</v>
      </c>
      <c r="J954">
        <v>199</v>
      </c>
    </row>
    <row r="955" spans="1:10" x14ac:dyDescent="0.35">
      <c r="A955" s="3" t="s">
        <v>1000</v>
      </c>
      <c r="B955" s="4">
        <v>43400</v>
      </c>
      <c r="C955">
        <v>4</v>
      </c>
      <c r="D955" t="s">
        <v>51</v>
      </c>
      <c r="E955" t="s">
        <v>17</v>
      </c>
      <c r="F955" t="s">
        <v>18</v>
      </c>
      <c r="G955" t="s">
        <v>14</v>
      </c>
      <c r="H955">
        <v>199</v>
      </c>
      <c r="I955">
        <v>8</v>
      </c>
      <c r="J955">
        <v>1592</v>
      </c>
    </row>
    <row r="956" spans="1:10" x14ac:dyDescent="0.35">
      <c r="A956" s="3" t="s">
        <v>1001</v>
      </c>
      <c r="B956" s="4">
        <v>43401</v>
      </c>
      <c r="C956">
        <v>10</v>
      </c>
      <c r="D956" t="s">
        <v>58</v>
      </c>
      <c r="E956" t="s">
        <v>22</v>
      </c>
      <c r="F956" t="s">
        <v>23</v>
      </c>
      <c r="G956" t="s">
        <v>14</v>
      </c>
      <c r="H956">
        <v>199</v>
      </c>
      <c r="I956">
        <v>0</v>
      </c>
      <c r="J956">
        <v>0</v>
      </c>
    </row>
    <row r="957" spans="1:10" x14ac:dyDescent="0.35">
      <c r="A957" s="3" t="s">
        <v>1002</v>
      </c>
      <c r="B957" s="4">
        <v>43402</v>
      </c>
      <c r="C957">
        <v>6</v>
      </c>
      <c r="D957" t="s">
        <v>48</v>
      </c>
      <c r="E957" t="s">
        <v>22</v>
      </c>
      <c r="F957" t="s">
        <v>23</v>
      </c>
      <c r="G957" t="s">
        <v>24</v>
      </c>
      <c r="H957">
        <v>159</v>
      </c>
      <c r="I957">
        <v>4</v>
      </c>
      <c r="J957">
        <v>636</v>
      </c>
    </row>
    <row r="958" spans="1:10" x14ac:dyDescent="0.35">
      <c r="A958" s="3" t="s">
        <v>1003</v>
      </c>
      <c r="B958" s="4">
        <v>43402</v>
      </c>
      <c r="C958">
        <v>17</v>
      </c>
      <c r="D958" t="s">
        <v>35</v>
      </c>
      <c r="E958" t="s">
        <v>36</v>
      </c>
      <c r="F958" t="s">
        <v>28</v>
      </c>
      <c r="G958" t="s">
        <v>19</v>
      </c>
      <c r="H958">
        <v>289</v>
      </c>
      <c r="I958">
        <v>9</v>
      </c>
      <c r="J958">
        <v>2601</v>
      </c>
    </row>
    <row r="959" spans="1:10" x14ac:dyDescent="0.35">
      <c r="A959" s="3" t="s">
        <v>1004</v>
      </c>
      <c r="B959" s="4">
        <v>43402</v>
      </c>
      <c r="C959">
        <v>9</v>
      </c>
      <c r="D959" t="s">
        <v>21</v>
      </c>
      <c r="E959" t="s">
        <v>22</v>
      </c>
      <c r="F959" t="s">
        <v>23</v>
      </c>
      <c r="G959" t="s">
        <v>41</v>
      </c>
      <c r="H959">
        <v>399</v>
      </c>
      <c r="I959">
        <v>2</v>
      </c>
      <c r="J959">
        <v>798</v>
      </c>
    </row>
    <row r="960" spans="1:10" x14ac:dyDescent="0.35">
      <c r="A960" s="3" t="s">
        <v>1005</v>
      </c>
      <c r="B960" s="4">
        <v>43402</v>
      </c>
      <c r="C960">
        <v>2</v>
      </c>
      <c r="D960" t="s">
        <v>106</v>
      </c>
      <c r="E960" t="s">
        <v>17</v>
      </c>
      <c r="F960" t="s">
        <v>18</v>
      </c>
      <c r="G960" t="s">
        <v>31</v>
      </c>
      <c r="H960">
        <v>69</v>
      </c>
      <c r="I960">
        <v>6</v>
      </c>
      <c r="J960">
        <v>414</v>
      </c>
    </row>
    <row r="961" spans="1:10" x14ac:dyDescent="0.35">
      <c r="A961" s="3" t="s">
        <v>1006</v>
      </c>
      <c r="B961" s="4">
        <v>43402</v>
      </c>
      <c r="C961">
        <v>9</v>
      </c>
      <c r="D961" t="s">
        <v>21</v>
      </c>
      <c r="E961" t="s">
        <v>22</v>
      </c>
      <c r="F961" t="s">
        <v>23</v>
      </c>
      <c r="G961" t="s">
        <v>31</v>
      </c>
      <c r="H961">
        <v>69</v>
      </c>
      <c r="I961">
        <v>6</v>
      </c>
      <c r="J961">
        <v>414</v>
      </c>
    </row>
    <row r="962" spans="1:10" x14ac:dyDescent="0.35">
      <c r="A962" s="3" t="s">
        <v>1007</v>
      </c>
      <c r="B962" s="4">
        <v>43402</v>
      </c>
      <c r="C962">
        <v>18</v>
      </c>
      <c r="D962" t="s">
        <v>26</v>
      </c>
      <c r="E962" t="s">
        <v>36</v>
      </c>
      <c r="F962" t="s">
        <v>28</v>
      </c>
      <c r="G962" t="s">
        <v>31</v>
      </c>
      <c r="H962">
        <v>69</v>
      </c>
      <c r="I962">
        <v>3</v>
      </c>
      <c r="J962">
        <v>207</v>
      </c>
    </row>
    <row r="963" spans="1:10" x14ac:dyDescent="0.35">
      <c r="A963" s="3" t="s">
        <v>1008</v>
      </c>
      <c r="B963" s="4">
        <v>43402</v>
      </c>
      <c r="C963">
        <v>9</v>
      </c>
      <c r="D963" t="s">
        <v>21</v>
      </c>
      <c r="E963" t="s">
        <v>22</v>
      </c>
      <c r="F963" t="s">
        <v>23</v>
      </c>
      <c r="G963" t="s">
        <v>31</v>
      </c>
      <c r="H963">
        <v>69</v>
      </c>
      <c r="I963">
        <v>2</v>
      </c>
      <c r="J963">
        <v>138</v>
      </c>
    </row>
    <row r="964" spans="1:10" x14ac:dyDescent="0.35">
      <c r="A964" s="3" t="s">
        <v>1009</v>
      </c>
      <c r="B964" s="4">
        <v>43402</v>
      </c>
      <c r="C964">
        <v>14</v>
      </c>
      <c r="D964" t="s">
        <v>38</v>
      </c>
      <c r="E964" t="s">
        <v>12</v>
      </c>
      <c r="F964" t="s">
        <v>13</v>
      </c>
      <c r="G964" t="s">
        <v>24</v>
      </c>
      <c r="H964">
        <v>159</v>
      </c>
      <c r="I964">
        <v>1</v>
      </c>
      <c r="J964">
        <v>159</v>
      </c>
    </row>
    <row r="965" spans="1:10" x14ac:dyDescent="0.35">
      <c r="A965" s="3" t="s">
        <v>1010</v>
      </c>
      <c r="B965" s="4">
        <v>43402</v>
      </c>
      <c r="C965">
        <v>7</v>
      </c>
      <c r="D965" t="s">
        <v>88</v>
      </c>
      <c r="E965" t="s">
        <v>22</v>
      </c>
      <c r="F965" t="s">
        <v>23</v>
      </c>
      <c r="G965" t="s">
        <v>41</v>
      </c>
      <c r="H965">
        <v>399</v>
      </c>
      <c r="I965">
        <v>2</v>
      </c>
      <c r="J965">
        <v>798</v>
      </c>
    </row>
    <row r="966" spans="1:10" x14ac:dyDescent="0.35">
      <c r="A966" s="3" t="s">
        <v>1011</v>
      </c>
      <c r="B966" s="4">
        <v>43402</v>
      </c>
      <c r="C966">
        <v>2</v>
      </c>
      <c r="D966" t="s">
        <v>106</v>
      </c>
      <c r="E966" t="s">
        <v>68</v>
      </c>
      <c r="F966" t="s">
        <v>18</v>
      </c>
      <c r="G966" t="s">
        <v>14</v>
      </c>
      <c r="H966">
        <v>199</v>
      </c>
      <c r="I966">
        <v>7</v>
      </c>
      <c r="J966">
        <v>1393</v>
      </c>
    </row>
    <row r="967" spans="1:10" x14ac:dyDescent="0.35">
      <c r="A967" s="3" t="s">
        <v>1012</v>
      </c>
      <c r="B967" s="4">
        <v>43402</v>
      </c>
      <c r="C967">
        <v>18</v>
      </c>
      <c r="D967" t="s">
        <v>26</v>
      </c>
      <c r="E967" t="s">
        <v>36</v>
      </c>
      <c r="F967" t="s">
        <v>28</v>
      </c>
      <c r="G967" t="s">
        <v>24</v>
      </c>
      <c r="H967">
        <v>159</v>
      </c>
      <c r="I967">
        <v>7</v>
      </c>
      <c r="J967">
        <v>1113</v>
      </c>
    </row>
    <row r="968" spans="1:10" x14ac:dyDescent="0.35">
      <c r="A968" s="3" t="s">
        <v>1013</v>
      </c>
      <c r="B968" s="4">
        <v>43403</v>
      </c>
      <c r="C968">
        <v>14</v>
      </c>
      <c r="D968" t="s">
        <v>38</v>
      </c>
      <c r="E968" t="s">
        <v>63</v>
      </c>
      <c r="F968" t="s">
        <v>13</v>
      </c>
      <c r="G968" t="s">
        <v>41</v>
      </c>
      <c r="H968">
        <v>399</v>
      </c>
      <c r="I968">
        <v>1</v>
      </c>
      <c r="J968">
        <v>399</v>
      </c>
    </row>
    <row r="969" spans="1:10" x14ac:dyDescent="0.35">
      <c r="A969" s="3" t="s">
        <v>1014</v>
      </c>
      <c r="B969" s="4">
        <v>43403</v>
      </c>
      <c r="C969">
        <v>19</v>
      </c>
      <c r="D969" t="s">
        <v>56</v>
      </c>
      <c r="E969" t="s">
        <v>27</v>
      </c>
      <c r="F969" t="s">
        <v>28</v>
      </c>
      <c r="G969" t="s">
        <v>31</v>
      </c>
      <c r="H969">
        <v>69</v>
      </c>
      <c r="I969">
        <v>3</v>
      </c>
      <c r="J969">
        <v>207</v>
      </c>
    </row>
    <row r="970" spans="1:10" x14ac:dyDescent="0.35">
      <c r="A970" s="3" t="s">
        <v>1015</v>
      </c>
      <c r="B970" s="4">
        <v>43403</v>
      </c>
      <c r="C970">
        <v>7</v>
      </c>
      <c r="D970" t="s">
        <v>88</v>
      </c>
      <c r="E970" t="s">
        <v>46</v>
      </c>
      <c r="F970" t="s">
        <v>23</v>
      </c>
      <c r="G970" t="s">
        <v>24</v>
      </c>
      <c r="H970">
        <v>159</v>
      </c>
      <c r="I970">
        <v>1</v>
      </c>
      <c r="J970">
        <v>159</v>
      </c>
    </row>
    <row r="971" spans="1:10" x14ac:dyDescent="0.35">
      <c r="A971" s="3" t="s">
        <v>1016</v>
      </c>
      <c r="B971" s="4">
        <v>43404</v>
      </c>
      <c r="C971">
        <v>7</v>
      </c>
      <c r="D971" t="s">
        <v>88</v>
      </c>
      <c r="E971" t="s">
        <v>46</v>
      </c>
      <c r="F971" t="s">
        <v>23</v>
      </c>
      <c r="G971" t="s">
        <v>41</v>
      </c>
      <c r="H971">
        <v>399</v>
      </c>
      <c r="I971">
        <v>0</v>
      </c>
      <c r="J971">
        <v>0</v>
      </c>
    </row>
    <row r="972" spans="1:10" x14ac:dyDescent="0.35">
      <c r="A972" s="3" t="s">
        <v>1017</v>
      </c>
      <c r="B972" s="4">
        <v>43405</v>
      </c>
      <c r="C972">
        <v>14</v>
      </c>
      <c r="D972" t="s">
        <v>38</v>
      </c>
      <c r="E972" t="s">
        <v>63</v>
      </c>
      <c r="F972" t="s">
        <v>13</v>
      </c>
      <c r="G972" t="s">
        <v>14</v>
      </c>
      <c r="H972">
        <v>199</v>
      </c>
      <c r="I972">
        <v>0</v>
      </c>
      <c r="J972">
        <v>0</v>
      </c>
    </row>
    <row r="973" spans="1:10" x14ac:dyDescent="0.35">
      <c r="A973" s="3" t="s">
        <v>1018</v>
      </c>
      <c r="B973" s="4">
        <v>43406</v>
      </c>
      <c r="C973">
        <v>19</v>
      </c>
      <c r="D973" t="s">
        <v>56</v>
      </c>
      <c r="E973" t="s">
        <v>27</v>
      </c>
      <c r="F973" t="s">
        <v>28</v>
      </c>
      <c r="G973" t="s">
        <v>24</v>
      </c>
      <c r="H973">
        <v>159</v>
      </c>
      <c r="I973">
        <v>4</v>
      </c>
      <c r="J973">
        <v>636</v>
      </c>
    </row>
    <row r="974" spans="1:10" x14ac:dyDescent="0.35">
      <c r="A974" s="3" t="s">
        <v>1019</v>
      </c>
      <c r="B974" s="4">
        <v>43407</v>
      </c>
      <c r="C974">
        <v>13</v>
      </c>
      <c r="D974" t="s">
        <v>33</v>
      </c>
      <c r="E974" t="s">
        <v>12</v>
      </c>
      <c r="F974" t="s">
        <v>13</v>
      </c>
      <c r="G974" t="s">
        <v>41</v>
      </c>
      <c r="H974">
        <v>399</v>
      </c>
      <c r="I974">
        <v>0</v>
      </c>
      <c r="J974">
        <v>0</v>
      </c>
    </row>
    <row r="975" spans="1:10" x14ac:dyDescent="0.35">
      <c r="A975" s="3" t="s">
        <v>1020</v>
      </c>
      <c r="B975" s="4">
        <v>43408</v>
      </c>
      <c r="C975">
        <v>1</v>
      </c>
      <c r="D975" t="s">
        <v>16</v>
      </c>
      <c r="E975" t="s">
        <v>17</v>
      </c>
      <c r="F975" t="s">
        <v>18</v>
      </c>
      <c r="G975" t="s">
        <v>31</v>
      </c>
      <c r="H975">
        <v>69</v>
      </c>
      <c r="I975">
        <v>7</v>
      </c>
      <c r="J975">
        <v>483</v>
      </c>
    </row>
    <row r="976" spans="1:10" x14ac:dyDescent="0.35">
      <c r="A976" s="3" t="s">
        <v>1021</v>
      </c>
      <c r="B976" s="4">
        <v>43408</v>
      </c>
      <c r="C976">
        <v>13</v>
      </c>
      <c r="D976" t="s">
        <v>33</v>
      </c>
      <c r="E976" t="s">
        <v>63</v>
      </c>
      <c r="F976" t="s">
        <v>13</v>
      </c>
      <c r="G976" t="s">
        <v>24</v>
      </c>
      <c r="H976">
        <v>159</v>
      </c>
      <c r="I976">
        <v>2</v>
      </c>
      <c r="J976">
        <v>318</v>
      </c>
    </row>
    <row r="977" spans="1:10" x14ac:dyDescent="0.35">
      <c r="A977" s="3" t="s">
        <v>1022</v>
      </c>
      <c r="B977" s="4">
        <v>43408</v>
      </c>
      <c r="C977">
        <v>2</v>
      </c>
      <c r="D977" t="s">
        <v>106</v>
      </c>
      <c r="E977" t="s">
        <v>68</v>
      </c>
      <c r="F977" t="s">
        <v>18</v>
      </c>
      <c r="G977" t="s">
        <v>31</v>
      </c>
      <c r="H977">
        <v>69</v>
      </c>
      <c r="I977">
        <v>1</v>
      </c>
      <c r="J977">
        <v>69</v>
      </c>
    </row>
    <row r="978" spans="1:10" x14ac:dyDescent="0.35">
      <c r="A978" s="3" t="s">
        <v>1023</v>
      </c>
      <c r="B978" s="4">
        <v>43409</v>
      </c>
      <c r="C978">
        <v>5</v>
      </c>
      <c r="D978" t="s">
        <v>60</v>
      </c>
      <c r="E978" t="s">
        <v>68</v>
      </c>
      <c r="F978" t="s">
        <v>18</v>
      </c>
      <c r="G978" t="s">
        <v>14</v>
      </c>
      <c r="H978">
        <v>199</v>
      </c>
      <c r="I978">
        <v>9</v>
      </c>
      <c r="J978">
        <v>1791</v>
      </c>
    </row>
    <row r="979" spans="1:10" x14ac:dyDescent="0.35">
      <c r="A979" s="3" t="s">
        <v>1024</v>
      </c>
      <c r="B979" s="4">
        <v>43410</v>
      </c>
      <c r="C979">
        <v>20</v>
      </c>
      <c r="D979" t="s">
        <v>40</v>
      </c>
      <c r="E979" t="s">
        <v>27</v>
      </c>
      <c r="F979" t="s">
        <v>28</v>
      </c>
      <c r="G979" t="s">
        <v>24</v>
      </c>
      <c r="H979">
        <v>159</v>
      </c>
      <c r="I979">
        <v>0</v>
      </c>
      <c r="J979">
        <v>0</v>
      </c>
    </row>
    <row r="980" spans="1:10" x14ac:dyDescent="0.35">
      <c r="A980" s="3" t="s">
        <v>1025</v>
      </c>
      <c r="B980" s="4">
        <v>43411</v>
      </c>
      <c r="C980">
        <v>16</v>
      </c>
      <c r="D980" t="s">
        <v>30</v>
      </c>
      <c r="E980" t="s">
        <v>27</v>
      </c>
      <c r="F980" t="s">
        <v>28</v>
      </c>
      <c r="G980" t="s">
        <v>31</v>
      </c>
      <c r="H980">
        <v>69</v>
      </c>
      <c r="I980">
        <v>9</v>
      </c>
      <c r="J980">
        <v>621</v>
      </c>
    </row>
    <row r="981" spans="1:10" x14ac:dyDescent="0.35">
      <c r="A981" s="3" t="s">
        <v>1026</v>
      </c>
      <c r="B981" s="4">
        <v>43411</v>
      </c>
      <c r="C981">
        <v>9</v>
      </c>
      <c r="D981" t="s">
        <v>21</v>
      </c>
      <c r="E981" t="s">
        <v>46</v>
      </c>
      <c r="F981" t="s">
        <v>23</v>
      </c>
      <c r="G981" t="s">
        <v>19</v>
      </c>
      <c r="H981">
        <v>289</v>
      </c>
      <c r="I981">
        <v>9</v>
      </c>
      <c r="J981">
        <v>2601</v>
      </c>
    </row>
    <row r="982" spans="1:10" x14ac:dyDescent="0.35">
      <c r="A982" s="3" t="s">
        <v>1027</v>
      </c>
      <c r="B982" s="4">
        <v>43411</v>
      </c>
      <c r="C982">
        <v>2</v>
      </c>
      <c r="D982" t="s">
        <v>106</v>
      </c>
      <c r="E982" t="s">
        <v>17</v>
      </c>
      <c r="F982" t="s">
        <v>18</v>
      </c>
      <c r="G982" t="s">
        <v>41</v>
      </c>
      <c r="H982">
        <v>399</v>
      </c>
      <c r="I982">
        <v>4</v>
      </c>
      <c r="J982">
        <v>1596</v>
      </c>
    </row>
    <row r="983" spans="1:10" x14ac:dyDescent="0.35">
      <c r="A983" s="3" t="s">
        <v>1028</v>
      </c>
      <c r="B983" s="4">
        <v>43412</v>
      </c>
      <c r="C983">
        <v>8</v>
      </c>
      <c r="D983" t="s">
        <v>45</v>
      </c>
      <c r="E983" t="s">
        <v>46</v>
      </c>
      <c r="F983" t="s">
        <v>23</v>
      </c>
      <c r="G983" t="s">
        <v>14</v>
      </c>
      <c r="H983">
        <v>199</v>
      </c>
      <c r="I983">
        <v>1</v>
      </c>
      <c r="J983">
        <v>199</v>
      </c>
    </row>
    <row r="984" spans="1:10" x14ac:dyDescent="0.35">
      <c r="A984" s="3" t="s">
        <v>1029</v>
      </c>
      <c r="B984" s="4">
        <v>43412</v>
      </c>
      <c r="C984">
        <v>18</v>
      </c>
      <c r="D984" t="s">
        <v>26</v>
      </c>
      <c r="E984" t="s">
        <v>36</v>
      </c>
      <c r="F984" t="s">
        <v>28</v>
      </c>
      <c r="G984" t="s">
        <v>41</v>
      </c>
      <c r="H984">
        <v>399</v>
      </c>
      <c r="I984">
        <v>9</v>
      </c>
      <c r="J984">
        <v>3591</v>
      </c>
    </row>
    <row r="985" spans="1:10" x14ac:dyDescent="0.35">
      <c r="A985" s="3" t="s">
        <v>1030</v>
      </c>
      <c r="B985" s="4">
        <v>43412</v>
      </c>
      <c r="C985">
        <v>12</v>
      </c>
      <c r="D985" t="s">
        <v>66</v>
      </c>
      <c r="E985" t="s">
        <v>12</v>
      </c>
      <c r="F985" t="s">
        <v>13</v>
      </c>
      <c r="G985" t="s">
        <v>31</v>
      </c>
      <c r="H985">
        <v>69</v>
      </c>
      <c r="I985">
        <v>0</v>
      </c>
      <c r="J985">
        <v>0</v>
      </c>
    </row>
    <row r="986" spans="1:10" x14ac:dyDescent="0.35">
      <c r="A986" s="3" t="s">
        <v>1031</v>
      </c>
      <c r="B986" s="4">
        <v>43412</v>
      </c>
      <c r="C986">
        <v>10</v>
      </c>
      <c r="D986" t="s">
        <v>58</v>
      </c>
      <c r="E986" t="s">
        <v>22</v>
      </c>
      <c r="F986" t="s">
        <v>23</v>
      </c>
      <c r="G986" t="s">
        <v>24</v>
      </c>
      <c r="H986">
        <v>159</v>
      </c>
      <c r="I986">
        <v>9</v>
      </c>
      <c r="J986">
        <v>1431</v>
      </c>
    </row>
    <row r="987" spans="1:10" x14ac:dyDescent="0.35">
      <c r="A987" s="3" t="s">
        <v>1032</v>
      </c>
      <c r="B987" s="4">
        <v>43412</v>
      </c>
      <c r="C987">
        <v>9</v>
      </c>
      <c r="D987" t="s">
        <v>21</v>
      </c>
      <c r="E987" t="s">
        <v>46</v>
      </c>
      <c r="F987" t="s">
        <v>23</v>
      </c>
      <c r="G987" t="s">
        <v>24</v>
      </c>
      <c r="H987">
        <v>159</v>
      </c>
      <c r="I987">
        <v>7</v>
      </c>
      <c r="J987">
        <v>1113</v>
      </c>
    </row>
    <row r="988" spans="1:10" x14ac:dyDescent="0.35">
      <c r="A988" s="3" t="s">
        <v>1033</v>
      </c>
      <c r="B988" s="4">
        <v>43413</v>
      </c>
      <c r="C988">
        <v>8</v>
      </c>
      <c r="D988" t="s">
        <v>45</v>
      </c>
      <c r="E988" t="s">
        <v>22</v>
      </c>
      <c r="F988" t="s">
        <v>23</v>
      </c>
      <c r="G988" t="s">
        <v>14</v>
      </c>
      <c r="H988">
        <v>199</v>
      </c>
      <c r="I988">
        <v>7</v>
      </c>
      <c r="J988">
        <v>1393</v>
      </c>
    </row>
    <row r="989" spans="1:10" x14ac:dyDescent="0.35">
      <c r="A989" s="3" t="s">
        <v>1034</v>
      </c>
      <c r="B989" s="4">
        <v>43413</v>
      </c>
      <c r="C989">
        <v>17</v>
      </c>
      <c r="D989" t="s">
        <v>35</v>
      </c>
      <c r="E989" t="s">
        <v>27</v>
      </c>
      <c r="F989" t="s">
        <v>28</v>
      </c>
      <c r="G989" t="s">
        <v>14</v>
      </c>
      <c r="H989">
        <v>199</v>
      </c>
      <c r="I989">
        <v>2</v>
      </c>
      <c r="J989">
        <v>398</v>
      </c>
    </row>
    <row r="990" spans="1:10" x14ac:dyDescent="0.35">
      <c r="A990" s="3" t="s">
        <v>1035</v>
      </c>
      <c r="B990" s="4">
        <v>43413</v>
      </c>
      <c r="C990">
        <v>4</v>
      </c>
      <c r="D990" t="s">
        <v>51</v>
      </c>
      <c r="E990" t="s">
        <v>17</v>
      </c>
      <c r="F990" t="s">
        <v>18</v>
      </c>
      <c r="G990" t="s">
        <v>24</v>
      </c>
      <c r="H990">
        <v>159</v>
      </c>
      <c r="I990">
        <v>9</v>
      </c>
      <c r="J990">
        <v>1431</v>
      </c>
    </row>
    <row r="991" spans="1:10" x14ac:dyDescent="0.35">
      <c r="A991" s="3" t="s">
        <v>1036</v>
      </c>
      <c r="B991" s="4">
        <v>43413</v>
      </c>
      <c r="C991">
        <v>16</v>
      </c>
      <c r="D991" t="s">
        <v>30</v>
      </c>
      <c r="E991" t="s">
        <v>36</v>
      </c>
      <c r="F991" t="s">
        <v>28</v>
      </c>
      <c r="G991" t="s">
        <v>19</v>
      </c>
      <c r="H991">
        <v>289</v>
      </c>
      <c r="I991">
        <v>4</v>
      </c>
      <c r="J991">
        <v>1156</v>
      </c>
    </row>
    <row r="992" spans="1:10" x14ac:dyDescent="0.35">
      <c r="A992" s="3" t="s">
        <v>1037</v>
      </c>
      <c r="B992" s="4">
        <v>43413</v>
      </c>
      <c r="C992">
        <v>18</v>
      </c>
      <c r="D992" t="s">
        <v>26</v>
      </c>
      <c r="E992" t="s">
        <v>27</v>
      </c>
      <c r="F992" t="s">
        <v>28</v>
      </c>
      <c r="G992" t="s">
        <v>41</v>
      </c>
      <c r="H992">
        <v>399</v>
      </c>
      <c r="I992">
        <v>9</v>
      </c>
      <c r="J992">
        <v>3591</v>
      </c>
    </row>
    <row r="993" spans="1:10" x14ac:dyDescent="0.35">
      <c r="A993" s="3" t="s">
        <v>1038</v>
      </c>
      <c r="B993" s="4">
        <v>43414</v>
      </c>
      <c r="C993">
        <v>19</v>
      </c>
      <c r="D993" t="s">
        <v>56</v>
      </c>
      <c r="E993" t="s">
        <v>36</v>
      </c>
      <c r="F993" t="s">
        <v>28</v>
      </c>
      <c r="G993" t="s">
        <v>14</v>
      </c>
      <c r="H993">
        <v>199</v>
      </c>
      <c r="I993">
        <v>8</v>
      </c>
      <c r="J993">
        <v>1592</v>
      </c>
    </row>
    <row r="994" spans="1:10" x14ac:dyDescent="0.35">
      <c r="A994" s="3" t="s">
        <v>1039</v>
      </c>
      <c r="B994" s="4">
        <v>43414</v>
      </c>
      <c r="C994">
        <v>10</v>
      </c>
      <c r="D994" t="s">
        <v>58</v>
      </c>
      <c r="E994" t="s">
        <v>46</v>
      </c>
      <c r="F994" t="s">
        <v>23</v>
      </c>
      <c r="G994" t="s">
        <v>41</v>
      </c>
      <c r="H994">
        <v>399</v>
      </c>
      <c r="I994">
        <v>6</v>
      </c>
      <c r="J994">
        <v>2394</v>
      </c>
    </row>
    <row r="995" spans="1:10" x14ac:dyDescent="0.35">
      <c r="A995" s="3" t="s">
        <v>1040</v>
      </c>
      <c r="B995" s="4">
        <v>43414</v>
      </c>
      <c r="C995">
        <v>5</v>
      </c>
      <c r="D995" t="s">
        <v>60</v>
      </c>
      <c r="E995" t="s">
        <v>17</v>
      </c>
      <c r="F995" t="s">
        <v>18</v>
      </c>
      <c r="G995" t="s">
        <v>24</v>
      </c>
      <c r="H995">
        <v>159</v>
      </c>
      <c r="I995">
        <v>4</v>
      </c>
      <c r="J995">
        <v>636</v>
      </c>
    </row>
    <row r="996" spans="1:10" x14ac:dyDescent="0.35">
      <c r="A996" s="3" t="s">
        <v>1041</v>
      </c>
      <c r="B996" s="4">
        <v>43415</v>
      </c>
      <c r="C996">
        <v>10</v>
      </c>
      <c r="D996" t="s">
        <v>58</v>
      </c>
      <c r="E996" t="s">
        <v>22</v>
      </c>
      <c r="F996" t="s">
        <v>23</v>
      </c>
      <c r="G996" t="s">
        <v>31</v>
      </c>
      <c r="H996">
        <v>69</v>
      </c>
      <c r="I996">
        <v>1</v>
      </c>
      <c r="J996">
        <v>69</v>
      </c>
    </row>
    <row r="997" spans="1:10" x14ac:dyDescent="0.35">
      <c r="A997" s="3" t="s">
        <v>1042</v>
      </c>
      <c r="B997" s="4">
        <v>43415</v>
      </c>
      <c r="C997">
        <v>7</v>
      </c>
      <c r="D997" t="s">
        <v>88</v>
      </c>
      <c r="E997" t="s">
        <v>22</v>
      </c>
      <c r="F997" t="s">
        <v>23</v>
      </c>
      <c r="G997" t="s">
        <v>14</v>
      </c>
      <c r="H997">
        <v>199</v>
      </c>
      <c r="I997">
        <v>0</v>
      </c>
      <c r="J997">
        <v>0</v>
      </c>
    </row>
    <row r="998" spans="1:10" x14ac:dyDescent="0.35">
      <c r="A998" s="3" t="s">
        <v>1043</v>
      </c>
      <c r="B998" s="4">
        <v>43415</v>
      </c>
      <c r="C998">
        <v>13</v>
      </c>
      <c r="D998" t="s">
        <v>33</v>
      </c>
      <c r="E998" t="s">
        <v>63</v>
      </c>
      <c r="F998" t="s">
        <v>13</v>
      </c>
      <c r="G998" t="s">
        <v>14</v>
      </c>
      <c r="H998">
        <v>199</v>
      </c>
      <c r="I998">
        <v>9</v>
      </c>
      <c r="J998">
        <v>1791</v>
      </c>
    </row>
    <row r="999" spans="1:10" x14ac:dyDescent="0.35">
      <c r="A999" s="3" t="s">
        <v>1044</v>
      </c>
      <c r="B999" s="4">
        <v>43416</v>
      </c>
      <c r="C999">
        <v>14</v>
      </c>
      <c r="D999" t="s">
        <v>38</v>
      </c>
      <c r="E999" t="s">
        <v>63</v>
      </c>
      <c r="F999" t="s">
        <v>13</v>
      </c>
      <c r="G999" t="s">
        <v>14</v>
      </c>
      <c r="H999">
        <v>199</v>
      </c>
      <c r="I999">
        <v>5</v>
      </c>
      <c r="J999">
        <v>995</v>
      </c>
    </row>
    <row r="1000" spans="1:10" x14ac:dyDescent="0.35">
      <c r="A1000" s="3" t="s">
        <v>1045</v>
      </c>
      <c r="B1000" s="4">
        <v>43417</v>
      </c>
      <c r="C1000">
        <v>2</v>
      </c>
      <c r="D1000" t="s">
        <v>106</v>
      </c>
      <c r="E1000" t="s">
        <v>17</v>
      </c>
      <c r="F1000" t="s">
        <v>18</v>
      </c>
      <c r="G1000" t="s">
        <v>14</v>
      </c>
      <c r="H1000">
        <v>199</v>
      </c>
      <c r="I1000">
        <v>3</v>
      </c>
      <c r="J1000">
        <v>597</v>
      </c>
    </row>
    <row r="1001" spans="1:10" x14ac:dyDescent="0.35">
      <c r="A1001" s="3" t="s">
        <v>1046</v>
      </c>
      <c r="B1001" s="4">
        <v>43418</v>
      </c>
      <c r="C1001">
        <v>1</v>
      </c>
      <c r="D1001" t="s">
        <v>16</v>
      </c>
      <c r="E1001" t="s">
        <v>68</v>
      </c>
      <c r="F1001" t="s">
        <v>18</v>
      </c>
      <c r="G1001" t="s">
        <v>14</v>
      </c>
      <c r="H1001">
        <v>199</v>
      </c>
      <c r="I1001">
        <v>7</v>
      </c>
      <c r="J1001">
        <v>1393</v>
      </c>
    </row>
    <row r="1002" spans="1:10" x14ac:dyDescent="0.35">
      <c r="A1002" s="3" t="s">
        <v>1047</v>
      </c>
      <c r="B1002" s="4">
        <v>43419</v>
      </c>
      <c r="C1002">
        <v>15</v>
      </c>
      <c r="D1002" t="s">
        <v>118</v>
      </c>
      <c r="E1002" t="s">
        <v>12</v>
      </c>
      <c r="F1002" t="s">
        <v>13</v>
      </c>
      <c r="G1002" t="s">
        <v>19</v>
      </c>
      <c r="H1002">
        <v>289</v>
      </c>
      <c r="I1002">
        <v>7</v>
      </c>
      <c r="J1002">
        <v>2023</v>
      </c>
    </row>
    <row r="1003" spans="1:10" x14ac:dyDescent="0.35">
      <c r="A1003" s="3" t="s">
        <v>1048</v>
      </c>
      <c r="B1003" s="4">
        <v>43419</v>
      </c>
      <c r="C1003">
        <v>2</v>
      </c>
      <c r="D1003" t="s">
        <v>106</v>
      </c>
      <c r="E1003" t="s">
        <v>68</v>
      </c>
      <c r="F1003" t="s">
        <v>18</v>
      </c>
      <c r="G1003" t="s">
        <v>14</v>
      </c>
      <c r="H1003">
        <v>199</v>
      </c>
      <c r="I1003">
        <v>2</v>
      </c>
      <c r="J1003">
        <v>398</v>
      </c>
    </row>
    <row r="1004" spans="1:10" x14ac:dyDescent="0.35">
      <c r="A1004" s="3" t="s">
        <v>1049</v>
      </c>
      <c r="B1004" s="4">
        <v>43419</v>
      </c>
      <c r="C1004">
        <v>10</v>
      </c>
      <c r="D1004" t="s">
        <v>58</v>
      </c>
      <c r="E1004" t="s">
        <v>46</v>
      </c>
      <c r="F1004" t="s">
        <v>23</v>
      </c>
      <c r="G1004" t="s">
        <v>24</v>
      </c>
      <c r="H1004">
        <v>159</v>
      </c>
      <c r="I1004">
        <v>4</v>
      </c>
      <c r="J1004">
        <v>636</v>
      </c>
    </row>
    <row r="1005" spans="1:10" x14ac:dyDescent="0.35">
      <c r="A1005" s="3" t="s">
        <v>1050</v>
      </c>
      <c r="B1005" s="4">
        <v>43419</v>
      </c>
      <c r="C1005">
        <v>17</v>
      </c>
      <c r="D1005" t="s">
        <v>35</v>
      </c>
      <c r="E1005" t="s">
        <v>27</v>
      </c>
      <c r="F1005" t="s">
        <v>28</v>
      </c>
      <c r="G1005" t="s">
        <v>14</v>
      </c>
      <c r="H1005">
        <v>199</v>
      </c>
      <c r="I1005">
        <v>9</v>
      </c>
      <c r="J1005">
        <v>1791</v>
      </c>
    </row>
    <row r="1006" spans="1:10" x14ac:dyDescent="0.35">
      <c r="A1006" s="3" t="s">
        <v>1051</v>
      </c>
      <c r="B1006" s="4">
        <v>43419</v>
      </c>
      <c r="C1006">
        <v>10</v>
      </c>
      <c r="D1006" t="s">
        <v>58</v>
      </c>
      <c r="E1006" t="s">
        <v>22</v>
      </c>
      <c r="F1006" t="s">
        <v>23</v>
      </c>
      <c r="G1006" t="s">
        <v>14</v>
      </c>
      <c r="H1006">
        <v>199</v>
      </c>
      <c r="I1006">
        <v>1</v>
      </c>
      <c r="J1006">
        <v>199</v>
      </c>
    </row>
    <row r="1007" spans="1:10" x14ac:dyDescent="0.35">
      <c r="A1007" s="3" t="s">
        <v>1052</v>
      </c>
      <c r="B1007" s="4">
        <v>43419</v>
      </c>
      <c r="C1007">
        <v>19</v>
      </c>
      <c r="D1007" t="s">
        <v>56</v>
      </c>
      <c r="E1007" t="s">
        <v>27</v>
      </c>
      <c r="F1007" t="s">
        <v>28</v>
      </c>
      <c r="G1007" t="s">
        <v>24</v>
      </c>
      <c r="H1007">
        <v>159</v>
      </c>
      <c r="I1007">
        <v>2</v>
      </c>
      <c r="J1007">
        <v>318</v>
      </c>
    </row>
    <row r="1008" spans="1:10" x14ac:dyDescent="0.35">
      <c r="A1008" s="3" t="s">
        <v>1053</v>
      </c>
      <c r="B1008" s="4">
        <v>43419</v>
      </c>
      <c r="C1008">
        <v>6</v>
      </c>
      <c r="D1008" t="s">
        <v>48</v>
      </c>
      <c r="E1008" t="s">
        <v>22</v>
      </c>
      <c r="F1008" t="s">
        <v>23</v>
      </c>
      <c r="G1008" t="s">
        <v>14</v>
      </c>
      <c r="H1008">
        <v>199</v>
      </c>
      <c r="I1008">
        <v>7</v>
      </c>
      <c r="J1008">
        <v>1393</v>
      </c>
    </row>
    <row r="1009" spans="1:10" x14ac:dyDescent="0.35">
      <c r="A1009" s="3" t="s">
        <v>1054</v>
      </c>
      <c r="B1009" s="4">
        <v>43420</v>
      </c>
      <c r="C1009">
        <v>15</v>
      </c>
      <c r="D1009" t="s">
        <v>118</v>
      </c>
      <c r="E1009" t="s">
        <v>12</v>
      </c>
      <c r="F1009" t="s">
        <v>13</v>
      </c>
      <c r="G1009" t="s">
        <v>19</v>
      </c>
      <c r="H1009">
        <v>289</v>
      </c>
      <c r="I1009">
        <v>1</v>
      </c>
      <c r="J1009">
        <v>289</v>
      </c>
    </row>
    <row r="1010" spans="1:10" x14ac:dyDescent="0.35">
      <c r="A1010" s="3" t="s">
        <v>1055</v>
      </c>
      <c r="B1010" s="4">
        <v>43420</v>
      </c>
      <c r="C1010">
        <v>8</v>
      </c>
      <c r="D1010" t="s">
        <v>45</v>
      </c>
      <c r="E1010" t="s">
        <v>22</v>
      </c>
      <c r="F1010" t="s">
        <v>23</v>
      </c>
      <c r="G1010" t="s">
        <v>41</v>
      </c>
      <c r="H1010">
        <v>399</v>
      </c>
      <c r="I1010">
        <v>0</v>
      </c>
      <c r="J1010">
        <v>0</v>
      </c>
    </row>
    <row r="1011" spans="1:10" x14ac:dyDescent="0.35">
      <c r="A1011" s="3" t="s">
        <v>1056</v>
      </c>
      <c r="B1011" s="4">
        <v>43421</v>
      </c>
      <c r="C1011">
        <v>1</v>
      </c>
      <c r="D1011" t="s">
        <v>16</v>
      </c>
      <c r="E1011" t="s">
        <v>17</v>
      </c>
      <c r="F1011" t="s">
        <v>18</v>
      </c>
      <c r="G1011" t="s">
        <v>14</v>
      </c>
      <c r="H1011">
        <v>199</v>
      </c>
      <c r="I1011">
        <v>2</v>
      </c>
      <c r="J1011">
        <v>398</v>
      </c>
    </row>
    <row r="1012" spans="1:10" x14ac:dyDescent="0.35">
      <c r="A1012" s="3" t="s">
        <v>1057</v>
      </c>
      <c r="B1012" s="4">
        <v>43421</v>
      </c>
      <c r="C1012">
        <v>7</v>
      </c>
      <c r="D1012" t="s">
        <v>88</v>
      </c>
      <c r="E1012" t="s">
        <v>46</v>
      </c>
      <c r="F1012" t="s">
        <v>23</v>
      </c>
      <c r="G1012" t="s">
        <v>19</v>
      </c>
      <c r="H1012">
        <v>289</v>
      </c>
      <c r="I1012">
        <v>0</v>
      </c>
      <c r="J1012">
        <v>0</v>
      </c>
    </row>
    <row r="1013" spans="1:10" x14ac:dyDescent="0.35">
      <c r="A1013" s="3" t="s">
        <v>1058</v>
      </c>
      <c r="B1013" s="4">
        <v>43421</v>
      </c>
      <c r="C1013">
        <v>3</v>
      </c>
      <c r="D1013" t="s">
        <v>43</v>
      </c>
      <c r="E1013" t="s">
        <v>68</v>
      </c>
      <c r="F1013" t="s">
        <v>18</v>
      </c>
      <c r="G1013" t="s">
        <v>19</v>
      </c>
      <c r="H1013">
        <v>289</v>
      </c>
      <c r="I1013">
        <v>4</v>
      </c>
      <c r="J1013">
        <v>1156</v>
      </c>
    </row>
    <row r="1014" spans="1:10" x14ac:dyDescent="0.35">
      <c r="A1014" s="3" t="s">
        <v>1059</v>
      </c>
      <c r="B1014" s="4">
        <v>43421</v>
      </c>
      <c r="C1014">
        <v>9</v>
      </c>
      <c r="D1014" t="s">
        <v>21</v>
      </c>
      <c r="E1014" t="s">
        <v>46</v>
      </c>
      <c r="F1014" t="s">
        <v>23</v>
      </c>
      <c r="G1014" t="s">
        <v>31</v>
      </c>
      <c r="H1014">
        <v>69</v>
      </c>
      <c r="I1014">
        <v>8</v>
      </c>
      <c r="J1014">
        <v>552</v>
      </c>
    </row>
    <row r="1015" spans="1:10" x14ac:dyDescent="0.35">
      <c r="A1015" s="3" t="s">
        <v>1060</v>
      </c>
      <c r="B1015" s="4">
        <v>43422</v>
      </c>
      <c r="C1015">
        <v>2</v>
      </c>
      <c r="D1015" t="s">
        <v>106</v>
      </c>
      <c r="E1015" t="s">
        <v>68</v>
      </c>
      <c r="F1015" t="s">
        <v>18</v>
      </c>
      <c r="G1015" t="s">
        <v>14</v>
      </c>
      <c r="H1015">
        <v>199</v>
      </c>
      <c r="I1015">
        <v>6</v>
      </c>
      <c r="J1015">
        <v>1194</v>
      </c>
    </row>
    <row r="1016" spans="1:10" x14ac:dyDescent="0.35">
      <c r="A1016" s="3" t="s">
        <v>1061</v>
      </c>
      <c r="B1016" s="4">
        <v>43423</v>
      </c>
      <c r="C1016">
        <v>5</v>
      </c>
      <c r="D1016" t="s">
        <v>60</v>
      </c>
      <c r="E1016" t="s">
        <v>17</v>
      </c>
      <c r="F1016" t="s">
        <v>18</v>
      </c>
      <c r="G1016" t="s">
        <v>41</v>
      </c>
      <c r="H1016">
        <v>399</v>
      </c>
      <c r="I1016">
        <v>2</v>
      </c>
      <c r="J1016">
        <v>798</v>
      </c>
    </row>
    <row r="1017" spans="1:10" x14ac:dyDescent="0.35">
      <c r="A1017" s="3" t="s">
        <v>1062</v>
      </c>
      <c r="B1017" s="4">
        <v>43423</v>
      </c>
      <c r="C1017">
        <v>6</v>
      </c>
      <c r="D1017" t="s">
        <v>48</v>
      </c>
      <c r="E1017" t="s">
        <v>22</v>
      </c>
      <c r="F1017" t="s">
        <v>23</v>
      </c>
      <c r="G1017" t="s">
        <v>19</v>
      </c>
      <c r="H1017">
        <v>289</v>
      </c>
      <c r="I1017">
        <v>5</v>
      </c>
      <c r="J1017">
        <v>1445</v>
      </c>
    </row>
    <row r="1018" spans="1:10" x14ac:dyDescent="0.35">
      <c r="A1018" s="3" t="s">
        <v>1063</v>
      </c>
      <c r="B1018" s="4">
        <v>43423</v>
      </c>
      <c r="C1018">
        <v>12</v>
      </c>
      <c r="D1018" t="s">
        <v>66</v>
      </c>
      <c r="E1018" t="s">
        <v>12</v>
      </c>
      <c r="F1018" t="s">
        <v>13</v>
      </c>
      <c r="G1018" t="s">
        <v>14</v>
      </c>
      <c r="H1018">
        <v>199</v>
      </c>
      <c r="I1018">
        <v>4</v>
      </c>
      <c r="J1018">
        <v>796</v>
      </c>
    </row>
    <row r="1019" spans="1:10" x14ac:dyDescent="0.35">
      <c r="A1019" s="3" t="s">
        <v>1064</v>
      </c>
      <c r="B1019" s="4">
        <v>43423</v>
      </c>
      <c r="C1019">
        <v>5</v>
      </c>
      <c r="D1019" t="s">
        <v>60</v>
      </c>
      <c r="E1019" t="s">
        <v>68</v>
      </c>
      <c r="F1019" t="s">
        <v>18</v>
      </c>
      <c r="G1019" t="s">
        <v>41</v>
      </c>
      <c r="H1019">
        <v>399</v>
      </c>
      <c r="I1019">
        <v>1</v>
      </c>
      <c r="J1019">
        <v>399</v>
      </c>
    </row>
    <row r="1020" spans="1:10" x14ac:dyDescent="0.35">
      <c r="A1020" s="3" t="s">
        <v>1065</v>
      </c>
      <c r="B1020" s="4">
        <v>43424</v>
      </c>
      <c r="C1020">
        <v>5</v>
      </c>
      <c r="D1020" t="s">
        <v>60</v>
      </c>
      <c r="E1020" t="s">
        <v>68</v>
      </c>
      <c r="F1020" t="s">
        <v>18</v>
      </c>
      <c r="G1020" t="s">
        <v>41</v>
      </c>
      <c r="H1020">
        <v>399</v>
      </c>
      <c r="I1020">
        <v>8</v>
      </c>
      <c r="J1020">
        <v>3192</v>
      </c>
    </row>
    <row r="1021" spans="1:10" x14ac:dyDescent="0.35">
      <c r="A1021" s="3" t="s">
        <v>1066</v>
      </c>
      <c r="B1021" s="4">
        <v>43425</v>
      </c>
      <c r="C1021">
        <v>20</v>
      </c>
      <c r="D1021" t="s">
        <v>40</v>
      </c>
      <c r="E1021" t="s">
        <v>36</v>
      </c>
      <c r="F1021" t="s">
        <v>28</v>
      </c>
      <c r="G1021" t="s">
        <v>31</v>
      </c>
      <c r="H1021">
        <v>69</v>
      </c>
      <c r="I1021">
        <v>9</v>
      </c>
      <c r="J1021">
        <v>621</v>
      </c>
    </row>
    <row r="1022" spans="1:10" x14ac:dyDescent="0.35">
      <c r="A1022" s="3" t="s">
        <v>1067</v>
      </c>
      <c r="B1022" s="4">
        <v>43425</v>
      </c>
      <c r="C1022">
        <v>16</v>
      </c>
      <c r="D1022" t="s">
        <v>30</v>
      </c>
      <c r="E1022" t="s">
        <v>27</v>
      </c>
      <c r="F1022" t="s">
        <v>28</v>
      </c>
      <c r="G1022" t="s">
        <v>41</v>
      </c>
      <c r="H1022">
        <v>399</v>
      </c>
      <c r="I1022">
        <v>3</v>
      </c>
      <c r="J1022">
        <v>1197</v>
      </c>
    </row>
    <row r="1023" spans="1:10" x14ac:dyDescent="0.35">
      <c r="A1023" s="3" t="s">
        <v>1068</v>
      </c>
      <c r="B1023" s="4">
        <v>43426</v>
      </c>
      <c r="C1023">
        <v>1</v>
      </c>
      <c r="D1023" t="s">
        <v>16</v>
      </c>
      <c r="E1023" t="s">
        <v>68</v>
      </c>
      <c r="F1023" t="s">
        <v>18</v>
      </c>
      <c r="G1023" t="s">
        <v>24</v>
      </c>
      <c r="H1023">
        <v>159</v>
      </c>
      <c r="I1023">
        <v>6</v>
      </c>
      <c r="J1023">
        <v>954</v>
      </c>
    </row>
    <row r="1024" spans="1:10" x14ac:dyDescent="0.35">
      <c r="A1024" s="3" t="s">
        <v>1069</v>
      </c>
      <c r="B1024" s="4">
        <v>43426</v>
      </c>
      <c r="C1024">
        <v>5</v>
      </c>
      <c r="D1024" t="s">
        <v>60</v>
      </c>
      <c r="E1024" t="s">
        <v>68</v>
      </c>
      <c r="F1024" t="s">
        <v>18</v>
      </c>
      <c r="G1024" t="s">
        <v>41</v>
      </c>
      <c r="H1024">
        <v>399</v>
      </c>
      <c r="I1024">
        <v>6</v>
      </c>
      <c r="J1024">
        <v>2394</v>
      </c>
    </row>
    <row r="1025" spans="1:10" x14ac:dyDescent="0.35">
      <c r="A1025" s="3" t="s">
        <v>1070</v>
      </c>
      <c r="B1025" s="4">
        <v>43426</v>
      </c>
      <c r="C1025">
        <v>15</v>
      </c>
      <c r="D1025" t="s">
        <v>118</v>
      </c>
      <c r="E1025" t="s">
        <v>63</v>
      </c>
      <c r="F1025" t="s">
        <v>13</v>
      </c>
      <c r="G1025" t="s">
        <v>31</v>
      </c>
      <c r="H1025">
        <v>69</v>
      </c>
      <c r="I1025">
        <v>7</v>
      </c>
      <c r="J1025">
        <v>483</v>
      </c>
    </row>
    <row r="1026" spans="1:10" x14ac:dyDescent="0.35">
      <c r="A1026" s="3" t="s">
        <v>1071</v>
      </c>
      <c r="B1026" s="4">
        <v>43426</v>
      </c>
      <c r="C1026">
        <v>2</v>
      </c>
      <c r="D1026" t="s">
        <v>106</v>
      </c>
      <c r="E1026" t="s">
        <v>68</v>
      </c>
      <c r="F1026" t="s">
        <v>18</v>
      </c>
      <c r="G1026" t="s">
        <v>14</v>
      </c>
      <c r="H1026">
        <v>199</v>
      </c>
      <c r="I1026">
        <v>9</v>
      </c>
      <c r="J1026">
        <v>1791</v>
      </c>
    </row>
    <row r="1027" spans="1:10" x14ac:dyDescent="0.35">
      <c r="A1027" s="3" t="s">
        <v>1072</v>
      </c>
      <c r="B1027" s="4">
        <v>43426</v>
      </c>
      <c r="C1027">
        <v>8</v>
      </c>
      <c r="D1027" t="s">
        <v>45</v>
      </c>
      <c r="E1027" t="s">
        <v>22</v>
      </c>
      <c r="F1027" t="s">
        <v>23</v>
      </c>
      <c r="G1027" t="s">
        <v>24</v>
      </c>
      <c r="H1027">
        <v>159</v>
      </c>
      <c r="I1027">
        <v>6</v>
      </c>
      <c r="J1027">
        <v>954</v>
      </c>
    </row>
    <row r="1028" spans="1:10" x14ac:dyDescent="0.35">
      <c r="A1028" s="3" t="s">
        <v>1073</v>
      </c>
      <c r="B1028" s="4">
        <v>43426</v>
      </c>
      <c r="C1028">
        <v>3</v>
      </c>
      <c r="D1028" t="s">
        <v>43</v>
      </c>
      <c r="E1028" t="s">
        <v>68</v>
      </c>
      <c r="F1028" t="s">
        <v>18</v>
      </c>
      <c r="G1028" t="s">
        <v>31</v>
      </c>
      <c r="H1028">
        <v>69</v>
      </c>
      <c r="I1028">
        <v>5</v>
      </c>
      <c r="J1028">
        <v>345</v>
      </c>
    </row>
    <row r="1029" spans="1:10" x14ac:dyDescent="0.35">
      <c r="A1029" s="3" t="s">
        <v>1074</v>
      </c>
      <c r="B1029" s="4">
        <v>43426</v>
      </c>
      <c r="C1029">
        <v>20</v>
      </c>
      <c r="D1029" t="s">
        <v>40</v>
      </c>
      <c r="E1029" t="s">
        <v>27</v>
      </c>
      <c r="F1029" t="s">
        <v>28</v>
      </c>
      <c r="G1029" t="s">
        <v>24</v>
      </c>
      <c r="H1029">
        <v>159</v>
      </c>
      <c r="I1029">
        <v>0</v>
      </c>
      <c r="J1029">
        <v>0</v>
      </c>
    </row>
    <row r="1030" spans="1:10" x14ac:dyDescent="0.35">
      <c r="A1030" s="3" t="s">
        <v>1075</v>
      </c>
      <c r="B1030" s="4">
        <v>43426</v>
      </c>
      <c r="C1030">
        <v>8</v>
      </c>
      <c r="D1030" t="s">
        <v>45</v>
      </c>
      <c r="E1030" t="s">
        <v>22</v>
      </c>
      <c r="F1030" t="s">
        <v>23</v>
      </c>
      <c r="G1030" t="s">
        <v>41</v>
      </c>
      <c r="H1030">
        <v>399</v>
      </c>
      <c r="I1030">
        <v>9</v>
      </c>
      <c r="J1030">
        <v>3591</v>
      </c>
    </row>
    <row r="1031" spans="1:10" x14ac:dyDescent="0.35">
      <c r="A1031" s="3" t="s">
        <v>1076</v>
      </c>
      <c r="B1031" s="4">
        <v>43426</v>
      </c>
      <c r="C1031">
        <v>7</v>
      </c>
      <c r="D1031" t="s">
        <v>88</v>
      </c>
      <c r="E1031" t="s">
        <v>22</v>
      </c>
      <c r="F1031" t="s">
        <v>23</v>
      </c>
      <c r="G1031" t="s">
        <v>41</v>
      </c>
      <c r="H1031">
        <v>399</v>
      </c>
      <c r="I1031">
        <v>5</v>
      </c>
      <c r="J1031">
        <v>1995</v>
      </c>
    </row>
    <row r="1032" spans="1:10" x14ac:dyDescent="0.35">
      <c r="A1032" s="3" t="s">
        <v>1077</v>
      </c>
      <c r="B1032" s="4">
        <v>43426</v>
      </c>
      <c r="C1032">
        <v>10</v>
      </c>
      <c r="D1032" t="s">
        <v>58</v>
      </c>
      <c r="E1032" t="s">
        <v>46</v>
      </c>
      <c r="F1032" t="s">
        <v>23</v>
      </c>
      <c r="G1032" t="s">
        <v>41</v>
      </c>
      <c r="H1032">
        <v>399</v>
      </c>
      <c r="I1032">
        <v>0</v>
      </c>
      <c r="J1032">
        <v>0</v>
      </c>
    </row>
    <row r="1033" spans="1:10" x14ac:dyDescent="0.35">
      <c r="A1033" s="3" t="s">
        <v>1078</v>
      </c>
      <c r="B1033" s="4">
        <v>43426</v>
      </c>
      <c r="C1033">
        <v>13</v>
      </c>
      <c r="D1033" t="s">
        <v>33</v>
      </c>
      <c r="E1033" t="s">
        <v>12</v>
      </c>
      <c r="F1033" t="s">
        <v>13</v>
      </c>
      <c r="G1033" t="s">
        <v>14</v>
      </c>
      <c r="H1033">
        <v>199</v>
      </c>
      <c r="I1033">
        <v>7</v>
      </c>
      <c r="J1033">
        <v>1393</v>
      </c>
    </row>
    <row r="1034" spans="1:10" x14ac:dyDescent="0.35">
      <c r="A1034" s="3" t="s">
        <v>1079</v>
      </c>
      <c r="B1034" s="4">
        <v>43427</v>
      </c>
      <c r="C1034">
        <v>15</v>
      </c>
      <c r="D1034" t="s">
        <v>118</v>
      </c>
      <c r="E1034" t="s">
        <v>12</v>
      </c>
      <c r="F1034" t="s">
        <v>13</v>
      </c>
      <c r="G1034" t="s">
        <v>31</v>
      </c>
      <c r="H1034">
        <v>69</v>
      </c>
      <c r="I1034">
        <v>7</v>
      </c>
      <c r="J1034">
        <v>483</v>
      </c>
    </row>
    <row r="1035" spans="1:10" x14ac:dyDescent="0.35">
      <c r="A1035" s="3" t="s">
        <v>1080</v>
      </c>
      <c r="B1035" s="4">
        <v>43427</v>
      </c>
      <c r="C1035">
        <v>3</v>
      </c>
      <c r="D1035" t="s">
        <v>43</v>
      </c>
      <c r="E1035" t="s">
        <v>17</v>
      </c>
      <c r="F1035" t="s">
        <v>18</v>
      </c>
      <c r="G1035" t="s">
        <v>41</v>
      </c>
      <c r="H1035">
        <v>399</v>
      </c>
      <c r="I1035">
        <v>2</v>
      </c>
      <c r="J1035">
        <v>798</v>
      </c>
    </row>
    <row r="1036" spans="1:10" x14ac:dyDescent="0.35">
      <c r="A1036" s="3" t="s">
        <v>1081</v>
      </c>
      <c r="B1036" s="4">
        <v>43427</v>
      </c>
      <c r="C1036">
        <v>4</v>
      </c>
      <c r="D1036" t="s">
        <v>51</v>
      </c>
      <c r="E1036" t="s">
        <v>17</v>
      </c>
      <c r="F1036" t="s">
        <v>18</v>
      </c>
      <c r="G1036" t="s">
        <v>41</v>
      </c>
      <c r="H1036">
        <v>399</v>
      </c>
      <c r="I1036">
        <v>6</v>
      </c>
      <c r="J1036">
        <v>2394</v>
      </c>
    </row>
    <row r="1037" spans="1:10" x14ac:dyDescent="0.35">
      <c r="A1037" s="3" t="s">
        <v>1082</v>
      </c>
      <c r="B1037" s="4">
        <v>43427</v>
      </c>
      <c r="C1037">
        <v>13</v>
      </c>
      <c r="D1037" t="s">
        <v>33</v>
      </c>
      <c r="E1037" t="s">
        <v>12</v>
      </c>
      <c r="F1037" t="s">
        <v>13</v>
      </c>
      <c r="G1037" t="s">
        <v>41</v>
      </c>
      <c r="H1037">
        <v>399</v>
      </c>
      <c r="I1037">
        <v>9</v>
      </c>
      <c r="J1037">
        <v>3591</v>
      </c>
    </row>
    <row r="1038" spans="1:10" x14ac:dyDescent="0.35">
      <c r="A1038" s="3" t="s">
        <v>1083</v>
      </c>
      <c r="B1038" s="4">
        <v>43427</v>
      </c>
      <c r="C1038">
        <v>12</v>
      </c>
      <c r="D1038" t="s">
        <v>66</v>
      </c>
      <c r="E1038" t="s">
        <v>12</v>
      </c>
      <c r="F1038" t="s">
        <v>13</v>
      </c>
      <c r="G1038" t="s">
        <v>19</v>
      </c>
      <c r="H1038">
        <v>289</v>
      </c>
      <c r="I1038">
        <v>6</v>
      </c>
      <c r="J1038">
        <v>1734</v>
      </c>
    </row>
    <row r="1039" spans="1:10" x14ac:dyDescent="0.35">
      <c r="A1039" s="3" t="s">
        <v>1084</v>
      </c>
      <c r="B1039" s="4">
        <v>43427</v>
      </c>
      <c r="C1039">
        <v>17</v>
      </c>
      <c r="D1039" t="s">
        <v>35</v>
      </c>
      <c r="E1039" t="s">
        <v>36</v>
      </c>
      <c r="F1039" t="s">
        <v>28</v>
      </c>
      <c r="G1039" t="s">
        <v>14</v>
      </c>
      <c r="H1039">
        <v>199</v>
      </c>
      <c r="I1039">
        <v>3</v>
      </c>
      <c r="J1039">
        <v>597</v>
      </c>
    </row>
    <row r="1040" spans="1:10" x14ac:dyDescent="0.35">
      <c r="A1040" s="3" t="s">
        <v>1085</v>
      </c>
      <c r="B1040" s="4">
        <v>43428</v>
      </c>
      <c r="C1040">
        <v>13</v>
      </c>
      <c r="D1040" t="s">
        <v>33</v>
      </c>
      <c r="E1040" t="s">
        <v>63</v>
      </c>
      <c r="F1040" t="s">
        <v>13</v>
      </c>
      <c r="G1040" t="s">
        <v>19</v>
      </c>
      <c r="H1040">
        <v>289</v>
      </c>
      <c r="I1040">
        <v>1</v>
      </c>
      <c r="J1040">
        <v>289</v>
      </c>
    </row>
    <row r="1041" spans="1:10" x14ac:dyDescent="0.35">
      <c r="A1041" s="3" t="s">
        <v>1086</v>
      </c>
      <c r="B1041" s="4">
        <v>43428</v>
      </c>
      <c r="C1041">
        <v>7</v>
      </c>
      <c r="D1041" t="s">
        <v>88</v>
      </c>
      <c r="E1041" t="s">
        <v>46</v>
      </c>
      <c r="F1041" t="s">
        <v>23</v>
      </c>
      <c r="G1041" t="s">
        <v>14</v>
      </c>
      <c r="H1041">
        <v>199</v>
      </c>
      <c r="I1041">
        <v>5</v>
      </c>
      <c r="J1041">
        <v>995</v>
      </c>
    </row>
    <row r="1042" spans="1:10" x14ac:dyDescent="0.35">
      <c r="A1042" s="3" t="s">
        <v>1087</v>
      </c>
      <c r="B1042" s="4">
        <v>43428</v>
      </c>
      <c r="C1042">
        <v>18</v>
      </c>
      <c r="D1042" t="s">
        <v>26</v>
      </c>
      <c r="E1042" t="s">
        <v>36</v>
      </c>
      <c r="F1042" t="s">
        <v>28</v>
      </c>
      <c r="G1042" t="s">
        <v>24</v>
      </c>
      <c r="H1042">
        <v>159</v>
      </c>
      <c r="I1042">
        <v>2</v>
      </c>
      <c r="J1042">
        <v>318</v>
      </c>
    </row>
    <row r="1043" spans="1:10" x14ac:dyDescent="0.35">
      <c r="A1043" s="3" t="s">
        <v>1088</v>
      </c>
      <c r="B1043" s="4">
        <v>43428</v>
      </c>
      <c r="C1043">
        <v>14</v>
      </c>
      <c r="D1043" t="s">
        <v>38</v>
      </c>
      <c r="E1043" t="s">
        <v>63</v>
      </c>
      <c r="F1043" t="s">
        <v>13</v>
      </c>
      <c r="G1043" t="s">
        <v>19</v>
      </c>
      <c r="H1043">
        <v>289</v>
      </c>
      <c r="I1043">
        <v>2</v>
      </c>
      <c r="J1043">
        <v>578</v>
      </c>
    </row>
    <row r="1044" spans="1:10" x14ac:dyDescent="0.35">
      <c r="A1044" s="3" t="s">
        <v>1089</v>
      </c>
      <c r="B1044" s="4">
        <v>43428</v>
      </c>
      <c r="C1044">
        <v>3</v>
      </c>
      <c r="D1044" t="s">
        <v>43</v>
      </c>
      <c r="E1044" t="s">
        <v>68</v>
      </c>
      <c r="F1044" t="s">
        <v>18</v>
      </c>
      <c r="G1044" t="s">
        <v>31</v>
      </c>
      <c r="H1044">
        <v>69</v>
      </c>
      <c r="I1044">
        <v>4</v>
      </c>
      <c r="J1044">
        <v>276</v>
      </c>
    </row>
    <row r="1045" spans="1:10" x14ac:dyDescent="0.35">
      <c r="A1045" s="3" t="s">
        <v>1090</v>
      </c>
      <c r="B1045" s="4">
        <v>43428</v>
      </c>
      <c r="C1045">
        <v>9</v>
      </c>
      <c r="D1045" t="s">
        <v>21</v>
      </c>
      <c r="E1045" t="s">
        <v>46</v>
      </c>
      <c r="F1045" t="s">
        <v>23</v>
      </c>
      <c r="G1045" t="s">
        <v>41</v>
      </c>
      <c r="H1045">
        <v>399</v>
      </c>
      <c r="I1045">
        <v>1</v>
      </c>
      <c r="J1045">
        <v>399</v>
      </c>
    </row>
    <row r="1046" spans="1:10" x14ac:dyDescent="0.35">
      <c r="A1046" s="3" t="s">
        <v>1091</v>
      </c>
      <c r="B1046" s="4">
        <v>43428</v>
      </c>
      <c r="C1046">
        <v>11</v>
      </c>
      <c r="D1046" t="s">
        <v>11</v>
      </c>
      <c r="E1046" t="s">
        <v>63</v>
      </c>
      <c r="F1046" t="s">
        <v>13</v>
      </c>
      <c r="G1046" t="s">
        <v>41</v>
      </c>
      <c r="H1046">
        <v>399</v>
      </c>
      <c r="I1046">
        <v>3</v>
      </c>
      <c r="J1046">
        <v>1197</v>
      </c>
    </row>
    <row r="1047" spans="1:10" x14ac:dyDescent="0.35">
      <c r="A1047" s="3" t="s">
        <v>1092</v>
      </c>
      <c r="B1047" s="4">
        <v>43429</v>
      </c>
      <c r="C1047">
        <v>4</v>
      </c>
      <c r="D1047" t="s">
        <v>51</v>
      </c>
      <c r="E1047" t="s">
        <v>68</v>
      </c>
      <c r="F1047" t="s">
        <v>18</v>
      </c>
      <c r="G1047" t="s">
        <v>41</v>
      </c>
      <c r="H1047">
        <v>399</v>
      </c>
      <c r="I1047">
        <v>5</v>
      </c>
      <c r="J1047">
        <v>1995</v>
      </c>
    </row>
    <row r="1048" spans="1:10" x14ac:dyDescent="0.35">
      <c r="A1048" s="3" t="s">
        <v>1093</v>
      </c>
      <c r="B1048" s="4">
        <v>43430</v>
      </c>
      <c r="C1048">
        <v>6</v>
      </c>
      <c r="D1048" t="s">
        <v>48</v>
      </c>
      <c r="E1048" t="s">
        <v>46</v>
      </c>
      <c r="F1048" t="s">
        <v>23</v>
      </c>
      <c r="G1048" t="s">
        <v>19</v>
      </c>
      <c r="H1048">
        <v>289</v>
      </c>
      <c r="I1048">
        <v>1</v>
      </c>
      <c r="J1048">
        <v>289</v>
      </c>
    </row>
    <row r="1049" spans="1:10" x14ac:dyDescent="0.35">
      <c r="A1049" s="3" t="s">
        <v>1094</v>
      </c>
      <c r="B1049" s="4">
        <v>43430</v>
      </c>
      <c r="C1049">
        <v>13</v>
      </c>
      <c r="D1049" t="s">
        <v>33</v>
      </c>
      <c r="E1049" t="s">
        <v>63</v>
      </c>
      <c r="F1049" t="s">
        <v>13</v>
      </c>
      <c r="G1049" t="s">
        <v>19</v>
      </c>
      <c r="H1049">
        <v>289</v>
      </c>
      <c r="I1049">
        <v>7</v>
      </c>
      <c r="J1049">
        <v>2023</v>
      </c>
    </row>
    <row r="1050" spans="1:10" x14ac:dyDescent="0.35">
      <c r="A1050" s="3" t="s">
        <v>1095</v>
      </c>
      <c r="B1050" s="4">
        <v>43431</v>
      </c>
      <c r="C1050">
        <v>2</v>
      </c>
      <c r="D1050" t="s">
        <v>106</v>
      </c>
      <c r="E1050" t="s">
        <v>17</v>
      </c>
      <c r="F1050" t="s">
        <v>18</v>
      </c>
      <c r="G1050" t="s">
        <v>41</v>
      </c>
      <c r="H1050">
        <v>399</v>
      </c>
      <c r="I1050">
        <v>8</v>
      </c>
      <c r="J1050">
        <v>3192</v>
      </c>
    </row>
    <row r="1051" spans="1:10" x14ac:dyDescent="0.35">
      <c r="A1051" s="3" t="s">
        <v>1096</v>
      </c>
      <c r="B1051" s="4">
        <v>43431</v>
      </c>
      <c r="C1051">
        <v>4</v>
      </c>
      <c r="D1051" t="s">
        <v>51</v>
      </c>
      <c r="E1051" t="s">
        <v>68</v>
      </c>
      <c r="F1051" t="s">
        <v>18</v>
      </c>
      <c r="G1051" t="s">
        <v>41</v>
      </c>
      <c r="H1051">
        <v>399</v>
      </c>
      <c r="I1051">
        <v>6</v>
      </c>
      <c r="J1051">
        <v>2394</v>
      </c>
    </row>
    <row r="1052" spans="1:10" x14ac:dyDescent="0.35">
      <c r="A1052" s="3" t="s">
        <v>1097</v>
      </c>
      <c r="B1052" s="4">
        <v>43431</v>
      </c>
      <c r="C1052">
        <v>1</v>
      </c>
      <c r="D1052" t="s">
        <v>16</v>
      </c>
      <c r="E1052" t="s">
        <v>68</v>
      </c>
      <c r="F1052" t="s">
        <v>18</v>
      </c>
      <c r="G1052" t="s">
        <v>31</v>
      </c>
      <c r="H1052">
        <v>69</v>
      </c>
      <c r="I1052">
        <v>9</v>
      </c>
      <c r="J1052">
        <v>621</v>
      </c>
    </row>
    <row r="1053" spans="1:10" x14ac:dyDescent="0.35">
      <c r="A1053" s="3" t="s">
        <v>1098</v>
      </c>
      <c r="B1053" s="4">
        <v>43432</v>
      </c>
      <c r="C1053">
        <v>10</v>
      </c>
      <c r="D1053" t="s">
        <v>58</v>
      </c>
      <c r="E1053" t="s">
        <v>22</v>
      </c>
      <c r="F1053" t="s">
        <v>23</v>
      </c>
      <c r="G1053" t="s">
        <v>31</v>
      </c>
      <c r="H1053">
        <v>69</v>
      </c>
      <c r="I1053">
        <v>7</v>
      </c>
      <c r="J1053">
        <v>483</v>
      </c>
    </row>
    <row r="1054" spans="1:10" x14ac:dyDescent="0.35">
      <c r="A1054" s="3" t="s">
        <v>1099</v>
      </c>
      <c r="B1054" s="4">
        <v>43432</v>
      </c>
      <c r="C1054">
        <v>15</v>
      </c>
      <c r="D1054" t="s">
        <v>118</v>
      </c>
      <c r="E1054" t="s">
        <v>63</v>
      </c>
      <c r="F1054" t="s">
        <v>13</v>
      </c>
      <c r="G1054" t="s">
        <v>31</v>
      </c>
      <c r="H1054">
        <v>69</v>
      </c>
      <c r="I1054">
        <v>1</v>
      </c>
      <c r="J1054">
        <v>69</v>
      </c>
    </row>
    <row r="1055" spans="1:10" x14ac:dyDescent="0.35">
      <c r="A1055" s="3" t="s">
        <v>1100</v>
      </c>
      <c r="B1055" s="4">
        <v>43432</v>
      </c>
      <c r="C1055">
        <v>6</v>
      </c>
      <c r="D1055" t="s">
        <v>48</v>
      </c>
      <c r="E1055" t="s">
        <v>46</v>
      </c>
      <c r="F1055" t="s">
        <v>23</v>
      </c>
      <c r="G1055" t="s">
        <v>24</v>
      </c>
      <c r="H1055">
        <v>159</v>
      </c>
      <c r="I1055">
        <v>2</v>
      </c>
      <c r="J1055">
        <v>318</v>
      </c>
    </row>
    <row r="1056" spans="1:10" x14ac:dyDescent="0.35">
      <c r="A1056" s="3" t="s">
        <v>1101</v>
      </c>
      <c r="B1056" s="4">
        <v>43432</v>
      </c>
      <c r="C1056">
        <v>11</v>
      </c>
      <c r="D1056" t="s">
        <v>11</v>
      </c>
      <c r="E1056" t="s">
        <v>12</v>
      </c>
      <c r="F1056" t="s">
        <v>13</v>
      </c>
      <c r="G1056" t="s">
        <v>19</v>
      </c>
      <c r="H1056">
        <v>289</v>
      </c>
      <c r="I1056">
        <v>8</v>
      </c>
      <c r="J1056">
        <v>2312</v>
      </c>
    </row>
    <row r="1057" spans="1:10" x14ac:dyDescent="0.35">
      <c r="A1057" s="3" t="s">
        <v>1102</v>
      </c>
      <c r="B1057" s="4">
        <v>43432</v>
      </c>
      <c r="C1057">
        <v>4</v>
      </c>
      <c r="D1057" t="s">
        <v>51</v>
      </c>
      <c r="E1057" t="s">
        <v>17</v>
      </c>
      <c r="F1057" t="s">
        <v>18</v>
      </c>
      <c r="G1057" t="s">
        <v>19</v>
      </c>
      <c r="H1057">
        <v>289</v>
      </c>
      <c r="I1057">
        <v>7</v>
      </c>
      <c r="J1057">
        <v>2023</v>
      </c>
    </row>
    <row r="1058" spans="1:10" x14ac:dyDescent="0.35">
      <c r="A1058" s="3" t="s">
        <v>1103</v>
      </c>
      <c r="B1058" s="4">
        <v>43433</v>
      </c>
      <c r="C1058">
        <v>8</v>
      </c>
      <c r="D1058" t="s">
        <v>45</v>
      </c>
      <c r="E1058" t="s">
        <v>46</v>
      </c>
      <c r="F1058" t="s">
        <v>23</v>
      </c>
      <c r="G1058" t="s">
        <v>14</v>
      </c>
      <c r="H1058">
        <v>199</v>
      </c>
      <c r="I1058">
        <v>3</v>
      </c>
      <c r="J1058">
        <v>597</v>
      </c>
    </row>
    <row r="1059" spans="1:10" x14ac:dyDescent="0.35">
      <c r="A1059" s="3" t="s">
        <v>1104</v>
      </c>
      <c r="B1059" s="4">
        <v>43433</v>
      </c>
      <c r="C1059">
        <v>9</v>
      </c>
      <c r="D1059" t="s">
        <v>21</v>
      </c>
      <c r="E1059" t="s">
        <v>46</v>
      </c>
      <c r="F1059" t="s">
        <v>23</v>
      </c>
      <c r="G1059" t="s">
        <v>41</v>
      </c>
      <c r="H1059">
        <v>399</v>
      </c>
      <c r="I1059">
        <v>6</v>
      </c>
      <c r="J1059">
        <v>2394</v>
      </c>
    </row>
    <row r="1060" spans="1:10" x14ac:dyDescent="0.35">
      <c r="A1060" s="3" t="s">
        <v>1105</v>
      </c>
      <c r="B1060" s="4">
        <v>43433</v>
      </c>
      <c r="C1060">
        <v>12</v>
      </c>
      <c r="D1060" t="s">
        <v>66</v>
      </c>
      <c r="E1060" t="s">
        <v>63</v>
      </c>
      <c r="F1060" t="s">
        <v>13</v>
      </c>
      <c r="G1060" t="s">
        <v>19</v>
      </c>
      <c r="H1060">
        <v>289</v>
      </c>
      <c r="I1060">
        <v>9</v>
      </c>
      <c r="J1060">
        <v>2601</v>
      </c>
    </row>
    <row r="1061" spans="1:10" x14ac:dyDescent="0.35">
      <c r="A1061" s="3" t="s">
        <v>1106</v>
      </c>
      <c r="B1061" s="4">
        <v>43434</v>
      </c>
      <c r="C1061">
        <v>2</v>
      </c>
      <c r="D1061" t="s">
        <v>106</v>
      </c>
      <c r="E1061" t="s">
        <v>17</v>
      </c>
      <c r="F1061" t="s">
        <v>18</v>
      </c>
      <c r="G1061" t="s">
        <v>24</v>
      </c>
      <c r="H1061">
        <v>159</v>
      </c>
      <c r="I1061">
        <v>1</v>
      </c>
      <c r="J1061">
        <v>159</v>
      </c>
    </row>
    <row r="1062" spans="1:10" x14ac:dyDescent="0.35">
      <c r="A1062" s="3" t="s">
        <v>1107</v>
      </c>
      <c r="B1062" s="4">
        <v>43435</v>
      </c>
      <c r="C1062">
        <v>8</v>
      </c>
      <c r="D1062" t="s">
        <v>45</v>
      </c>
      <c r="E1062" t="s">
        <v>46</v>
      </c>
      <c r="F1062" t="s">
        <v>23</v>
      </c>
      <c r="G1062" t="s">
        <v>41</v>
      </c>
      <c r="H1062">
        <v>399</v>
      </c>
      <c r="I1062">
        <v>5</v>
      </c>
      <c r="J1062">
        <v>1995</v>
      </c>
    </row>
    <row r="1063" spans="1:10" x14ac:dyDescent="0.35">
      <c r="A1063" s="3" t="s">
        <v>1108</v>
      </c>
      <c r="B1063" s="4">
        <v>43435</v>
      </c>
      <c r="C1063">
        <v>17</v>
      </c>
      <c r="D1063" t="s">
        <v>35</v>
      </c>
      <c r="E1063" t="s">
        <v>36</v>
      </c>
      <c r="F1063" t="s">
        <v>28</v>
      </c>
      <c r="G1063" t="s">
        <v>19</v>
      </c>
      <c r="H1063">
        <v>289</v>
      </c>
      <c r="I1063">
        <v>0</v>
      </c>
      <c r="J1063">
        <v>0</v>
      </c>
    </row>
    <row r="1064" spans="1:10" x14ac:dyDescent="0.35">
      <c r="A1064" s="3" t="s">
        <v>1109</v>
      </c>
      <c r="B1064" s="4">
        <v>43436</v>
      </c>
      <c r="C1064">
        <v>7</v>
      </c>
      <c r="D1064" t="s">
        <v>88</v>
      </c>
      <c r="E1064" t="s">
        <v>46</v>
      </c>
      <c r="F1064" t="s">
        <v>23</v>
      </c>
      <c r="G1064" t="s">
        <v>41</v>
      </c>
      <c r="H1064">
        <v>399</v>
      </c>
      <c r="I1064">
        <v>3</v>
      </c>
      <c r="J1064">
        <v>1197</v>
      </c>
    </row>
    <row r="1065" spans="1:10" x14ac:dyDescent="0.35">
      <c r="A1065" s="3" t="s">
        <v>1110</v>
      </c>
      <c r="B1065" s="4">
        <v>43437</v>
      </c>
      <c r="C1065">
        <v>1</v>
      </c>
      <c r="D1065" t="s">
        <v>16</v>
      </c>
      <c r="E1065" t="s">
        <v>68</v>
      </c>
      <c r="F1065" t="s">
        <v>18</v>
      </c>
      <c r="G1065" t="s">
        <v>19</v>
      </c>
      <c r="H1065">
        <v>289</v>
      </c>
      <c r="I1065">
        <v>4</v>
      </c>
      <c r="J1065">
        <v>1156</v>
      </c>
    </row>
    <row r="1066" spans="1:10" x14ac:dyDescent="0.35">
      <c r="A1066" s="3" t="s">
        <v>1111</v>
      </c>
      <c r="B1066" s="4">
        <v>43437</v>
      </c>
      <c r="C1066">
        <v>19</v>
      </c>
      <c r="D1066" t="s">
        <v>56</v>
      </c>
      <c r="E1066" t="s">
        <v>27</v>
      </c>
      <c r="F1066" t="s">
        <v>28</v>
      </c>
      <c r="G1066" t="s">
        <v>19</v>
      </c>
      <c r="H1066">
        <v>289</v>
      </c>
      <c r="I1066">
        <v>2</v>
      </c>
      <c r="J1066">
        <v>578</v>
      </c>
    </row>
    <row r="1067" spans="1:10" x14ac:dyDescent="0.35">
      <c r="A1067" s="3" t="s">
        <v>1112</v>
      </c>
      <c r="B1067" s="4">
        <v>43438</v>
      </c>
      <c r="C1067">
        <v>2</v>
      </c>
      <c r="D1067" t="s">
        <v>106</v>
      </c>
      <c r="E1067" t="s">
        <v>17</v>
      </c>
      <c r="F1067" t="s">
        <v>18</v>
      </c>
      <c r="G1067" t="s">
        <v>31</v>
      </c>
      <c r="H1067">
        <v>69</v>
      </c>
      <c r="I1067">
        <v>7</v>
      </c>
      <c r="J1067">
        <v>483</v>
      </c>
    </row>
    <row r="1068" spans="1:10" x14ac:dyDescent="0.35">
      <c r="A1068" s="3" t="s">
        <v>1113</v>
      </c>
      <c r="B1068" s="4">
        <v>43438</v>
      </c>
      <c r="C1068">
        <v>16</v>
      </c>
      <c r="D1068" t="s">
        <v>30</v>
      </c>
      <c r="E1068" t="s">
        <v>36</v>
      </c>
      <c r="F1068" t="s">
        <v>28</v>
      </c>
      <c r="G1068" t="s">
        <v>41</v>
      </c>
      <c r="H1068">
        <v>399</v>
      </c>
      <c r="I1068">
        <v>0</v>
      </c>
      <c r="J1068">
        <v>0</v>
      </c>
    </row>
    <row r="1069" spans="1:10" x14ac:dyDescent="0.35">
      <c r="A1069" s="3" t="s">
        <v>1114</v>
      </c>
      <c r="B1069" s="4">
        <v>43439</v>
      </c>
      <c r="C1069">
        <v>5</v>
      </c>
      <c r="D1069" t="s">
        <v>60</v>
      </c>
      <c r="E1069" t="s">
        <v>68</v>
      </c>
      <c r="F1069" t="s">
        <v>18</v>
      </c>
      <c r="G1069" t="s">
        <v>41</v>
      </c>
      <c r="H1069">
        <v>399</v>
      </c>
      <c r="I1069">
        <v>4</v>
      </c>
      <c r="J1069">
        <v>1596</v>
      </c>
    </row>
    <row r="1070" spans="1:10" x14ac:dyDescent="0.35">
      <c r="A1070" s="3" t="s">
        <v>1115</v>
      </c>
      <c r="B1070" s="4">
        <v>43440</v>
      </c>
      <c r="C1070">
        <v>4</v>
      </c>
      <c r="D1070" t="s">
        <v>51</v>
      </c>
      <c r="E1070" t="s">
        <v>17</v>
      </c>
      <c r="F1070" t="s">
        <v>18</v>
      </c>
      <c r="G1070" t="s">
        <v>14</v>
      </c>
      <c r="H1070">
        <v>199</v>
      </c>
      <c r="I1070">
        <v>2</v>
      </c>
      <c r="J1070">
        <v>398</v>
      </c>
    </row>
    <row r="1071" spans="1:10" x14ac:dyDescent="0.35">
      <c r="A1071" s="3" t="s">
        <v>1116</v>
      </c>
      <c r="B1071" s="4">
        <v>43440</v>
      </c>
      <c r="C1071">
        <v>14</v>
      </c>
      <c r="D1071" t="s">
        <v>38</v>
      </c>
      <c r="E1071" t="s">
        <v>12</v>
      </c>
      <c r="F1071" t="s">
        <v>13</v>
      </c>
      <c r="G1071" t="s">
        <v>14</v>
      </c>
      <c r="H1071">
        <v>199</v>
      </c>
      <c r="I1071">
        <v>3</v>
      </c>
      <c r="J1071">
        <v>597</v>
      </c>
    </row>
    <row r="1072" spans="1:10" x14ac:dyDescent="0.35">
      <c r="A1072" s="3" t="s">
        <v>1117</v>
      </c>
      <c r="B1072" s="4">
        <v>43440</v>
      </c>
      <c r="C1072">
        <v>4</v>
      </c>
      <c r="D1072" t="s">
        <v>51</v>
      </c>
      <c r="E1072" t="s">
        <v>17</v>
      </c>
      <c r="F1072" t="s">
        <v>18</v>
      </c>
      <c r="G1072" t="s">
        <v>14</v>
      </c>
      <c r="H1072">
        <v>199</v>
      </c>
      <c r="I1072">
        <v>5</v>
      </c>
      <c r="J1072">
        <v>995</v>
      </c>
    </row>
    <row r="1073" spans="1:10" x14ac:dyDescent="0.35">
      <c r="A1073" s="3" t="s">
        <v>1118</v>
      </c>
      <c r="B1073" s="4">
        <v>43441</v>
      </c>
      <c r="C1073">
        <v>4</v>
      </c>
      <c r="D1073" t="s">
        <v>51</v>
      </c>
      <c r="E1073" t="s">
        <v>17</v>
      </c>
      <c r="F1073" t="s">
        <v>18</v>
      </c>
      <c r="G1073" t="s">
        <v>31</v>
      </c>
      <c r="H1073">
        <v>69</v>
      </c>
      <c r="I1073">
        <v>7</v>
      </c>
      <c r="J1073">
        <v>483</v>
      </c>
    </row>
    <row r="1074" spans="1:10" x14ac:dyDescent="0.35">
      <c r="A1074" s="3" t="s">
        <v>1119</v>
      </c>
      <c r="B1074" s="4">
        <v>43441</v>
      </c>
      <c r="C1074">
        <v>9</v>
      </c>
      <c r="D1074" t="s">
        <v>21</v>
      </c>
      <c r="E1074" t="s">
        <v>22</v>
      </c>
      <c r="F1074" t="s">
        <v>23</v>
      </c>
      <c r="G1074" t="s">
        <v>19</v>
      </c>
      <c r="H1074">
        <v>289</v>
      </c>
      <c r="I1074">
        <v>7</v>
      </c>
      <c r="J1074">
        <v>2023</v>
      </c>
    </row>
    <row r="1075" spans="1:10" x14ac:dyDescent="0.35">
      <c r="A1075" s="3" t="s">
        <v>1120</v>
      </c>
      <c r="B1075" s="4">
        <v>43442</v>
      </c>
      <c r="C1075">
        <v>10</v>
      </c>
      <c r="D1075" t="s">
        <v>58</v>
      </c>
      <c r="E1075" t="s">
        <v>22</v>
      </c>
      <c r="F1075" t="s">
        <v>23</v>
      </c>
      <c r="G1075" t="s">
        <v>31</v>
      </c>
      <c r="H1075">
        <v>69</v>
      </c>
      <c r="I1075">
        <v>7</v>
      </c>
      <c r="J1075">
        <v>483</v>
      </c>
    </row>
    <row r="1076" spans="1:10" x14ac:dyDescent="0.35">
      <c r="A1076" s="3" t="s">
        <v>1121</v>
      </c>
      <c r="B1076" s="4">
        <v>43442</v>
      </c>
      <c r="C1076">
        <v>4</v>
      </c>
      <c r="D1076" t="s">
        <v>51</v>
      </c>
      <c r="E1076" t="s">
        <v>17</v>
      </c>
      <c r="F1076" t="s">
        <v>18</v>
      </c>
      <c r="G1076" t="s">
        <v>31</v>
      </c>
      <c r="H1076">
        <v>69</v>
      </c>
      <c r="I1076">
        <v>5</v>
      </c>
      <c r="J1076">
        <v>345</v>
      </c>
    </row>
    <row r="1077" spans="1:10" x14ac:dyDescent="0.35">
      <c r="A1077" s="3" t="s">
        <v>1122</v>
      </c>
      <c r="B1077" s="4">
        <v>43443</v>
      </c>
      <c r="C1077">
        <v>20</v>
      </c>
      <c r="D1077" t="s">
        <v>40</v>
      </c>
      <c r="E1077" t="s">
        <v>27</v>
      </c>
      <c r="F1077" t="s">
        <v>28</v>
      </c>
      <c r="G1077" t="s">
        <v>19</v>
      </c>
      <c r="H1077">
        <v>289</v>
      </c>
      <c r="I1077">
        <v>8</v>
      </c>
      <c r="J1077">
        <v>2312</v>
      </c>
    </row>
    <row r="1078" spans="1:10" x14ac:dyDescent="0.35">
      <c r="A1078" s="3" t="s">
        <v>1123</v>
      </c>
      <c r="B1078" s="4">
        <v>43444</v>
      </c>
      <c r="C1078">
        <v>11</v>
      </c>
      <c r="D1078" t="s">
        <v>11</v>
      </c>
      <c r="E1078" t="s">
        <v>12</v>
      </c>
      <c r="F1078" t="s">
        <v>13</v>
      </c>
      <c r="G1078" t="s">
        <v>19</v>
      </c>
      <c r="H1078">
        <v>289</v>
      </c>
      <c r="I1078">
        <v>9</v>
      </c>
      <c r="J1078">
        <v>2601</v>
      </c>
    </row>
    <row r="1079" spans="1:10" x14ac:dyDescent="0.35">
      <c r="A1079" s="3" t="s">
        <v>1124</v>
      </c>
      <c r="B1079" s="4">
        <v>43445</v>
      </c>
      <c r="C1079">
        <v>13</v>
      </c>
      <c r="D1079" t="s">
        <v>33</v>
      </c>
      <c r="E1079" t="s">
        <v>12</v>
      </c>
      <c r="F1079" t="s">
        <v>13</v>
      </c>
      <c r="G1079" t="s">
        <v>19</v>
      </c>
      <c r="H1079">
        <v>289</v>
      </c>
      <c r="I1079">
        <v>8</v>
      </c>
      <c r="J1079">
        <v>2312</v>
      </c>
    </row>
    <row r="1080" spans="1:10" x14ac:dyDescent="0.35">
      <c r="A1080" s="3" t="s">
        <v>1125</v>
      </c>
      <c r="B1080" s="4">
        <v>43445</v>
      </c>
      <c r="C1080">
        <v>10</v>
      </c>
      <c r="D1080" t="s">
        <v>58</v>
      </c>
      <c r="E1080" t="s">
        <v>22</v>
      </c>
      <c r="F1080" t="s">
        <v>23</v>
      </c>
      <c r="G1080" t="s">
        <v>31</v>
      </c>
      <c r="H1080">
        <v>69</v>
      </c>
      <c r="I1080">
        <v>6</v>
      </c>
      <c r="J1080">
        <v>414</v>
      </c>
    </row>
    <row r="1081" spans="1:10" x14ac:dyDescent="0.35">
      <c r="A1081" s="3" t="s">
        <v>1126</v>
      </c>
      <c r="B1081" s="4">
        <v>43445</v>
      </c>
      <c r="C1081">
        <v>19</v>
      </c>
      <c r="D1081" t="s">
        <v>56</v>
      </c>
      <c r="E1081" t="s">
        <v>27</v>
      </c>
      <c r="F1081" t="s">
        <v>28</v>
      </c>
      <c r="G1081" t="s">
        <v>19</v>
      </c>
      <c r="H1081">
        <v>289</v>
      </c>
      <c r="I1081">
        <v>9</v>
      </c>
      <c r="J1081">
        <v>2601</v>
      </c>
    </row>
    <row r="1082" spans="1:10" x14ac:dyDescent="0.35">
      <c r="A1082" s="3" t="s">
        <v>1127</v>
      </c>
      <c r="B1082" s="4">
        <v>43446</v>
      </c>
      <c r="C1082">
        <v>14</v>
      </c>
      <c r="D1082" t="s">
        <v>38</v>
      </c>
      <c r="E1082" t="s">
        <v>12</v>
      </c>
      <c r="F1082" t="s">
        <v>13</v>
      </c>
      <c r="G1082" t="s">
        <v>19</v>
      </c>
      <c r="H1082">
        <v>289</v>
      </c>
      <c r="I1082">
        <v>5</v>
      </c>
      <c r="J1082">
        <v>1445</v>
      </c>
    </row>
    <row r="1083" spans="1:10" x14ac:dyDescent="0.35">
      <c r="A1083" s="3" t="s">
        <v>1128</v>
      </c>
      <c r="B1083" s="4">
        <v>43447</v>
      </c>
      <c r="C1083">
        <v>16</v>
      </c>
      <c r="D1083" t="s">
        <v>30</v>
      </c>
      <c r="E1083" t="s">
        <v>27</v>
      </c>
      <c r="F1083" t="s">
        <v>28</v>
      </c>
      <c r="G1083" t="s">
        <v>24</v>
      </c>
      <c r="H1083">
        <v>159</v>
      </c>
      <c r="I1083">
        <v>0</v>
      </c>
      <c r="J1083">
        <v>0</v>
      </c>
    </row>
    <row r="1084" spans="1:10" x14ac:dyDescent="0.35">
      <c r="A1084" s="3" t="s">
        <v>1129</v>
      </c>
      <c r="B1084" s="4">
        <v>43447</v>
      </c>
      <c r="C1084">
        <v>13</v>
      </c>
      <c r="D1084" t="s">
        <v>33</v>
      </c>
      <c r="E1084" t="s">
        <v>12</v>
      </c>
      <c r="F1084" t="s">
        <v>13</v>
      </c>
      <c r="G1084" t="s">
        <v>19</v>
      </c>
      <c r="H1084">
        <v>289</v>
      </c>
      <c r="I1084">
        <v>5</v>
      </c>
      <c r="J1084">
        <v>1445</v>
      </c>
    </row>
    <row r="1085" spans="1:10" x14ac:dyDescent="0.35">
      <c r="A1085" s="3" t="s">
        <v>1130</v>
      </c>
      <c r="B1085" s="4">
        <v>43447</v>
      </c>
      <c r="C1085">
        <v>2</v>
      </c>
      <c r="D1085" t="s">
        <v>106</v>
      </c>
      <c r="E1085" t="s">
        <v>17</v>
      </c>
      <c r="F1085" t="s">
        <v>18</v>
      </c>
      <c r="G1085" t="s">
        <v>14</v>
      </c>
      <c r="H1085">
        <v>199</v>
      </c>
      <c r="I1085">
        <v>4</v>
      </c>
      <c r="J1085">
        <v>796</v>
      </c>
    </row>
    <row r="1086" spans="1:10" x14ac:dyDescent="0.35">
      <c r="A1086" s="3" t="s">
        <v>1131</v>
      </c>
      <c r="B1086" s="4">
        <v>43447</v>
      </c>
      <c r="C1086">
        <v>5</v>
      </c>
      <c r="D1086" t="s">
        <v>60</v>
      </c>
      <c r="E1086" t="s">
        <v>68</v>
      </c>
      <c r="F1086" t="s">
        <v>18</v>
      </c>
      <c r="G1086" t="s">
        <v>14</v>
      </c>
      <c r="H1086">
        <v>199</v>
      </c>
      <c r="I1086">
        <v>9</v>
      </c>
      <c r="J1086">
        <v>1791</v>
      </c>
    </row>
    <row r="1087" spans="1:10" x14ac:dyDescent="0.35">
      <c r="A1087" s="3" t="s">
        <v>1132</v>
      </c>
      <c r="B1087" s="4">
        <v>43447</v>
      </c>
      <c r="C1087">
        <v>11</v>
      </c>
      <c r="D1087" t="s">
        <v>11</v>
      </c>
      <c r="E1087" t="s">
        <v>63</v>
      </c>
      <c r="F1087" t="s">
        <v>13</v>
      </c>
      <c r="G1087" t="s">
        <v>31</v>
      </c>
      <c r="H1087">
        <v>69</v>
      </c>
      <c r="I1087">
        <v>1</v>
      </c>
      <c r="J1087">
        <v>69</v>
      </c>
    </row>
    <row r="1088" spans="1:10" x14ac:dyDescent="0.35">
      <c r="A1088" s="3" t="s">
        <v>1133</v>
      </c>
      <c r="B1088" s="4">
        <v>43447</v>
      </c>
      <c r="C1088">
        <v>3</v>
      </c>
      <c r="D1088" t="s">
        <v>43</v>
      </c>
      <c r="E1088" t="s">
        <v>17</v>
      </c>
      <c r="F1088" t="s">
        <v>18</v>
      </c>
      <c r="G1088" t="s">
        <v>31</v>
      </c>
      <c r="H1088">
        <v>69</v>
      </c>
      <c r="I1088">
        <v>5</v>
      </c>
      <c r="J1088">
        <v>345</v>
      </c>
    </row>
    <row r="1089" spans="1:10" x14ac:dyDescent="0.35">
      <c r="A1089" s="3" t="s">
        <v>1134</v>
      </c>
      <c r="B1089" s="4">
        <v>43447</v>
      </c>
      <c r="C1089">
        <v>11</v>
      </c>
      <c r="D1089" t="s">
        <v>11</v>
      </c>
      <c r="E1089" t="s">
        <v>63</v>
      </c>
      <c r="F1089" t="s">
        <v>13</v>
      </c>
      <c r="G1089" t="s">
        <v>24</v>
      </c>
      <c r="H1089">
        <v>159</v>
      </c>
      <c r="I1089">
        <v>3</v>
      </c>
      <c r="J1089">
        <v>477</v>
      </c>
    </row>
    <row r="1090" spans="1:10" x14ac:dyDescent="0.35">
      <c r="A1090" s="3" t="s">
        <v>1135</v>
      </c>
      <c r="B1090" s="4">
        <v>43447</v>
      </c>
      <c r="C1090">
        <v>1</v>
      </c>
      <c r="D1090" t="s">
        <v>16</v>
      </c>
      <c r="E1090" t="s">
        <v>17</v>
      </c>
      <c r="F1090" t="s">
        <v>18</v>
      </c>
      <c r="G1090" t="s">
        <v>41</v>
      </c>
      <c r="H1090">
        <v>399</v>
      </c>
      <c r="I1090">
        <v>1</v>
      </c>
      <c r="J1090">
        <v>399</v>
      </c>
    </row>
    <row r="1091" spans="1:10" x14ac:dyDescent="0.35">
      <c r="A1091" s="3" t="s">
        <v>1136</v>
      </c>
      <c r="B1091" s="4">
        <v>43448</v>
      </c>
      <c r="C1091">
        <v>18</v>
      </c>
      <c r="D1091" t="s">
        <v>26</v>
      </c>
      <c r="E1091" t="s">
        <v>27</v>
      </c>
      <c r="F1091" t="s">
        <v>28</v>
      </c>
      <c r="G1091" t="s">
        <v>19</v>
      </c>
      <c r="H1091">
        <v>289</v>
      </c>
      <c r="I1091">
        <v>9</v>
      </c>
      <c r="J1091">
        <v>2601</v>
      </c>
    </row>
    <row r="1092" spans="1:10" x14ac:dyDescent="0.35">
      <c r="A1092" s="3" t="s">
        <v>1137</v>
      </c>
      <c r="B1092" s="4">
        <v>43449</v>
      </c>
      <c r="C1092">
        <v>15</v>
      </c>
      <c r="D1092" t="s">
        <v>118</v>
      </c>
      <c r="E1092" t="s">
        <v>63</v>
      </c>
      <c r="F1092" t="s">
        <v>13</v>
      </c>
      <c r="G1092" t="s">
        <v>19</v>
      </c>
      <c r="H1092">
        <v>289</v>
      </c>
      <c r="I1092">
        <v>9</v>
      </c>
      <c r="J1092">
        <v>2601</v>
      </c>
    </row>
    <row r="1093" spans="1:10" x14ac:dyDescent="0.35">
      <c r="A1093" s="3" t="s">
        <v>1138</v>
      </c>
      <c r="B1093" s="4">
        <v>43449</v>
      </c>
      <c r="C1093">
        <v>8</v>
      </c>
      <c r="D1093" t="s">
        <v>45</v>
      </c>
      <c r="E1093" t="s">
        <v>22</v>
      </c>
      <c r="F1093" t="s">
        <v>23</v>
      </c>
      <c r="G1093" t="s">
        <v>19</v>
      </c>
      <c r="H1093">
        <v>289</v>
      </c>
      <c r="I1093">
        <v>2</v>
      </c>
      <c r="J1093">
        <v>578</v>
      </c>
    </row>
    <row r="1094" spans="1:10" x14ac:dyDescent="0.35">
      <c r="A1094" s="3" t="s">
        <v>1139</v>
      </c>
      <c r="B1094" s="4">
        <v>43450</v>
      </c>
      <c r="C1094">
        <v>18</v>
      </c>
      <c r="D1094" t="s">
        <v>26</v>
      </c>
      <c r="E1094" t="s">
        <v>27</v>
      </c>
      <c r="F1094" t="s">
        <v>28</v>
      </c>
      <c r="G1094" t="s">
        <v>24</v>
      </c>
      <c r="H1094">
        <v>159</v>
      </c>
      <c r="I1094">
        <v>4</v>
      </c>
      <c r="J1094">
        <v>636</v>
      </c>
    </row>
    <row r="1095" spans="1:10" x14ac:dyDescent="0.35">
      <c r="A1095" s="3" t="s">
        <v>1140</v>
      </c>
      <c r="B1095" s="4">
        <v>43450</v>
      </c>
      <c r="C1095">
        <v>5</v>
      </c>
      <c r="D1095" t="s">
        <v>60</v>
      </c>
      <c r="E1095" t="s">
        <v>68</v>
      </c>
      <c r="F1095" t="s">
        <v>18</v>
      </c>
      <c r="G1095" t="s">
        <v>31</v>
      </c>
      <c r="H1095">
        <v>69</v>
      </c>
      <c r="I1095">
        <v>1</v>
      </c>
      <c r="J1095">
        <v>69</v>
      </c>
    </row>
    <row r="1096" spans="1:10" x14ac:dyDescent="0.35">
      <c r="A1096" s="3" t="s">
        <v>1141</v>
      </c>
      <c r="B1096" s="4">
        <v>43450</v>
      </c>
      <c r="C1096">
        <v>20</v>
      </c>
      <c r="D1096" t="s">
        <v>40</v>
      </c>
      <c r="E1096" t="s">
        <v>36</v>
      </c>
      <c r="F1096" t="s">
        <v>28</v>
      </c>
      <c r="G1096" t="s">
        <v>19</v>
      </c>
      <c r="H1096">
        <v>289</v>
      </c>
      <c r="I1096">
        <v>3</v>
      </c>
      <c r="J1096">
        <v>867</v>
      </c>
    </row>
    <row r="1097" spans="1:10" x14ac:dyDescent="0.35">
      <c r="A1097" s="3" t="s">
        <v>1142</v>
      </c>
      <c r="B1097" s="4">
        <v>43451</v>
      </c>
      <c r="C1097">
        <v>12</v>
      </c>
      <c r="D1097" t="s">
        <v>66</v>
      </c>
      <c r="E1097" t="s">
        <v>12</v>
      </c>
      <c r="F1097" t="s">
        <v>13</v>
      </c>
      <c r="G1097" t="s">
        <v>41</v>
      </c>
      <c r="H1097">
        <v>399</v>
      </c>
      <c r="I1097">
        <v>5</v>
      </c>
      <c r="J1097">
        <v>1995</v>
      </c>
    </row>
    <row r="1098" spans="1:10" x14ac:dyDescent="0.35">
      <c r="A1098" s="3" t="s">
        <v>1143</v>
      </c>
      <c r="B1098" s="4">
        <v>43451</v>
      </c>
      <c r="C1098">
        <v>1</v>
      </c>
      <c r="D1098" t="s">
        <v>16</v>
      </c>
      <c r="E1098" t="s">
        <v>17</v>
      </c>
      <c r="F1098" t="s">
        <v>18</v>
      </c>
      <c r="G1098" t="s">
        <v>31</v>
      </c>
      <c r="H1098">
        <v>69</v>
      </c>
      <c r="I1098">
        <v>6</v>
      </c>
      <c r="J1098">
        <v>414</v>
      </c>
    </row>
    <row r="1099" spans="1:10" x14ac:dyDescent="0.35">
      <c r="A1099" s="3" t="s">
        <v>1144</v>
      </c>
      <c r="B1099" s="4">
        <v>43452</v>
      </c>
      <c r="C1099">
        <v>10</v>
      </c>
      <c r="D1099" t="s">
        <v>58</v>
      </c>
      <c r="E1099" t="s">
        <v>22</v>
      </c>
      <c r="F1099" t="s">
        <v>23</v>
      </c>
      <c r="G1099" t="s">
        <v>14</v>
      </c>
      <c r="H1099">
        <v>199</v>
      </c>
      <c r="I1099">
        <v>3</v>
      </c>
      <c r="J1099">
        <v>597</v>
      </c>
    </row>
    <row r="1100" spans="1:10" x14ac:dyDescent="0.35">
      <c r="A1100" s="3" t="s">
        <v>1145</v>
      </c>
      <c r="B1100" s="4">
        <v>43452</v>
      </c>
      <c r="C1100">
        <v>3</v>
      </c>
      <c r="D1100" t="s">
        <v>43</v>
      </c>
      <c r="E1100" t="s">
        <v>17</v>
      </c>
      <c r="F1100" t="s">
        <v>18</v>
      </c>
      <c r="G1100" t="s">
        <v>31</v>
      </c>
      <c r="H1100">
        <v>69</v>
      </c>
      <c r="I1100">
        <v>2</v>
      </c>
      <c r="J1100">
        <v>138</v>
      </c>
    </row>
    <row r="1101" spans="1:10" x14ac:dyDescent="0.35">
      <c r="A1101" s="3" t="s">
        <v>1146</v>
      </c>
      <c r="B1101" s="4">
        <v>43452</v>
      </c>
      <c r="C1101">
        <v>8</v>
      </c>
      <c r="D1101" t="s">
        <v>45</v>
      </c>
      <c r="E1101" t="s">
        <v>46</v>
      </c>
      <c r="F1101" t="s">
        <v>23</v>
      </c>
      <c r="G1101" t="s">
        <v>24</v>
      </c>
      <c r="H1101">
        <v>159</v>
      </c>
      <c r="I1101">
        <v>3</v>
      </c>
      <c r="J1101">
        <v>477</v>
      </c>
    </row>
    <row r="1102" spans="1:10" x14ac:dyDescent="0.35">
      <c r="A1102" s="3" t="s">
        <v>1147</v>
      </c>
      <c r="B1102" s="4">
        <v>43452</v>
      </c>
      <c r="C1102">
        <v>8</v>
      </c>
      <c r="D1102" t="s">
        <v>45</v>
      </c>
      <c r="E1102" t="s">
        <v>22</v>
      </c>
      <c r="F1102" t="s">
        <v>23</v>
      </c>
      <c r="G1102" t="s">
        <v>31</v>
      </c>
      <c r="H1102">
        <v>69</v>
      </c>
      <c r="I1102">
        <v>9</v>
      </c>
      <c r="J1102">
        <v>621</v>
      </c>
    </row>
    <row r="1103" spans="1:10" x14ac:dyDescent="0.35">
      <c r="A1103" s="3" t="s">
        <v>1148</v>
      </c>
      <c r="B1103" s="4">
        <v>43452</v>
      </c>
      <c r="C1103">
        <v>12</v>
      </c>
      <c r="D1103" t="s">
        <v>66</v>
      </c>
      <c r="E1103" t="s">
        <v>12</v>
      </c>
      <c r="F1103" t="s">
        <v>13</v>
      </c>
      <c r="G1103" t="s">
        <v>41</v>
      </c>
      <c r="H1103">
        <v>399</v>
      </c>
      <c r="I1103">
        <v>3</v>
      </c>
      <c r="J1103">
        <v>1197</v>
      </c>
    </row>
    <row r="1104" spans="1:10" x14ac:dyDescent="0.35">
      <c r="A1104" s="3" t="s">
        <v>1149</v>
      </c>
      <c r="B1104" s="4">
        <v>43452</v>
      </c>
      <c r="C1104">
        <v>5</v>
      </c>
      <c r="D1104" t="s">
        <v>60</v>
      </c>
      <c r="E1104" t="s">
        <v>68</v>
      </c>
      <c r="F1104" t="s">
        <v>18</v>
      </c>
      <c r="G1104" t="s">
        <v>41</v>
      </c>
      <c r="H1104">
        <v>399</v>
      </c>
      <c r="I1104">
        <v>0</v>
      </c>
      <c r="J1104">
        <v>0</v>
      </c>
    </row>
    <row r="1105" spans="1:10" x14ac:dyDescent="0.35">
      <c r="A1105" s="3" t="s">
        <v>1150</v>
      </c>
      <c r="B1105" s="4">
        <v>43452</v>
      </c>
      <c r="C1105">
        <v>12</v>
      </c>
      <c r="D1105" t="s">
        <v>66</v>
      </c>
      <c r="E1105" t="s">
        <v>63</v>
      </c>
      <c r="F1105" t="s">
        <v>13</v>
      </c>
      <c r="G1105" t="s">
        <v>14</v>
      </c>
      <c r="H1105">
        <v>199</v>
      </c>
      <c r="I1105">
        <v>2</v>
      </c>
      <c r="J1105">
        <v>398</v>
      </c>
    </row>
    <row r="1106" spans="1:10" x14ac:dyDescent="0.35">
      <c r="A1106" s="3" t="s">
        <v>1151</v>
      </c>
      <c r="B1106" s="4">
        <v>43452</v>
      </c>
      <c r="C1106">
        <v>12</v>
      </c>
      <c r="D1106" t="s">
        <v>66</v>
      </c>
      <c r="E1106" t="s">
        <v>12</v>
      </c>
      <c r="F1106" t="s">
        <v>13</v>
      </c>
      <c r="G1106" t="s">
        <v>24</v>
      </c>
      <c r="H1106">
        <v>159</v>
      </c>
      <c r="I1106">
        <v>7</v>
      </c>
      <c r="J1106">
        <v>1113</v>
      </c>
    </row>
    <row r="1107" spans="1:10" x14ac:dyDescent="0.35">
      <c r="A1107" s="3" t="s">
        <v>1152</v>
      </c>
      <c r="B1107" s="4">
        <v>43452</v>
      </c>
      <c r="C1107">
        <v>20</v>
      </c>
      <c r="D1107" t="s">
        <v>40</v>
      </c>
      <c r="E1107" t="s">
        <v>27</v>
      </c>
      <c r="F1107" t="s">
        <v>28</v>
      </c>
      <c r="G1107" t="s">
        <v>19</v>
      </c>
      <c r="H1107">
        <v>289</v>
      </c>
      <c r="I1107">
        <v>4</v>
      </c>
      <c r="J1107">
        <v>1156</v>
      </c>
    </row>
    <row r="1108" spans="1:10" x14ac:dyDescent="0.35">
      <c r="A1108" s="3" t="s">
        <v>1153</v>
      </c>
      <c r="B1108" s="4">
        <v>43452</v>
      </c>
      <c r="C1108">
        <v>7</v>
      </c>
      <c r="D1108" t="s">
        <v>88</v>
      </c>
      <c r="E1108" t="s">
        <v>46</v>
      </c>
      <c r="F1108" t="s">
        <v>23</v>
      </c>
      <c r="G1108" t="s">
        <v>14</v>
      </c>
      <c r="H1108">
        <v>199</v>
      </c>
      <c r="I1108">
        <v>9</v>
      </c>
      <c r="J1108">
        <v>1791</v>
      </c>
    </row>
    <row r="1109" spans="1:10" x14ac:dyDescent="0.35">
      <c r="A1109" s="3" t="s">
        <v>1154</v>
      </c>
      <c r="B1109" s="4">
        <v>43452</v>
      </c>
      <c r="C1109">
        <v>14</v>
      </c>
      <c r="D1109" t="s">
        <v>38</v>
      </c>
      <c r="E1109" t="s">
        <v>12</v>
      </c>
      <c r="F1109" t="s">
        <v>13</v>
      </c>
      <c r="G1109" t="s">
        <v>41</v>
      </c>
      <c r="H1109">
        <v>399</v>
      </c>
      <c r="I1109">
        <v>5</v>
      </c>
      <c r="J1109">
        <v>1995</v>
      </c>
    </row>
    <row r="1110" spans="1:10" x14ac:dyDescent="0.35">
      <c r="A1110" s="3" t="s">
        <v>1155</v>
      </c>
      <c r="B1110" s="4">
        <v>43453</v>
      </c>
      <c r="C1110">
        <v>11</v>
      </c>
      <c r="D1110" t="s">
        <v>11</v>
      </c>
      <c r="E1110" t="s">
        <v>12</v>
      </c>
      <c r="F1110" t="s">
        <v>13</v>
      </c>
      <c r="G1110" t="s">
        <v>24</v>
      </c>
      <c r="H1110">
        <v>159</v>
      </c>
      <c r="I1110">
        <v>2</v>
      </c>
      <c r="J1110">
        <v>318</v>
      </c>
    </row>
    <row r="1111" spans="1:10" x14ac:dyDescent="0.35">
      <c r="A1111" s="3" t="s">
        <v>1156</v>
      </c>
      <c r="B1111" s="4">
        <v>43453</v>
      </c>
      <c r="C1111">
        <v>10</v>
      </c>
      <c r="D1111" t="s">
        <v>58</v>
      </c>
      <c r="E1111" t="s">
        <v>46</v>
      </c>
      <c r="F1111" t="s">
        <v>23</v>
      </c>
      <c r="G1111" t="s">
        <v>24</v>
      </c>
      <c r="H1111">
        <v>159</v>
      </c>
      <c r="I1111">
        <v>9</v>
      </c>
      <c r="J1111">
        <v>1431</v>
      </c>
    </row>
    <row r="1112" spans="1:10" x14ac:dyDescent="0.35">
      <c r="A1112" s="3" t="s">
        <v>1157</v>
      </c>
      <c r="B1112" s="4">
        <v>43454</v>
      </c>
      <c r="C1112">
        <v>4</v>
      </c>
      <c r="D1112" t="s">
        <v>51</v>
      </c>
      <c r="E1112" t="s">
        <v>17</v>
      </c>
      <c r="F1112" t="s">
        <v>18</v>
      </c>
      <c r="G1112" t="s">
        <v>41</v>
      </c>
      <c r="H1112">
        <v>399</v>
      </c>
      <c r="I1112">
        <v>8</v>
      </c>
      <c r="J1112">
        <v>3192</v>
      </c>
    </row>
    <row r="1113" spans="1:10" x14ac:dyDescent="0.35">
      <c r="A1113" s="3" t="s">
        <v>1158</v>
      </c>
      <c r="B1113" s="4">
        <v>43454</v>
      </c>
      <c r="C1113">
        <v>10</v>
      </c>
      <c r="D1113" t="s">
        <v>58</v>
      </c>
      <c r="E1113" t="s">
        <v>22</v>
      </c>
      <c r="F1113" t="s">
        <v>23</v>
      </c>
      <c r="G1113" t="s">
        <v>31</v>
      </c>
      <c r="H1113">
        <v>69</v>
      </c>
      <c r="I1113">
        <v>6</v>
      </c>
      <c r="J1113">
        <v>414</v>
      </c>
    </row>
    <row r="1114" spans="1:10" x14ac:dyDescent="0.35">
      <c r="A1114" s="3" t="s">
        <v>1159</v>
      </c>
      <c r="B1114" s="4">
        <v>43454</v>
      </c>
      <c r="C1114">
        <v>19</v>
      </c>
      <c r="D1114" t="s">
        <v>56</v>
      </c>
      <c r="E1114" t="s">
        <v>27</v>
      </c>
      <c r="F1114" t="s">
        <v>28</v>
      </c>
      <c r="G1114" t="s">
        <v>31</v>
      </c>
      <c r="H1114">
        <v>69</v>
      </c>
      <c r="I1114">
        <v>7</v>
      </c>
      <c r="J1114">
        <v>483</v>
      </c>
    </row>
    <row r="1115" spans="1:10" x14ac:dyDescent="0.35">
      <c r="A1115" s="3" t="s">
        <v>1160</v>
      </c>
      <c r="B1115" s="4">
        <v>43454</v>
      </c>
      <c r="C1115">
        <v>13</v>
      </c>
      <c r="D1115" t="s">
        <v>33</v>
      </c>
      <c r="E1115" t="s">
        <v>12</v>
      </c>
      <c r="F1115" t="s">
        <v>13</v>
      </c>
      <c r="G1115" t="s">
        <v>31</v>
      </c>
      <c r="H1115">
        <v>69</v>
      </c>
      <c r="I1115">
        <v>8</v>
      </c>
      <c r="J1115">
        <v>552</v>
      </c>
    </row>
    <row r="1116" spans="1:10" x14ac:dyDescent="0.35">
      <c r="A1116" s="3" t="s">
        <v>1161</v>
      </c>
      <c r="B1116" s="4">
        <v>43454</v>
      </c>
      <c r="C1116">
        <v>20</v>
      </c>
      <c r="D1116" t="s">
        <v>40</v>
      </c>
      <c r="E1116" t="s">
        <v>36</v>
      </c>
      <c r="F1116" t="s">
        <v>28</v>
      </c>
      <c r="G1116" t="s">
        <v>14</v>
      </c>
      <c r="H1116">
        <v>199</v>
      </c>
      <c r="I1116">
        <v>1</v>
      </c>
      <c r="J1116">
        <v>199</v>
      </c>
    </row>
    <row r="1117" spans="1:10" x14ac:dyDescent="0.35">
      <c r="A1117" s="3" t="s">
        <v>1162</v>
      </c>
      <c r="B1117" s="4">
        <v>43454</v>
      </c>
      <c r="C1117">
        <v>14</v>
      </c>
      <c r="D1117" t="s">
        <v>38</v>
      </c>
      <c r="E1117" t="s">
        <v>12</v>
      </c>
      <c r="F1117" t="s">
        <v>13</v>
      </c>
      <c r="G1117" t="s">
        <v>24</v>
      </c>
      <c r="H1117">
        <v>159</v>
      </c>
      <c r="I1117">
        <v>9</v>
      </c>
      <c r="J1117">
        <v>1431</v>
      </c>
    </row>
    <row r="1118" spans="1:10" x14ac:dyDescent="0.35">
      <c r="A1118" s="3" t="s">
        <v>1163</v>
      </c>
      <c r="B1118" s="4">
        <v>43454</v>
      </c>
      <c r="C1118">
        <v>9</v>
      </c>
      <c r="D1118" t="s">
        <v>21</v>
      </c>
      <c r="E1118" t="s">
        <v>22</v>
      </c>
      <c r="F1118" t="s">
        <v>23</v>
      </c>
      <c r="G1118" t="s">
        <v>19</v>
      </c>
      <c r="H1118">
        <v>289</v>
      </c>
      <c r="I1118">
        <v>5</v>
      </c>
      <c r="J1118">
        <v>1445</v>
      </c>
    </row>
    <row r="1119" spans="1:10" x14ac:dyDescent="0.35">
      <c r="A1119" s="3" t="s">
        <v>1164</v>
      </c>
      <c r="B1119" s="4">
        <v>43454</v>
      </c>
      <c r="C1119">
        <v>18</v>
      </c>
      <c r="D1119" t="s">
        <v>26</v>
      </c>
      <c r="E1119" t="s">
        <v>27</v>
      </c>
      <c r="F1119" t="s">
        <v>28</v>
      </c>
      <c r="G1119" t="s">
        <v>41</v>
      </c>
      <c r="H1119">
        <v>399</v>
      </c>
      <c r="I1119">
        <v>7</v>
      </c>
      <c r="J1119">
        <v>2793</v>
      </c>
    </row>
    <row r="1120" spans="1:10" x14ac:dyDescent="0.35">
      <c r="A1120" s="3" t="s">
        <v>1165</v>
      </c>
      <c r="B1120" s="4">
        <v>43454</v>
      </c>
      <c r="C1120">
        <v>10</v>
      </c>
      <c r="D1120" t="s">
        <v>58</v>
      </c>
      <c r="E1120" t="s">
        <v>22</v>
      </c>
      <c r="F1120" t="s">
        <v>23</v>
      </c>
      <c r="G1120" t="s">
        <v>14</v>
      </c>
      <c r="H1120">
        <v>199</v>
      </c>
      <c r="I1120">
        <v>6</v>
      </c>
      <c r="J1120">
        <v>1194</v>
      </c>
    </row>
    <row r="1121" spans="1:10" x14ac:dyDescent="0.35">
      <c r="A1121" s="3" t="s">
        <v>1166</v>
      </c>
      <c r="B1121" s="4">
        <v>43455</v>
      </c>
      <c r="C1121">
        <v>1</v>
      </c>
      <c r="D1121" t="s">
        <v>16</v>
      </c>
      <c r="E1121" t="s">
        <v>68</v>
      </c>
      <c r="F1121" t="s">
        <v>18</v>
      </c>
      <c r="G1121" t="s">
        <v>24</v>
      </c>
      <c r="H1121">
        <v>159</v>
      </c>
      <c r="I1121">
        <v>8</v>
      </c>
      <c r="J1121">
        <v>1272</v>
      </c>
    </row>
    <row r="1122" spans="1:10" x14ac:dyDescent="0.35">
      <c r="A1122" s="3" t="s">
        <v>1167</v>
      </c>
      <c r="B1122" s="4">
        <v>43456</v>
      </c>
      <c r="C1122">
        <v>14</v>
      </c>
      <c r="D1122" t="s">
        <v>38</v>
      </c>
      <c r="E1122" t="s">
        <v>63</v>
      </c>
      <c r="F1122" t="s">
        <v>13</v>
      </c>
      <c r="G1122" t="s">
        <v>41</v>
      </c>
      <c r="H1122">
        <v>399</v>
      </c>
      <c r="I1122">
        <v>7</v>
      </c>
      <c r="J1122">
        <v>2793</v>
      </c>
    </row>
    <row r="1123" spans="1:10" x14ac:dyDescent="0.35">
      <c r="A1123" s="3" t="s">
        <v>1168</v>
      </c>
      <c r="B1123" s="4">
        <v>43457</v>
      </c>
      <c r="C1123">
        <v>6</v>
      </c>
      <c r="D1123" t="s">
        <v>48</v>
      </c>
      <c r="E1123" t="s">
        <v>46</v>
      </c>
      <c r="F1123" t="s">
        <v>23</v>
      </c>
      <c r="G1123" t="s">
        <v>24</v>
      </c>
      <c r="H1123">
        <v>159</v>
      </c>
      <c r="I1123">
        <v>2</v>
      </c>
      <c r="J1123">
        <v>318</v>
      </c>
    </row>
    <row r="1124" spans="1:10" x14ac:dyDescent="0.35">
      <c r="A1124" s="3" t="s">
        <v>1169</v>
      </c>
      <c r="B1124" s="4">
        <v>43457</v>
      </c>
      <c r="C1124">
        <v>9</v>
      </c>
      <c r="D1124" t="s">
        <v>21</v>
      </c>
      <c r="E1124" t="s">
        <v>22</v>
      </c>
      <c r="F1124" t="s">
        <v>23</v>
      </c>
      <c r="G1124" t="s">
        <v>24</v>
      </c>
      <c r="H1124">
        <v>159</v>
      </c>
      <c r="I1124">
        <v>9</v>
      </c>
      <c r="J1124">
        <v>1431</v>
      </c>
    </row>
    <row r="1125" spans="1:10" x14ac:dyDescent="0.35">
      <c r="A1125" s="3" t="s">
        <v>1170</v>
      </c>
      <c r="B1125" s="4">
        <v>43457</v>
      </c>
      <c r="C1125">
        <v>14</v>
      </c>
      <c r="D1125" t="s">
        <v>38</v>
      </c>
      <c r="E1125" t="s">
        <v>12</v>
      </c>
      <c r="F1125" t="s">
        <v>13</v>
      </c>
      <c r="G1125" t="s">
        <v>24</v>
      </c>
      <c r="H1125">
        <v>159</v>
      </c>
      <c r="I1125">
        <v>2</v>
      </c>
      <c r="J1125">
        <v>318</v>
      </c>
    </row>
    <row r="1126" spans="1:10" x14ac:dyDescent="0.35">
      <c r="A1126" s="3" t="s">
        <v>1171</v>
      </c>
      <c r="B1126" s="4">
        <v>43457</v>
      </c>
      <c r="C1126">
        <v>19</v>
      </c>
      <c r="D1126" t="s">
        <v>56</v>
      </c>
      <c r="E1126" t="s">
        <v>27</v>
      </c>
      <c r="F1126" t="s">
        <v>28</v>
      </c>
      <c r="G1126" t="s">
        <v>31</v>
      </c>
      <c r="H1126">
        <v>69</v>
      </c>
      <c r="I1126">
        <v>5</v>
      </c>
      <c r="J1126">
        <v>345</v>
      </c>
    </row>
    <row r="1127" spans="1:10" x14ac:dyDescent="0.35">
      <c r="A1127" s="3" t="s">
        <v>1172</v>
      </c>
      <c r="B1127" s="4">
        <v>43457</v>
      </c>
      <c r="C1127">
        <v>11</v>
      </c>
      <c r="D1127" t="s">
        <v>11</v>
      </c>
      <c r="E1127" t="s">
        <v>12</v>
      </c>
      <c r="F1127" t="s">
        <v>13</v>
      </c>
      <c r="G1127" t="s">
        <v>19</v>
      </c>
      <c r="H1127">
        <v>289</v>
      </c>
      <c r="I1127">
        <v>9</v>
      </c>
      <c r="J1127">
        <v>2601</v>
      </c>
    </row>
    <row r="1128" spans="1:10" x14ac:dyDescent="0.35">
      <c r="A1128" s="3" t="s">
        <v>1173</v>
      </c>
      <c r="B1128" s="4">
        <v>43457</v>
      </c>
      <c r="C1128">
        <v>17</v>
      </c>
      <c r="D1128" t="s">
        <v>35</v>
      </c>
      <c r="E1128" t="s">
        <v>36</v>
      </c>
      <c r="F1128" t="s">
        <v>28</v>
      </c>
      <c r="G1128" t="s">
        <v>14</v>
      </c>
      <c r="H1128">
        <v>199</v>
      </c>
      <c r="I1128">
        <v>9</v>
      </c>
      <c r="J1128">
        <v>1791</v>
      </c>
    </row>
    <row r="1129" spans="1:10" x14ac:dyDescent="0.35">
      <c r="A1129" s="3" t="s">
        <v>1174</v>
      </c>
      <c r="B1129" s="4">
        <v>43458</v>
      </c>
      <c r="C1129">
        <v>9</v>
      </c>
      <c r="D1129" t="s">
        <v>21</v>
      </c>
      <c r="E1129" t="s">
        <v>46</v>
      </c>
      <c r="F1129" t="s">
        <v>23</v>
      </c>
      <c r="G1129" t="s">
        <v>41</v>
      </c>
      <c r="H1129">
        <v>399</v>
      </c>
      <c r="I1129">
        <v>2</v>
      </c>
      <c r="J1129">
        <v>798</v>
      </c>
    </row>
    <row r="1130" spans="1:10" x14ac:dyDescent="0.35">
      <c r="A1130" s="3" t="s">
        <v>1175</v>
      </c>
      <c r="B1130" s="4">
        <v>43458</v>
      </c>
      <c r="C1130">
        <v>13</v>
      </c>
      <c r="D1130" t="s">
        <v>33</v>
      </c>
      <c r="E1130" t="s">
        <v>12</v>
      </c>
      <c r="F1130" t="s">
        <v>13</v>
      </c>
      <c r="G1130" t="s">
        <v>24</v>
      </c>
      <c r="H1130">
        <v>159</v>
      </c>
      <c r="I1130">
        <v>2</v>
      </c>
      <c r="J1130">
        <v>318</v>
      </c>
    </row>
    <row r="1131" spans="1:10" x14ac:dyDescent="0.35">
      <c r="A1131" s="3" t="s">
        <v>1176</v>
      </c>
      <c r="B1131" s="4">
        <v>43459</v>
      </c>
      <c r="C1131">
        <v>18</v>
      </c>
      <c r="D1131" t="s">
        <v>26</v>
      </c>
      <c r="E1131" t="s">
        <v>36</v>
      </c>
      <c r="F1131" t="s">
        <v>28</v>
      </c>
      <c r="G1131" t="s">
        <v>14</v>
      </c>
      <c r="H1131">
        <v>199</v>
      </c>
      <c r="I1131">
        <v>8</v>
      </c>
      <c r="J1131">
        <v>1592</v>
      </c>
    </row>
    <row r="1132" spans="1:10" x14ac:dyDescent="0.35">
      <c r="A1132" s="3" t="s">
        <v>1177</v>
      </c>
      <c r="B1132" s="4">
        <v>43459</v>
      </c>
      <c r="C1132">
        <v>4</v>
      </c>
      <c r="D1132" t="s">
        <v>51</v>
      </c>
      <c r="E1132" t="s">
        <v>68</v>
      </c>
      <c r="F1132" t="s">
        <v>18</v>
      </c>
      <c r="G1132" t="s">
        <v>31</v>
      </c>
      <c r="H1132">
        <v>69</v>
      </c>
      <c r="I1132">
        <v>7</v>
      </c>
      <c r="J1132">
        <v>483</v>
      </c>
    </row>
    <row r="1133" spans="1:10" x14ac:dyDescent="0.35">
      <c r="A1133" s="3" t="s">
        <v>1178</v>
      </c>
      <c r="B1133" s="4">
        <v>43459</v>
      </c>
      <c r="C1133">
        <v>17</v>
      </c>
      <c r="D1133" t="s">
        <v>35</v>
      </c>
      <c r="E1133" t="s">
        <v>27</v>
      </c>
      <c r="F1133" t="s">
        <v>28</v>
      </c>
      <c r="G1133" t="s">
        <v>14</v>
      </c>
      <c r="H1133">
        <v>199</v>
      </c>
      <c r="I1133">
        <v>3</v>
      </c>
      <c r="J1133">
        <v>597</v>
      </c>
    </row>
    <row r="1134" spans="1:10" x14ac:dyDescent="0.35">
      <c r="A1134" s="3" t="s">
        <v>1179</v>
      </c>
      <c r="B1134" s="4">
        <v>43459</v>
      </c>
      <c r="C1134">
        <v>8</v>
      </c>
      <c r="D1134" t="s">
        <v>45</v>
      </c>
      <c r="E1134" t="s">
        <v>46</v>
      </c>
      <c r="F1134" t="s">
        <v>23</v>
      </c>
      <c r="G1134" t="s">
        <v>31</v>
      </c>
      <c r="H1134">
        <v>69</v>
      </c>
      <c r="I1134">
        <v>2</v>
      </c>
      <c r="J1134">
        <v>138</v>
      </c>
    </row>
    <row r="1135" spans="1:10" x14ac:dyDescent="0.35">
      <c r="A1135" s="3" t="s">
        <v>1180</v>
      </c>
      <c r="B1135" s="4">
        <v>43459</v>
      </c>
      <c r="C1135">
        <v>12</v>
      </c>
      <c r="D1135" t="s">
        <v>66</v>
      </c>
      <c r="E1135" t="s">
        <v>63</v>
      </c>
      <c r="F1135" t="s">
        <v>13</v>
      </c>
      <c r="G1135" t="s">
        <v>24</v>
      </c>
      <c r="H1135">
        <v>159</v>
      </c>
      <c r="I1135">
        <v>5</v>
      </c>
      <c r="J1135">
        <v>795</v>
      </c>
    </row>
    <row r="1136" spans="1:10" x14ac:dyDescent="0.35">
      <c r="A1136" s="3" t="s">
        <v>1181</v>
      </c>
      <c r="B1136" s="4">
        <v>43459</v>
      </c>
      <c r="C1136">
        <v>5</v>
      </c>
      <c r="D1136" t="s">
        <v>60</v>
      </c>
      <c r="E1136" t="s">
        <v>17</v>
      </c>
      <c r="F1136" t="s">
        <v>18</v>
      </c>
      <c r="G1136" t="s">
        <v>19</v>
      </c>
      <c r="H1136">
        <v>289</v>
      </c>
      <c r="I1136">
        <v>4</v>
      </c>
      <c r="J1136">
        <v>1156</v>
      </c>
    </row>
    <row r="1137" spans="1:10" x14ac:dyDescent="0.35">
      <c r="A1137" s="3" t="s">
        <v>1182</v>
      </c>
      <c r="B1137" s="4">
        <v>43459</v>
      </c>
      <c r="C1137">
        <v>16</v>
      </c>
      <c r="D1137" t="s">
        <v>30</v>
      </c>
      <c r="E1137" t="s">
        <v>27</v>
      </c>
      <c r="F1137" t="s">
        <v>28</v>
      </c>
      <c r="G1137" t="s">
        <v>24</v>
      </c>
      <c r="H1137">
        <v>159</v>
      </c>
      <c r="I1137">
        <v>4</v>
      </c>
      <c r="J1137">
        <v>636</v>
      </c>
    </row>
    <row r="1138" spans="1:10" x14ac:dyDescent="0.35">
      <c r="A1138" s="3" t="s">
        <v>1183</v>
      </c>
      <c r="B1138" s="4">
        <v>43459</v>
      </c>
      <c r="C1138">
        <v>3</v>
      </c>
      <c r="D1138" t="s">
        <v>43</v>
      </c>
      <c r="E1138" t="s">
        <v>68</v>
      </c>
      <c r="F1138" t="s">
        <v>18</v>
      </c>
      <c r="G1138" t="s">
        <v>19</v>
      </c>
      <c r="H1138">
        <v>289</v>
      </c>
      <c r="I1138">
        <v>6</v>
      </c>
      <c r="J1138">
        <v>1734</v>
      </c>
    </row>
    <row r="1139" spans="1:10" x14ac:dyDescent="0.35">
      <c r="A1139" s="3" t="s">
        <v>1184</v>
      </c>
      <c r="B1139" s="4">
        <v>43459</v>
      </c>
      <c r="C1139">
        <v>14</v>
      </c>
      <c r="D1139" t="s">
        <v>38</v>
      </c>
      <c r="E1139" t="s">
        <v>12</v>
      </c>
      <c r="F1139" t="s">
        <v>13</v>
      </c>
      <c r="G1139" t="s">
        <v>24</v>
      </c>
      <c r="H1139">
        <v>159</v>
      </c>
      <c r="I1139">
        <v>0</v>
      </c>
      <c r="J1139">
        <v>0</v>
      </c>
    </row>
    <row r="1140" spans="1:10" x14ac:dyDescent="0.35">
      <c r="A1140" s="3" t="s">
        <v>1185</v>
      </c>
      <c r="B1140" s="4">
        <v>43460</v>
      </c>
      <c r="C1140">
        <v>11</v>
      </c>
      <c r="D1140" t="s">
        <v>11</v>
      </c>
      <c r="E1140" t="s">
        <v>12</v>
      </c>
      <c r="F1140" t="s">
        <v>13</v>
      </c>
      <c r="G1140" t="s">
        <v>19</v>
      </c>
      <c r="H1140">
        <v>289</v>
      </c>
      <c r="I1140">
        <v>2</v>
      </c>
      <c r="J1140">
        <v>578</v>
      </c>
    </row>
    <row r="1141" spans="1:10" x14ac:dyDescent="0.35">
      <c r="A1141" s="3" t="s">
        <v>1186</v>
      </c>
      <c r="B1141" s="4">
        <v>43461</v>
      </c>
      <c r="C1141">
        <v>6</v>
      </c>
      <c r="D1141" t="s">
        <v>48</v>
      </c>
      <c r="E1141" t="s">
        <v>46</v>
      </c>
      <c r="F1141" t="s">
        <v>23</v>
      </c>
      <c r="G1141" t="s">
        <v>24</v>
      </c>
      <c r="H1141">
        <v>159</v>
      </c>
      <c r="I1141">
        <v>1</v>
      </c>
      <c r="J1141">
        <v>159</v>
      </c>
    </row>
    <row r="1142" spans="1:10" x14ac:dyDescent="0.35">
      <c r="A1142" s="3" t="s">
        <v>1187</v>
      </c>
      <c r="B1142" s="4">
        <v>43461</v>
      </c>
      <c r="C1142">
        <v>15</v>
      </c>
      <c r="D1142" t="s">
        <v>118</v>
      </c>
      <c r="E1142" t="s">
        <v>12</v>
      </c>
      <c r="F1142" t="s">
        <v>13</v>
      </c>
      <c r="G1142" t="s">
        <v>24</v>
      </c>
      <c r="H1142">
        <v>159</v>
      </c>
      <c r="I1142">
        <v>0</v>
      </c>
      <c r="J1142">
        <v>0</v>
      </c>
    </row>
    <row r="1143" spans="1:10" x14ac:dyDescent="0.35">
      <c r="A1143" s="3" t="s">
        <v>1188</v>
      </c>
      <c r="B1143" s="4">
        <v>43461</v>
      </c>
      <c r="C1143">
        <v>16</v>
      </c>
      <c r="D1143" t="s">
        <v>30</v>
      </c>
      <c r="E1143" t="s">
        <v>27</v>
      </c>
      <c r="F1143" t="s">
        <v>28</v>
      </c>
      <c r="G1143" t="s">
        <v>41</v>
      </c>
      <c r="H1143">
        <v>399</v>
      </c>
      <c r="I1143">
        <v>8</v>
      </c>
      <c r="J1143">
        <v>3192</v>
      </c>
    </row>
    <row r="1144" spans="1:10" x14ac:dyDescent="0.35">
      <c r="A1144" s="3" t="s">
        <v>1189</v>
      </c>
      <c r="B1144" s="4">
        <v>43462</v>
      </c>
      <c r="C1144">
        <v>17</v>
      </c>
      <c r="D1144" t="s">
        <v>35</v>
      </c>
      <c r="E1144" t="s">
        <v>27</v>
      </c>
      <c r="F1144" t="s">
        <v>28</v>
      </c>
      <c r="G1144" t="s">
        <v>31</v>
      </c>
      <c r="H1144">
        <v>69</v>
      </c>
      <c r="I1144">
        <v>6</v>
      </c>
      <c r="J1144">
        <v>414</v>
      </c>
    </row>
    <row r="1145" spans="1:10" x14ac:dyDescent="0.35">
      <c r="A1145" s="3" t="s">
        <v>1190</v>
      </c>
      <c r="B1145" s="4">
        <v>43463</v>
      </c>
      <c r="C1145">
        <v>11</v>
      </c>
      <c r="D1145" t="s">
        <v>11</v>
      </c>
      <c r="E1145" t="s">
        <v>12</v>
      </c>
      <c r="F1145" t="s">
        <v>13</v>
      </c>
      <c r="G1145" t="s">
        <v>41</v>
      </c>
      <c r="H1145">
        <v>399</v>
      </c>
      <c r="I1145">
        <v>2</v>
      </c>
      <c r="J1145">
        <v>798</v>
      </c>
    </row>
    <row r="1146" spans="1:10" x14ac:dyDescent="0.35">
      <c r="A1146" s="3" t="s">
        <v>1191</v>
      </c>
      <c r="B1146" s="4">
        <v>43464</v>
      </c>
      <c r="C1146">
        <v>12</v>
      </c>
      <c r="D1146" t="s">
        <v>66</v>
      </c>
      <c r="E1146" t="s">
        <v>12</v>
      </c>
      <c r="F1146" t="s">
        <v>13</v>
      </c>
      <c r="G1146" t="s">
        <v>41</v>
      </c>
      <c r="H1146">
        <v>399</v>
      </c>
      <c r="I1146">
        <v>8</v>
      </c>
      <c r="J1146">
        <v>3192</v>
      </c>
    </row>
    <row r="1147" spans="1:10" x14ac:dyDescent="0.35">
      <c r="A1147" s="3" t="s">
        <v>1192</v>
      </c>
      <c r="B1147" s="4">
        <v>43465</v>
      </c>
      <c r="C1147">
        <v>4</v>
      </c>
      <c r="D1147" t="s">
        <v>51</v>
      </c>
      <c r="E1147" t="s">
        <v>17</v>
      </c>
      <c r="F1147" t="s">
        <v>18</v>
      </c>
      <c r="G1147" t="s">
        <v>14</v>
      </c>
      <c r="H1147">
        <v>199</v>
      </c>
      <c r="I1147">
        <v>8</v>
      </c>
      <c r="J1147">
        <v>1592</v>
      </c>
    </row>
    <row r="1148" spans="1:10" x14ac:dyDescent="0.35">
      <c r="A1148" s="3" t="s">
        <v>1193</v>
      </c>
      <c r="B1148" s="4">
        <v>43466</v>
      </c>
      <c r="C1148">
        <v>20</v>
      </c>
      <c r="D1148" t="s">
        <v>40</v>
      </c>
      <c r="E1148" t="s">
        <v>36</v>
      </c>
      <c r="F1148" t="s">
        <v>28</v>
      </c>
      <c r="G1148" t="s">
        <v>41</v>
      </c>
      <c r="H1148">
        <v>399</v>
      </c>
      <c r="I1148">
        <v>4</v>
      </c>
      <c r="J1148">
        <v>1596</v>
      </c>
    </row>
    <row r="1149" spans="1:10" x14ac:dyDescent="0.35">
      <c r="A1149" s="3" t="s">
        <v>1194</v>
      </c>
      <c r="B1149" s="4">
        <v>43467</v>
      </c>
      <c r="C1149">
        <v>19</v>
      </c>
      <c r="D1149" t="s">
        <v>56</v>
      </c>
      <c r="E1149" t="s">
        <v>36</v>
      </c>
      <c r="F1149" t="s">
        <v>28</v>
      </c>
      <c r="G1149" t="s">
        <v>14</v>
      </c>
      <c r="H1149">
        <v>199</v>
      </c>
      <c r="I1149">
        <v>0</v>
      </c>
      <c r="J1149">
        <v>0</v>
      </c>
    </row>
    <row r="1150" spans="1:10" x14ac:dyDescent="0.35">
      <c r="A1150" s="3" t="s">
        <v>1195</v>
      </c>
      <c r="B1150" s="4">
        <v>43467</v>
      </c>
      <c r="C1150">
        <v>10</v>
      </c>
      <c r="D1150" t="s">
        <v>58</v>
      </c>
      <c r="E1150" t="s">
        <v>22</v>
      </c>
      <c r="F1150" t="s">
        <v>23</v>
      </c>
      <c r="G1150" t="s">
        <v>24</v>
      </c>
      <c r="H1150">
        <v>159</v>
      </c>
      <c r="I1150">
        <v>7</v>
      </c>
      <c r="J1150">
        <v>1113</v>
      </c>
    </row>
    <row r="1151" spans="1:10" x14ac:dyDescent="0.35">
      <c r="A1151" s="3" t="s">
        <v>1196</v>
      </c>
      <c r="B1151" s="4">
        <v>43467</v>
      </c>
      <c r="C1151">
        <v>5</v>
      </c>
      <c r="D1151" t="s">
        <v>60</v>
      </c>
      <c r="E1151" t="s">
        <v>68</v>
      </c>
      <c r="F1151" t="s">
        <v>18</v>
      </c>
      <c r="G1151" t="s">
        <v>24</v>
      </c>
      <c r="H1151">
        <v>159</v>
      </c>
      <c r="I1151">
        <v>0</v>
      </c>
      <c r="J1151">
        <v>0</v>
      </c>
    </row>
    <row r="1152" spans="1:10" x14ac:dyDescent="0.35">
      <c r="A1152" s="3" t="s">
        <v>1197</v>
      </c>
      <c r="B1152" s="4">
        <v>43468</v>
      </c>
      <c r="C1152">
        <v>1</v>
      </c>
      <c r="D1152" t="s">
        <v>16</v>
      </c>
      <c r="E1152" t="s">
        <v>68</v>
      </c>
      <c r="F1152" t="s">
        <v>18</v>
      </c>
      <c r="G1152" t="s">
        <v>19</v>
      </c>
      <c r="H1152">
        <v>289</v>
      </c>
      <c r="I1152">
        <v>4</v>
      </c>
      <c r="J1152">
        <v>1156</v>
      </c>
    </row>
    <row r="1153" spans="1:10" x14ac:dyDescent="0.35">
      <c r="A1153" s="3" t="s">
        <v>1198</v>
      </c>
      <c r="B1153" s="4">
        <v>43468</v>
      </c>
      <c r="C1153">
        <v>1</v>
      </c>
      <c r="D1153" t="s">
        <v>16</v>
      </c>
      <c r="E1153" t="s">
        <v>68</v>
      </c>
      <c r="F1153" t="s">
        <v>18</v>
      </c>
      <c r="G1153" t="s">
        <v>31</v>
      </c>
      <c r="H1153">
        <v>69</v>
      </c>
      <c r="I1153">
        <v>7</v>
      </c>
      <c r="J1153">
        <v>483</v>
      </c>
    </row>
    <row r="1154" spans="1:10" x14ac:dyDescent="0.35">
      <c r="A1154" s="3" t="s">
        <v>1199</v>
      </c>
      <c r="B1154" s="4">
        <v>43469</v>
      </c>
      <c r="C1154">
        <v>20</v>
      </c>
      <c r="D1154" t="s">
        <v>40</v>
      </c>
      <c r="E1154" t="s">
        <v>36</v>
      </c>
      <c r="F1154" t="s">
        <v>28</v>
      </c>
      <c r="G1154" t="s">
        <v>24</v>
      </c>
      <c r="H1154">
        <v>159</v>
      </c>
      <c r="I1154">
        <v>2</v>
      </c>
      <c r="J1154">
        <v>318</v>
      </c>
    </row>
    <row r="1155" spans="1:10" x14ac:dyDescent="0.35">
      <c r="A1155" s="3" t="s">
        <v>1200</v>
      </c>
      <c r="B1155" s="4">
        <v>43470</v>
      </c>
      <c r="C1155">
        <v>4</v>
      </c>
      <c r="D1155" t="s">
        <v>51</v>
      </c>
      <c r="E1155" t="s">
        <v>68</v>
      </c>
      <c r="F1155" t="s">
        <v>18</v>
      </c>
      <c r="G1155" t="s">
        <v>31</v>
      </c>
      <c r="H1155">
        <v>69</v>
      </c>
      <c r="I1155">
        <v>1</v>
      </c>
      <c r="J1155">
        <v>69</v>
      </c>
    </row>
    <row r="1156" spans="1:10" x14ac:dyDescent="0.35">
      <c r="A1156" s="3" t="s">
        <v>1201</v>
      </c>
      <c r="B1156" s="4">
        <v>43470</v>
      </c>
      <c r="C1156">
        <v>12</v>
      </c>
      <c r="D1156" t="s">
        <v>66</v>
      </c>
      <c r="E1156" t="s">
        <v>12</v>
      </c>
      <c r="F1156" t="s">
        <v>13</v>
      </c>
      <c r="G1156" t="s">
        <v>31</v>
      </c>
      <c r="H1156">
        <v>69</v>
      </c>
      <c r="I1156">
        <v>5</v>
      </c>
      <c r="J1156">
        <v>345</v>
      </c>
    </row>
    <row r="1157" spans="1:10" x14ac:dyDescent="0.35">
      <c r="A1157" s="3" t="s">
        <v>1202</v>
      </c>
      <c r="B1157" s="4">
        <v>43470</v>
      </c>
      <c r="C1157">
        <v>15</v>
      </c>
      <c r="D1157" t="s">
        <v>118</v>
      </c>
      <c r="E1157" t="s">
        <v>63</v>
      </c>
      <c r="F1157" t="s">
        <v>13</v>
      </c>
      <c r="G1157" t="s">
        <v>19</v>
      </c>
      <c r="H1157">
        <v>289</v>
      </c>
      <c r="I1157">
        <v>0</v>
      </c>
      <c r="J1157">
        <v>0</v>
      </c>
    </row>
    <row r="1158" spans="1:10" x14ac:dyDescent="0.35">
      <c r="A1158" s="3" t="s">
        <v>1203</v>
      </c>
      <c r="B1158" s="4">
        <v>43470</v>
      </c>
      <c r="C1158">
        <v>17</v>
      </c>
      <c r="D1158" t="s">
        <v>35</v>
      </c>
      <c r="E1158" t="s">
        <v>27</v>
      </c>
      <c r="F1158" t="s">
        <v>28</v>
      </c>
      <c r="G1158" t="s">
        <v>31</v>
      </c>
      <c r="H1158">
        <v>69</v>
      </c>
      <c r="I1158">
        <v>6</v>
      </c>
      <c r="J1158">
        <v>414</v>
      </c>
    </row>
    <row r="1159" spans="1:10" x14ac:dyDescent="0.35">
      <c r="A1159" s="3" t="s">
        <v>1204</v>
      </c>
      <c r="B1159" s="4">
        <v>43470</v>
      </c>
      <c r="C1159">
        <v>17</v>
      </c>
      <c r="D1159" t="s">
        <v>35</v>
      </c>
      <c r="E1159" t="s">
        <v>27</v>
      </c>
      <c r="F1159" t="s">
        <v>28</v>
      </c>
      <c r="G1159" t="s">
        <v>14</v>
      </c>
      <c r="H1159">
        <v>199</v>
      </c>
      <c r="I1159">
        <v>6</v>
      </c>
      <c r="J1159">
        <v>1194</v>
      </c>
    </row>
    <row r="1160" spans="1:10" x14ac:dyDescent="0.35">
      <c r="A1160" s="3" t="s">
        <v>1205</v>
      </c>
      <c r="B1160" s="4">
        <v>43471</v>
      </c>
      <c r="C1160">
        <v>7</v>
      </c>
      <c r="D1160" t="s">
        <v>88</v>
      </c>
      <c r="E1160" t="s">
        <v>46</v>
      </c>
      <c r="F1160" t="s">
        <v>23</v>
      </c>
      <c r="G1160" t="s">
        <v>24</v>
      </c>
      <c r="H1160">
        <v>159</v>
      </c>
      <c r="I1160">
        <v>1</v>
      </c>
      <c r="J1160">
        <v>159</v>
      </c>
    </row>
    <row r="1161" spans="1:10" x14ac:dyDescent="0.35">
      <c r="A1161" s="3" t="s">
        <v>1206</v>
      </c>
      <c r="B1161" s="4">
        <v>43471</v>
      </c>
      <c r="C1161">
        <v>20</v>
      </c>
      <c r="D1161" t="s">
        <v>40</v>
      </c>
      <c r="E1161" t="s">
        <v>36</v>
      </c>
      <c r="F1161" t="s">
        <v>28</v>
      </c>
      <c r="G1161" t="s">
        <v>14</v>
      </c>
      <c r="H1161">
        <v>199</v>
      </c>
      <c r="I1161">
        <v>0</v>
      </c>
      <c r="J1161">
        <v>0</v>
      </c>
    </row>
    <row r="1162" spans="1:10" x14ac:dyDescent="0.35">
      <c r="A1162" s="3" t="s">
        <v>1207</v>
      </c>
      <c r="B1162" s="4">
        <v>43471</v>
      </c>
      <c r="C1162">
        <v>10</v>
      </c>
      <c r="D1162" t="s">
        <v>58</v>
      </c>
      <c r="E1162" t="s">
        <v>46</v>
      </c>
      <c r="F1162" t="s">
        <v>23</v>
      </c>
      <c r="G1162" t="s">
        <v>19</v>
      </c>
      <c r="H1162">
        <v>289</v>
      </c>
      <c r="I1162">
        <v>3</v>
      </c>
      <c r="J1162">
        <v>867</v>
      </c>
    </row>
    <row r="1163" spans="1:10" x14ac:dyDescent="0.35">
      <c r="A1163" s="3" t="s">
        <v>1208</v>
      </c>
      <c r="B1163" s="4">
        <v>43471</v>
      </c>
      <c r="C1163">
        <v>15</v>
      </c>
      <c r="D1163" t="s">
        <v>118</v>
      </c>
      <c r="E1163" t="s">
        <v>63</v>
      </c>
      <c r="F1163" t="s">
        <v>13</v>
      </c>
      <c r="G1163" t="s">
        <v>14</v>
      </c>
      <c r="H1163">
        <v>199</v>
      </c>
      <c r="I1163">
        <v>7</v>
      </c>
      <c r="J1163">
        <v>1393</v>
      </c>
    </row>
    <row r="1164" spans="1:10" x14ac:dyDescent="0.35">
      <c r="A1164" s="3" t="s">
        <v>1209</v>
      </c>
      <c r="B1164" s="4">
        <v>43472</v>
      </c>
      <c r="C1164">
        <v>17</v>
      </c>
      <c r="D1164" t="s">
        <v>35</v>
      </c>
      <c r="E1164" t="s">
        <v>36</v>
      </c>
      <c r="F1164" t="s">
        <v>28</v>
      </c>
      <c r="G1164" t="s">
        <v>14</v>
      </c>
      <c r="H1164">
        <v>199</v>
      </c>
      <c r="I1164">
        <v>0</v>
      </c>
      <c r="J1164">
        <v>0</v>
      </c>
    </row>
    <row r="1165" spans="1:10" x14ac:dyDescent="0.35">
      <c r="A1165" s="3" t="s">
        <v>1210</v>
      </c>
      <c r="B1165" s="4">
        <v>43472</v>
      </c>
      <c r="C1165">
        <v>7</v>
      </c>
      <c r="D1165" t="s">
        <v>88</v>
      </c>
      <c r="E1165" t="s">
        <v>22</v>
      </c>
      <c r="F1165" t="s">
        <v>23</v>
      </c>
      <c r="G1165" t="s">
        <v>31</v>
      </c>
      <c r="H1165">
        <v>69</v>
      </c>
      <c r="I1165">
        <v>6</v>
      </c>
      <c r="J1165">
        <v>414</v>
      </c>
    </row>
    <row r="1166" spans="1:10" x14ac:dyDescent="0.35">
      <c r="A1166" s="3" t="s">
        <v>1211</v>
      </c>
      <c r="B1166" s="4">
        <v>43472</v>
      </c>
      <c r="C1166">
        <v>6</v>
      </c>
      <c r="D1166" t="s">
        <v>48</v>
      </c>
      <c r="E1166" t="s">
        <v>22</v>
      </c>
      <c r="F1166" t="s">
        <v>23</v>
      </c>
      <c r="G1166" t="s">
        <v>14</v>
      </c>
      <c r="H1166">
        <v>199</v>
      </c>
      <c r="I1166">
        <v>1</v>
      </c>
      <c r="J1166">
        <v>199</v>
      </c>
    </row>
    <row r="1167" spans="1:10" x14ac:dyDescent="0.35">
      <c r="A1167" s="3" t="s">
        <v>1212</v>
      </c>
      <c r="B1167" s="4">
        <v>43472</v>
      </c>
      <c r="C1167">
        <v>13</v>
      </c>
      <c r="D1167" t="s">
        <v>33</v>
      </c>
      <c r="E1167" t="s">
        <v>63</v>
      </c>
      <c r="F1167" t="s">
        <v>13</v>
      </c>
      <c r="G1167" t="s">
        <v>19</v>
      </c>
      <c r="H1167">
        <v>289</v>
      </c>
      <c r="I1167">
        <v>9</v>
      </c>
      <c r="J1167">
        <v>2601</v>
      </c>
    </row>
    <row r="1168" spans="1:10" x14ac:dyDescent="0.35">
      <c r="A1168" s="3" t="s">
        <v>1213</v>
      </c>
      <c r="B1168" s="4">
        <v>43473</v>
      </c>
      <c r="C1168">
        <v>13</v>
      </c>
      <c r="D1168" t="s">
        <v>33</v>
      </c>
      <c r="E1168" t="s">
        <v>63</v>
      </c>
      <c r="F1168" t="s">
        <v>13</v>
      </c>
      <c r="G1168" t="s">
        <v>31</v>
      </c>
      <c r="H1168">
        <v>69</v>
      </c>
      <c r="I1168">
        <v>9</v>
      </c>
      <c r="J1168">
        <v>621</v>
      </c>
    </row>
    <row r="1169" spans="1:10" x14ac:dyDescent="0.35">
      <c r="A1169" s="3" t="s">
        <v>1214</v>
      </c>
      <c r="B1169" s="4">
        <v>43473</v>
      </c>
      <c r="C1169">
        <v>3</v>
      </c>
      <c r="D1169" t="s">
        <v>43</v>
      </c>
      <c r="E1169" t="s">
        <v>68</v>
      </c>
      <c r="F1169" t="s">
        <v>18</v>
      </c>
      <c r="G1169" t="s">
        <v>24</v>
      </c>
      <c r="H1169">
        <v>159</v>
      </c>
      <c r="I1169">
        <v>6</v>
      </c>
      <c r="J1169">
        <v>954</v>
      </c>
    </row>
    <row r="1170" spans="1:10" x14ac:dyDescent="0.35">
      <c r="A1170" s="3" t="s">
        <v>1215</v>
      </c>
      <c r="B1170" s="4">
        <v>43473</v>
      </c>
      <c r="C1170">
        <v>13</v>
      </c>
      <c r="D1170" t="s">
        <v>33</v>
      </c>
      <c r="E1170" t="s">
        <v>63</v>
      </c>
      <c r="F1170" t="s">
        <v>13</v>
      </c>
      <c r="G1170" t="s">
        <v>31</v>
      </c>
      <c r="H1170">
        <v>69</v>
      </c>
      <c r="I1170">
        <v>6</v>
      </c>
      <c r="J1170">
        <v>414</v>
      </c>
    </row>
    <row r="1171" spans="1:10" x14ac:dyDescent="0.35">
      <c r="A1171" s="3" t="s">
        <v>1216</v>
      </c>
      <c r="B1171" s="4">
        <v>43474</v>
      </c>
      <c r="C1171">
        <v>3</v>
      </c>
      <c r="D1171" t="s">
        <v>43</v>
      </c>
      <c r="E1171" t="s">
        <v>68</v>
      </c>
      <c r="F1171" t="s">
        <v>18</v>
      </c>
      <c r="G1171" t="s">
        <v>24</v>
      </c>
      <c r="H1171">
        <v>159</v>
      </c>
      <c r="I1171">
        <v>0</v>
      </c>
      <c r="J1171">
        <v>0</v>
      </c>
    </row>
    <row r="1172" spans="1:10" x14ac:dyDescent="0.35">
      <c r="A1172" s="3" t="s">
        <v>1217</v>
      </c>
      <c r="B1172" s="4">
        <v>43475</v>
      </c>
      <c r="C1172">
        <v>14</v>
      </c>
      <c r="D1172" t="s">
        <v>38</v>
      </c>
      <c r="E1172" t="s">
        <v>12</v>
      </c>
      <c r="F1172" t="s">
        <v>13</v>
      </c>
      <c r="G1172" t="s">
        <v>14</v>
      </c>
      <c r="H1172">
        <v>199</v>
      </c>
      <c r="I1172">
        <v>7</v>
      </c>
      <c r="J1172">
        <v>1393</v>
      </c>
    </row>
    <row r="1173" spans="1:10" x14ac:dyDescent="0.35">
      <c r="A1173" s="3" t="s">
        <v>1218</v>
      </c>
      <c r="B1173" s="4">
        <v>43475</v>
      </c>
      <c r="C1173">
        <v>11</v>
      </c>
      <c r="D1173" t="s">
        <v>11</v>
      </c>
      <c r="E1173" t="s">
        <v>63</v>
      </c>
      <c r="F1173" t="s">
        <v>13</v>
      </c>
      <c r="G1173" t="s">
        <v>24</v>
      </c>
      <c r="H1173">
        <v>159</v>
      </c>
      <c r="I1173">
        <v>4</v>
      </c>
      <c r="J1173">
        <v>636</v>
      </c>
    </row>
    <row r="1174" spans="1:10" x14ac:dyDescent="0.35">
      <c r="A1174" s="3" t="s">
        <v>1219</v>
      </c>
      <c r="B1174" s="4">
        <v>43475</v>
      </c>
      <c r="C1174">
        <v>6</v>
      </c>
      <c r="D1174" t="s">
        <v>48</v>
      </c>
      <c r="E1174" t="s">
        <v>46</v>
      </c>
      <c r="F1174" t="s">
        <v>23</v>
      </c>
      <c r="G1174" t="s">
        <v>14</v>
      </c>
      <c r="H1174">
        <v>199</v>
      </c>
      <c r="I1174">
        <v>2</v>
      </c>
      <c r="J1174">
        <v>398</v>
      </c>
    </row>
    <row r="1175" spans="1:10" x14ac:dyDescent="0.35">
      <c r="A1175" s="3" t="s">
        <v>1220</v>
      </c>
      <c r="B1175" s="4">
        <v>43476</v>
      </c>
      <c r="C1175">
        <v>11</v>
      </c>
      <c r="D1175" t="s">
        <v>11</v>
      </c>
      <c r="E1175" t="s">
        <v>12</v>
      </c>
      <c r="F1175" t="s">
        <v>13</v>
      </c>
      <c r="G1175" t="s">
        <v>14</v>
      </c>
      <c r="H1175">
        <v>199</v>
      </c>
      <c r="I1175">
        <v>6</v>
      </c>
      <c r="J1175">
        <v>1194</v>
      </c>
    </row>
    <row r="1176" spans="1:10" x14ac:dyDescent="0.35">
      <c r="A1176" s="3" t="s">
        <v>1221</v>
      </c>
      <c r="B1176" s="4">
        <v>43477</v>
      </c>
      <c r="C1176">
        <v>16</v>
      </c>
      <c r="D1176" t="s">
        <v>30</v>
      </c>
      <c r="E1176" t="s">
        <v>36</v>
      </c>
      <c r="F1176" t="s">
        <v>28</v>
      </c>
      <c r="G1176" t="s">
        <v>31</v>
      </c>
      <c r="H1176">
        <v>69</v>
      </c>
      <c r="I1176">
        <v>1</v>
      </c>
      <c r="J1176">
        <v>69</v>
      </c>
    </row>
    <row r="1177" spans="1:10" x14ac:dyDescent="0.35">
      <c r="A1177" s="3" t="s">
        <v>1222</v>
      </c>
      <c r="B1177" s="4">
        <v>43477</v>
      </c>
      <c r="C1177">
        <v>8</v>
      </c>
      <c r="D1177" t="s">
        <v>45</v>
      </c>
      <c r="E1177" t="s">
        <v>22</v>
      </c>
      <c r="F1177" t="s">
        <v>23</v>
      </c>
      <c r="G1177" t="s">
        <v>31</v>
      </c>
      <c r="H1177">
        <v>69</v>
      </c>
      <c r="I1177">
        <v>1</v>
      </c>
      <c r="J1177">
        <v>69</v>
      </c>
    </row>
    <row r="1178" spans="1:10" x14ac:dyDescent="0.35">
      <c r="A1178" s="3" t="s">
        <v>1223</v>
      </c>
      <c r="B1178" s="4">
        <v>43477</v>
      </c>
      <c r="C1178">
        <v>5</v>
      </c>
      <c r="D1178" t="s">
        <v>60</v>
      </c>
      <c r="E1178" t="s">
        <v>68</v>
      </c>
      <c r="F1178" t="s">
        <v>18</v>
      </c>
      <c r="G1178" t="s">
        <v>14</v>
      </c>
      <c r="H1178">
        <v>199</v>
      </c>
      <c r="I1178">
        <v>9</v>
      </c>
      <c r="J1178">
        <v>1791</v>
      </c>
    </row>
    <row r="1179" spans="1:10" x14ac:dyDescent="0.35">
      <c r="A1179" s="3" t="s">
        <v>1224</v>
      </c>
      <c r="B1179" s="4">
        <v>43477</v>
      </c>
      <c r="C1179">
        <v>19</v>
      </c>
      <c r="D1179" t="s">
        <v>56</v>
      </c>
      <c r="E1179" t="s">
        <v>27</v>
      </c>
      <c r="F1179" t="s">
        <v>28</v>
      </c>
      <c r="G1179" t="s">
        <v>41</v>
      </c>
      <c r="H1179">
        <v>399</v>
      </c>
      <c r="I1179">
        <v>5</v>
      </c>
      <c r="J1179">
        <v>1995</v>
      </c>
    </row>
    <row r="1180" spans="1:10" x14ac:dyDescent="0.35">
      <c r="A1180" s="3" t="s">
        <v>1225</v>
      </c>
      <c r="B1180" s="4">
        <v>43477</v>
      </c>
      <c r="C1180">
        <v>10</v>
      </c>
      <c r="D1180" t="s">
        <v>58</v>
      </c>
      <c r="E1180" t="s">
        <v>46</v>
      </c>
      <c r="F1180" t="s">
        <v>23</v>
      </c>
      <c r="G1180" t="s">
        <v>41</v>
      </c>
      <c r="H1180">
        <v>399</v>
      </c>
      <c r="I1180">
        <v>7</v>
      </c>
      <c r="J1180">
        <v>2793</v>
      </c>
    </row>
    <row r="1181" spans="1:10" x14ac:dyDescent="0.35">
      <c r="A1181" s="3" t="s">
        <v>1226</v>
      </c>
      <c r="B1181" s="4">
        <v>43477</v>
      </c>
      <c r="C1181">
        <v>14</v>
      </c>
      <c r="D1181" t="s">
        <v>38</v>
      </c>
      <c r="E1181" t="s">
        <v>12</v>
      </c>
      <c r="F1181" t="s">
        <v>13</v>
      </c>
      <c r="G1181" t="s">
        <v>31</v>
      </c>
      <c r="H1181">
        <v>69</v>
      </c>
      <c r="I1181">
        <v>8</v>
      </c>
      <c r="J1181">
        <v>552</v>
      </c>
    </row>
    <row r="1182" spans="1:10" x14ac:dyDescent="0.35">
      <c r="A1182" s="3" t="s">
        <v>1227</v>
      </c>
      <c r="B1182" s="4">
        <v>43477</v>
      </c>
      <c r="C1182">
        <v>11</v>
      </c>
      <c r="D1182" t="s">
        <v>11</v>
      </c>
      <c r="E1182" t="s">
        <v>63</v>
      </c>
      <c r="F1182" t="s">
        <v>13</v>
      </c>
      <c r="G1182" t="s">
        <v>41</v>
      </c>
      <c r="H1182">
        <v>399</v>
      </c>
      <c r="I1182">
        <v>4</v>
      </c>
      <c r="J1182">
        <v>1596</v>
      </c>
    </row>
    <row r="1183" spans="1:10" x14ac:dyDescent="0.35">
      <c r="A1183" s="3" t="s">
        <v>1228</v>
      </c>
      <c r="B1183" s="4">
        <v>43478</v>
      </c>
      <c r="C1183">
        <v>15</v>
      </c>
      <c r="D1183" t="s">
        <v>118</v>
      </c>
      <c r="E1183" t="s">
        <v>63</v>
      </c>
      <c r="F1183" t="s">
        <v>13</v>
      </c>
      <c r="G1183" t="s">
        <v>19</v>
      </c>
      <c r="H1183">
        <v>289</v>
      </c>
      <c r="I1183">
        <v>2</v>
      </c>
      <c r="J1183">
        <v>578</v>
      </c>
    </row>
    <row r="1184" spans="1:10" x14ac:dyDescent="0.35">
      <c r="A1184" s="3" t="s">
        <v>1229</v>
      </c>
      <c r="B1184" s="4">
        <v>43478</v>
      </c>
      <c r="C1184">
        <v>3</v>
      </c>
      <c r="D1184" t="s">
        <v>43</v>
      </c>
      <c r="E1184" t="s">
        <v>68</v>
      </c>
      <c r="F1184" t="s">
        <v>18</v>
      </c>
      <c r="G1184" t="s">
        <v>41</v>
      </c>
      <c r="H1184">
        <v>399</v>
      </c>
      <c r="I1184">
        <v>7</v>
      </c>
      <c r="J1184">
        <v>2793</v>
      </c>
    </row>
    <row r="1185" spans="1:10" x14ac:dyDescent="0.35">
      <c r="A1185" s="3" t="s">
        <v>1230</v>
      </c>
      <c r="B1185" s="4">
        <v>43478</v>
      </c>
      <c r="C1185">
        <v>15</v>
      </c>
      <c r="D1185" t="s">
        <v>118</v>
      </c>
      <c r="E1185" t="s">
        <v>63</v>
      </c>
      <c r="F1185" t="s">
        <v>13</v>
      </c>
      <c r="G1185" t="s">
        <v>14</v>
      </c>
      <c r="H1185">
        <v>199</v>
      </c>
      <c r="I1185">
        <v>3</v>
      </c>
      <c r="J1185">
        <v>597</v>
      </c>
    </row>
    <row r="1186" spans="1:10" x14ac:dyDescent="0.35">
      <c r="A1186" s="3" t="s">
        <v>1231</v>
      </c>
      <c r="B1186" s="4">
        <v>43478</v>
      </c>
      <c r="C1186">
        <v>13</v>
      </c>
      <c r="D1186" t="s">
        <v>33</v>
      </c>
      <c r="E1186" t="s">
        <v>12</v>
      </c>
      <c r="F1186" t="s">
        <v>13</v>
      </c>
      <c r="G1186" t="s">
        <v>24</v>
      </c>
      <c r="H1186">
        <v>159</v>
      </c>
      <c r="I1186">
        <v>0</v>
      </c>
      <c r="J1186">
        <v>0</v>
      </c>
    </row>
    <row r="1187" spans="1:10" x14ac:dyDescent="0.35">
      <c r="A1187" s="3" t="s">
        <v>1232</v>
      </c>
      <c r="B1187" s="4">
        <v>43478</v>
      </c>
      <c r="C1187">
        <v>3</v>
      </c>
      <c r="D1187" t="s">
        <v>43</v>
      </c>
      <c r="E1187" t="s">
        <v>68</v>
      </c>
      <c r="F1187" t="s">
        <v>18</v>
      </c>
      <c r="G1187" t="s">
        <v>24</v>
      </c>
      <c r="H1187">
        <v>159</v>
      </c>
      <c r="I1187">
        <v>4</v>
      </c>
      <c r="J1187">
        <v>636</v>
      </c>
    </row>
    <row r="1188" spans="1:10" x14ac:dyDescent="0.35">
      <c r="A1188" s="3" t="s">
        <v>1233</v>
      </c>
      <c r="B1188" s="4">
        <v>43478</v>
      </c>
      <c r="C1188">
        <v>4</v>
      </c>
      <c r="D1188" t="s">
        <v>51</v>
      </c>
      <c r="E1188" t="s">
        <v>68</v>
      </c>
      <c r="F1188" t="s">
        <v>18</v>
      </c>
      <c r="G1188" t="s">
        <v>41</v>
      </c>
      <c r="H1188">
        <v>399</v>
      </c>
      <c r="I1188">
        <v>2</v>
      </c>
      <c r="J1188">
        <v>798</v>
      </c>
    </row>
    <row r="1189" spans="1:10" x14ac:dyDescent="0.35">
      <c r="A1189" s="3" t="s">
        <v>1234</v>
      </c>
      <c r="B1189" s="4">
        <v>43478</v>
      </c>
      <c r="C1189">
        <v>8</v>
      </c>
      <c r="D1189" t="s">
        <v>45</v>
      </c>
      <c r="E1189" t="s">
        <v>22</v>
      </c>
      <c r="F1189" t="s">
        <v>23</v>
      </c>
      <c r="G1189" t="s">
        <v>24</v>
      </c>
      <c r="H1189">
        <v>159</v>
      </c>
      <c r="I1189">
        <v>6</v>
      </c>
      <c r="J1189">
        <v>954</v>
      </c>
    </row>
    <row r="1190" spans="1:10" x14ac:dyDescent="0.35">
      <c r="A1190" s="3" t="s">
        <v>1235</v>
      </c>
      <c r="B1190" s="4">
        <v>43478</v>
      </c>
      <c r="C1190">
        <v>12</v>
      </c>
      <c r="D1190" t="s">
        <v>66</v>
      </c>
      <c r="E1190" t="s">
        <v>12</v>
      </c>
      <c r="F1190" t="s">
        <v>13</v>
      </c>
      <c r="G1190" t="s">
        <v>31</v>
      </c>
      <c r="H1190">
        <v>69</v>
      </c>
      <c r="I1190">
        <v>4</v>
      </c>
      <c r="J1190">
        <v>276</v>
      </c>
    </row>
    <row r="1191" spans="1:10" x14ac:dyDescent="0.35">
      <c r="A1191" s="3" t="s">
        <v>1236</v>
      </c>
      <c r="B1191" s="4">
        <v>43478</v>
      </c>
      <c r="C1191">
        <v>2</v>
      </c>
      <c r="D1191" t="s">
        <v>106</v>
      </c>
      <c r="E1191" t="s">
        <v>17</v>
      </c>
      <c r="F1191" t="s">
        <v>18</v>
      </c>
      <c r="G1191" t="s">
        <v>41</v>
      </c>
      <c r="H1191">
        <v>399</v>
      </c>
      <c r="I1191">
        <v>4</v>
      </c>
      <c r="J1191">
        <v>1596</v>
      </c>
    </row>
    <row r="1192" spans="1:10" x14ac:dyDescent="0.35">
      <c r="A1192" s="3" t="s">
        <v>1237</v>
      </c>
      <c r="B1192" s="4">
        <v>43478</v>
      </c>
      <c r="C1192">
        <v>18</v>
      </c>
      <c r="D1192" t="s">
        <v>26</v>
      </c>
      <c r="E1192" t="s">
        <v>36</v>
      </c>
      <c r="F1192" t="s">
        <v>28</v>
      </c>
      <c r="G1192" t="s">
        <v>41</v>
      </c>
      <c r="H1192">
        <v>399</v>
      </c>
      <c r="I1192">
        <v>1</v>
      </c>
      <c r="J1192">
        <v>399</v>
      </c>
    </row>
    <row r="1193" spans="1:10" x14ac:dyDescent="0.35">
      <c r="A1193" s="3" t="s">
        <v>1238</v>
      </c>
      <c r="B1193" s="4">
        <v>43479</v>
      </c>
      <c r="C1193">
        <v>10</v>
      </c>
      <c r="D1193" t="s">
        <v>58</v>
      </c>
      <c r="E1193" t="s">
        <v>46</v>
      </c>
      <c r="F1193" t="s">
        <v>23</v>
      </c>
      <c r="G1193" t="s">
        <v>24</v>
      </c>
      <c r="H1193">
        <v>159</v>
      </c>
      <c r="I1193">
        <v>3</v>
      </c>
      <c r="J1193">
        <v>477</v>
      </c>
    </row>
    <row r="1194" spans="1:10" x14ac:dyDescent="0.35">
      <c r="A1194" s="3" t="s">
        <v>1239</v>
      </c>
      <c r="B1194" s="4">
        <v>43479</v>
      </c>
      <c r="C1194">
        <v>3</v>
      </c>
      <c r="D1194" t="s">
        <v>43</v>
      </c>
      <c r="E1194" t="s">
        <v>68</v>
      </c>
      <c r="F1194" t="s">
        <v>18</v>
      </c>
      <c r="G1194" t="s">
        <v>31</v>
      </c>
      <c r="H1194">
        <v>69</v>
      </c>
      <c r="I1194">
        <v>0</v>
      </c>
      <c r="J1194">
        <v>0</v>
      </c>
    </row>
    <row r="1195" spans="1:10" x14ac:dyDescent="0.35">
      <c r="A1195" s="3" t="s">
        <v>1240</v>
      </c>
      <c r="B1195" s="4">
        <v>43479</v>
      </c>
      <c r="C1195">
        <v>12</v>
      </c>
      <c r="D1195" t="s">
        <v>66</v>
      </c>
      <c r="E1195" t="s">
        <v>63</v>
      </c>
      <c r="F1195" t="s">
        <v>13</v>
      </c>
      <c r="G1195" t="s">
        <v>19</v>
      </c>
      <c r="H1195">
        <v>289</v>
      </c>
      <c r="I1195">
        <v>7</v>
      </c>
      <c r="J1195">
        <v>2023</v>
      </c>
    </row>
    <row r="1196" spans="1:10" x14ac:dyDescent="0.35">
      <c r="A1196" s="3" t="s">
        <v>1241</v>
      </c>
      <c r="B1196" s="4">
        <v>43479</v>
      </c>
      <c r="C1196">
        <v>19</v>
      </c>
      <c r="D1196" t="s">
        <v>56</v>
      </c>
      <c r="E1196" t="s">
        <v>27</v>
      </c>
      <c r="F1196" t="s">
        <v>28</v>
      </c>
      <c r="G1196" t="s">
        <v>41</v>
      </c>
      <c r="H1196">
        <v>399</v>
      </c>
      <c r="I1196">
        <v>8</v>
      </c>
      <c r="J1196">
        <v>3192</v>
      </c>
    </row>
    <row r="1197" spans="1:10" x14ac:dyDescent="0.35">
      <c r="A1197" s="3" t="s">
        <v>1242</v>
      </c>
      <c r="B1197" s="4">
        <v>43480</v>
      </c>
      <c r="C1197">
        <v>16</v>
      </c>
      <c r="D1197" t="s">
        <v>30</v>
      </c>
      <c r="E1197" t="s">
        <v>36</v>
      </c>
      <c r="F1197" t="s">
        <v>28</v>
      </c>
      <c r="G1197" t="s">
        <v>19</v>
      </c>
      <c r="H1197">
        <v>289</v>
      </c>
      <c r="I1197">
        <v>9</v>
      </c>
      <c r="J1197">
        <v>2601</v>
      </c>
    </row>
    <row r="1198" spans="1:10" x14ac:dyDescent="0.35">
      <c r="A1198" s="3" t="s">
        <v>1243</v>
      </c>
      <c r="B1198" s="4">
        <v>43481</v>
      </c>
      <c r="C1198">
        <v>6</v>
      </c>
      <c r="D1198" t="s">
        <v>48</v>
      </c>
      <c r="E1198" t="s">
        <v>22</v>
      </c>
      <c r="F1198" t="s">
        <v>23</v>
      </c>
      <c r="G1198" t="s">
        <v>14</v>
      </c>
      <c r="H1198">
        <v>199</v>
      </c>
      <c r="I1198">
        <v>2</v>
      </c>
      <c r="J1198">
        <v>398</v>
      </c>
    </row>
    <row r="1199" spans="1:10" x14ac:dyDescent="0.35">
      <c r="A1199" s="3" t="s">
        <v>1244</v>
      </c>
      <c r="B1199" s="4">
        <v>43481</v>
      </c>
      <c r="C1199">
        <v>16</v>
      </c>
      <c r="D1199" t="s">
        <v>30</v>
      </c>
      <c r="E1199" t="s">
        <v>36</v>
      </c>
      <c r="F1199" t="s">
        <v>28</v>
      </c>
      <c r="G1199" t="s">
        <v>31</v>
      </c>
      <c r="H1199">
        <v>69</v>
      </c>
      <c r="I1199">
        <v>9</v>
      </c>
      <c r="J1199">
        <v>621</v>
      </c>
    </row>
    <row r="1200" spans="1:10" x14ac:dyDescent="0.35">
      <c r="A1200" s="3" t="s">
        <v>1245</v>
      </c>
      <c r="B1200" s="4">
        <v>43481</v>
      </c>
      <c r="C1200">
        <v>16</v>
      </c>
      <c r="D1200" t="s">
        <v>30</v>
      </c>
      <c r="E1200" t="s">
        <v>36</v>
      </c>
      <c r="F1200" t="s">
        <v>28</v>
      </c>
      <c r="G1200" t="s">
        <v>31</v>
      </c>
      <c r="H1200">
        <v>69</v>
      </c>
      <c r="I1200">
        <v>5</v>
      </c>
      <c r="J1200">
        <v>345</v>
      </c>
    </row>
    <row r="1201" spans="1:10" x14ac:dyDescent="0.35">
      <c r="A1201" s="3" t="s">
        <v>1246</v>
      </c>
      <c r="B1201" s="4">
        <v>43481</v>
      </c>
      <c r="C1201">
        <v>16</v>
      </c>
      <c r="D1201" t="s">
        <v>30</v>
      </c>
      <c r="E1201" t="s">
        <v>27</v>
      </c>
      <c r="F1201" t="s">
        <v>28</v>
      </c>
      <c r="G1201" t="s">
        <v>31</v>
      </c>
      <c r="H1201">
        <v>69</v>
      </c>
      <c r="I1201">
        <v>2</v>
      </c>
      <c r="J1201">
        <v>138</v>
      </c>
    </row>
    <row r="1202" spans="1:10" x14ac:dyDescent="0.35">
      <c r="A1202" s="3" t="s">
        <v>1247</v>
      </c>
      <c r="B1202" s="4">
        <v>43482</v>
      </c>
      <c r="C1202">
        <v>16</v>
      </c>
      <c r="D1202" t="s">
        <v>30</v>
      </c>
      <c r="E1202" t="s">
        <v>27</v>
      </c>
      <c r="F1202" t="s">
        <v>28</v>
      </c>
      <c r="G1202" t="s">
        <v>31</v>
      </c>
      <c r="H1202">
        <v>69</v>
      </c>
      <c r="I1202">
        <v>1</v>
      </c>
      <c r="J1202">
        <v>69</v>
      </c>
    </row>
    <row r="1203" spans="1:10" x14ac:dyDescent="0.35">
      <c r="A1203" s="3" t="s">
        <v>1248</v>
      </c>
      <c r="B1203" s="4">
        <v>43482</v>
      </c>
      <c r="C1203">
        <v>18</v>
      </c>
      <c r="D1203" t="s">
        <v>26</v>
      </c>
      <c r="E1203" t="s">
        <v>36</v>
      </c>
      <c r="F1203" t="s">
        <v>28</v>
      </c>
      <c r="G1203" t="s">
        <v>19</v>
      </c>
      <c r="H1203">
        <v>289</v>
      </c>
      <c r="I1203">
        <v>2</v>
      </c>
      <c r="J1203">
        <v>578</v>
      </c>
    </row>
    <row r="1204" spans="1:10" x14ac:dyDescent="0.35">
      <c r="A1204" s="3" t="s">
        <v>1249</v>
      </c>
      <c r="B1204" s="4">
        <v>43482</v>
      </c>
      <c r="C1204">
        <v>14</v>
      </c>
      <c r="D1204" t="s">
        <v>38</v>
      </c>
      <c r="E1204" t="s">
        <v>12</v>
      </c>
      <c r="F1204" t="s">
        <v>13</v>
      </c>
      <c r="G1204" t="s">
        <v>41</v>
      </c>
      <c r="H1204">
        <v>399</v>
      </c>
      <c r="I1204">
        <v>2</v>
      </c>
      <c r="J1204">
        <v>798</v>
      </c>
    </row>
    <row r="1205" spans="1:10" x14ac:dyDescent="0.35">
      <c r="A1205" s="3" t="s">
        <v>1250</v>
      </c>
      <c r="B1205" s="4">
        <v>43482</v>
      </c>
      <c r="C1205">
        <v>5</v>
      </c>
      <c r="D1205" t="s">
        <v>60</v>
      </c>
      <c r="E1205" t="s">
        <v>17</v>
      </c>
      <c r="F1205" t="s">
        <v>18</v>
      </c>
      <c r="G1205" t="s">
        <v>31</v>
      </c>
      <c r="H1205">
        <v>69</v>
      </c>
      <c r="I1205">
        <v>3</v>
      </c>
      <c r="J1205">
        <v>207</v>
      </c>
    </row>
    <row r="1206" spans="1:10" x14ac:dyDescent="0.35">
      <c r="A1206" s="3" t="s">
        <v>1251</v>
      </c>
      <c r="B1206" s="4">
        <v>43482</v>
      </c>
      <c r="C1206">
        <v>7</v>
      </c>
      <c r="D1206" t="s">
        <v>88</v>
      </c>
      <c r="E1206" t="s">
        <v>22</v>
      </c>
      <c r="F1206" t="s">
        <v>23</v>
      </c>
      <c r="G1206" t="s">
        <v>19</v>
      </c>
      <c r="H1206">
        <v>289</v>
      </c>
      <c r="I1206">
        <v>5</v>
      </c>
      <c r="J1206">
        <v>1445</v>
      </c>
    </row>
    <row r="1207" spans="1:10" x14ac:dyDescent="0.35">
      <c r="A1207" s="3" t="s">
        <v>1252</v>
      </c>
      <c r="B1207" s="4">
        <v>43482</v>
      </c>
      <c r="C1207">
        <v>17</v>
      </c>
      <c r="D1207" t="s">
        <v>35</v>
      </c>
      <c r="E1207" t="s">
        <v>27</v>
      </c>
      <c r="F1207" t="s">
        <v>28</v>
      </c>
      <c r="G1207" t="s">
        <v>31</v>
      </c>
      <c r="H1207">
        <v>69</v>
      </c>
      <c r="I1207">
        <v>6</v>
      </c>
      <c r="J1207">
        <v>414</v>
      </c>
    </row>
    <row r="1208" spans="1:10" x14ac:dyDescent="0.35">
      <c r="A1208" s="3" t="s">
        <v>1253</v>
      </c>
      <c r="B1208" s="4">
        <v>43482</v>
      </c>
      <c r="C1208">
        <v>10</v>
      </c>
      <c r="D1208" t="s">
        <v>58</v>
      </c>
      <c r="E1208" t="s">
        <v>46</v>
      </c>
      <c r="F1208" t="s">
        <v>23</v>
      </c>
      <c r="G1208" t="s">
        <v>24</v>
      </c>
      <c r="H1208">
        <v>159</v>
      </c>
      <c r="I1208">
        <v>3</v>
      </c>
      <c r="J1208">
        <v>477</v>
      </c>
    </row>
    <row r="1209" spans="1:10" x14ac:dyDescent="0.35">
      <c r="A1209" s="3" t="s">
        <v>1254</v>
      </c>
      <c r="B1209" s="4">
        <v>43483</v>
      </c>
      <c r="C1209">
        <v>7</v>
      </c>
      <c r="D1209" t="s">
        <v>88</v>
      </c>
      <c r="E1209" t="s">
        <v>22</v>
      </c>
      <c r="F1209" t="s">
        <v>23</v>
      </c>
      <c r="G1209" t="s">
        <v>41</v>
      </c>
      <c r="H1209">
        <v>399</v>
      </c>
      <c r="I1209">
        <v>6</v>
      </c>
      <c r="J1209">
        <v>2394</v>
      </c>
    </row>
    <row r="1210" spans="1:10" x14ac:dyDescent="0.35">
      <c r="A1210" s="3" t="s">
        <v>1255</v>
      </c>
      <c r="B1210" s="4">
        <v>43483</v>
      </c>
      <c r="C1210">
        <v>12</v>
      </c>
      <c r="D1210" t="s">
        <v>66</v>
      </c>
      <c r="E1210" t="s">
        <v>63</v>
      </c>
      <c r="F1210" t="s">
        <v>13</v>
      </c>
      <c r="G1210" t="s">
        <v>41</v>
      </c>
      <c r="H1210">
        <v>399</v>
      </c>
      <c r="I1210">
        <v>3</v>
      </c>
      <c r="J1210">
        <v>1197</v>
      </c>
    </row>
    <row r="1211" spans="1:10" x14ac:dyDescent="0.35">
      <c r="A1211" s="3" t="s">
        <v>1256</v>
      </c>
      <c r="B1211" s="4">
        <v>43483</v>
      </c>
      <c r="C1211">
        <v>11</v>
      </c>
      <c r="D1211" t="s">
        <v>11</v>
      </c>
      <c r="E1211" t="s">
        <v>63</v>
      </c>
      <c r="F1211" t="s">
        <v>13</v>
      </c>
      <c r="G1211" t="s">
        <v>14</v>
      </c>
      <c r="H1211">
        <v>199</v>
      </c>
      <c r="I1211">
        <v>7</v>
      </c>
      <c r="J1211">
        <v>1393</v>
      </c>
    </row>
    <row r="1212" spans="1:10" x14ac:dyDescent="0.35">
      <c r="A1212" s="3" t="s">
        <v>1257</v>
      </c>
      <c r="B1212" s="4">
        <v>43484</v>
      </c>
      <c r="C1212">
        <v>9</v>
      </c>
      <c r="D1212" t="s">
        <v>21</v>
      </c>
      <c r="E1212" t="s">
        <v>46</v>
      </c>
      <c r="F1212" t="s">
        <v>23</v>
      </c>
      <c r="G1212" t="s">
        <v>24</v>
      </c>
      <c r="H1212">
        <v>159</v>
      </c>
      <c r="I1212">
        <v>7</v>
      </c>
      <c r="J1212">
        <v>1113</v>
      </c>
    </row>
    <row r="1213" spans="1:10" x14ac:dyDescent="0.35">
      <c r="A1213" s="3" t="s">
        <v>1258</v>
      </c>
      <c r="B1213" s="4">
        <v>43485</v>
      </c>
      <c r="C1213">
        <v>14</v>
      </c>
      <c r="D1213" t="s">
        <v>38</v>
      </c>
      <c r="E1213" t="s">
        <v>12</v>
      </c>
      <c r="F1213" t="s">
        <v>13</v>
      </c>
      <c r="G1213" t="s">
        <v>24</v>
      </c>
      <c r="H1213">
        <v>159</v>
      </c>
      <c r="I1213">
        <v>1</v>
      </c>
      <c r="J1213">
        <v>159</v>
      </c>
    </row>
    <row r="1214" spans="1:10" x14ac:dyDescent="0.35">
      <c r="A1214" s="3" t="s">
        <v>1259</v>
      </c>
      <c r="B1214" s="4">
        <v>43485</v>
      </c>
      <c r="C1214">
        <v>16</v>
      </c>
      <c r="D1214" t="s">
        <v>30</v>
      </c>
      <c r="E1214" t="s">
        <v>27</v>
      </c>
      <c r="F1214" t="s">
        <v>28</v>
      </c>
      <c r="G1214" t="s">
        <v>31</v>
      </c>
      <c r="H1214">
        <v>69</v>
      </c>
      <c r="I1214">
        <v>2</v>
      </c>
      <c r="J1214">
        <v>138</v>
      </c>
    </row>
    <row r="1215" spans="1:10" x14ac:dyDescent="0.35">
      <c r="A1215" s="3" t="s">
        <v>1260</v>
      </c>
      <c r="B1215" s="4">
        <v>43486</v>
      </c>
      <c r="C1215">
        <v>8</v>
      </c>
      <c r="D1215" t="s">
        <v>45</v>
      </c>
      <c r="E1215" t="s">
        <v>46</v>
      </c>
      <c r="F1215" t="s">
        <v>23</v>
      </c>
      <c r="G1215" t="s">
        <v>19</v>
      </c>
      <c r="H1215">
        <v>289</v>
      </c>
      <c r="I1215">
        <v>4</v>
      </c>
      <c r="J1215">
        <v>1156</v>
      </c>
    </row>
    <row r="1216" spans="1:10" x14ac:dyDescent="0.35">
      <c r="A1216" s="3" t="s">
        <v>1261</v>
      </c>
      <c r="B1216" s="4">
        <v>43486</v>
      </c>
      <c r="C1216">
        <v>4</v>
      </c>
      <c r="D1216" t="s">
        <v>51</v>
      </c>
      <c r="E1216" t="s">
        <v>17</v>
      </c>
      <c r="F1216" t="s">
        <v>18</v>
      </c>
      <c r="G1216" t="s">
        <v>31</v>
      </c>
      <c r="H1216">
        <v>69</v>
      </c>
      <c r="I1216">
        <v>6</v>
      </c>
      <c r="J1216">
        <v>414</v>
      </c>
    </row>
    <row r="1217" spans="1:10" x14ac:dyDescent="0.35">
      <c r="A1217" s="3" t="s">
        <v>1262</v>
      </c>
      <c r="B1217" s="4">
        <v>43486</v>
      </c>
      <c r="C1217">
        <v>10</v>
      </c>
      <c r="D1217" t="s">
        <v>58</v>
      </c>
      <c r="E1217" t="s">
        <v>46</v>
      </c>
      <c r="F1217" t="s">
        <v>23</v>
      </c>
      <c r="G1217" t="s">
        <v>24</v>
      </c>
      <c r="H1217">
        <v>159</v>
      </c>
      <c r="I1217">
        <v>1</v>
      </c>
      <c r="J1217">
        <v>159</v>
      </c>
    </row>
    <row r="1218" spans="1:10" x14ac:dyDescent="0.35">
      <c r="A1218" s="3" t="s">
        <v>1263</v>
      </c>
      <c r="B1218" s="4">
        <v>43486</v>
      </c>
      <c r="C1218">
        <v>4</v>
      </c>
      <c r="D1218" t="s">
        <v>51</v>
      </c>
      <c r="E1218" t="s">
        <v>68</v>
      </c>
      <c r="F1218" t="s">
        <v>18</v>
      </c>
      <c r="G1218" t="s">
        <v>24</v>
      </c>
      <c r="H1218">
        <v>159</v>
      </c>
      <c r="I1218">
        <v>4</v>
      </c>
      <c r="J1218">
        <v>636</v>
      </c>
    </row>
    <row r="1219" spans="1:10" x14ac:dyDescent="0.35">
      <c r="A1219" s="3" t="s">
        <v>1264</v>
      </c>
      <c r="B1219" s="4">
        <v>43487</v>
      </c>
      <c r="C1219">
        <v>12</v>
      </c>
      <c r="D1219" t="s">
        <v>66</v>
      </c>
      <c r="E1219" t="s">
        <v>12</v>
      </c>
      <c r="F1219" t="s">
        <v>13</v>
      </c>
      <c r="G1219" t="s">
        <v>31</v>
      </c>
      <c r="H1219">
        <v>69</v>
      </c>
      <c r="I1219">
        <v>7</v>
      </c>
      <c r="J1219">
        <v>483</v>
      </c>
    </row>
    <row r="1220" spans="1:10" x14ac:dyDescent="0.35">
      <c r="A1220" s="3" t="s">
        <v>1265</v>
      </c>
      <c r="B1220" s="4">
        <v>43487</v>
      </c>
      <c r="C1220">
        <v>2</v>
      </c>
      <c r="D1220" t="s">
        <v>106</v>
      </c>
      <c r="E1220" t="s">
        <v>68</v>
      </c>
      <c r="F1220" t="s">
        <v>18</v>
      </c>
      <c r="G1220" t="s">
        <v>19</v>
      </c>
      <c r="H1220">
        <v>289</v>
      </c>
      <c r="I1220">
        <v>5</v>
      </c>
      <c r="J1220">
        <v>1445</v>
      </c>
    </row>
    <row r="1221" spans="1:10" x14ac:dyDescent="0.35">
      <c r="A1221" s="3" t="s">
        <v>1266</v>
      </c>
      <c r="B1221" s="4">
        <v>43487</v>
      </c>
      <c r="C1221">
        <v>7</v>
      </c>
      <c r="D1221" t="s">
        <v>88</v>
      </c>
      <c r="E1221" t="s">
        <v>22</v>
      </c>
      <c r="F1221" t="s">
        <v>23</v>
      </c>
      <c r="G1221" t="s">
        <v>19</v>
      </c>
      <c r="H1221">
        <v>289</v>
      </c>
      <c r="I1221">
        <v>7</v>
      </c>
      <c r="J1221">
        <v>2023</v>
      </c>
    </row>
    <row r="1222" spans="1:10" x14ac:dyDescent="0.35">
      <c r="A1222" s="3" t="s">
        <v>1267</v>
      </c>
      <c r="B1222" s="4">
        <v>43488</v>
      </c>
      <c r="C1222">
        <v>10</v>
      </c>
      <c r="D1222" t="s">
        <v>58</v>
      </c>
      <c r="E1222" t="s">
        <v>46</v>
      </c>
      <c r="F1222" t="s">
        <v>23</v>
      </c>
      <c r="G1222" t="s">
        <v>24</v>
      </c>
      <c r="H1222">
        <v>159</v>
      </c>
      <c r="I1222">
        <v>6</v>
      </c>
      <c r="J1222">
        <v>954</v>
      </c>
    </row>
    <row r="1223" spans="1:10" x14ac:dyDescent="0.35">
      <c r="A1223" s="3" t="s">
        <v>1268</v>
      </c>
      <c r="B1223" s="4">
        <v>43489</v>
      </c>
      <c r="C1223">
        <v>8</v>
      </c>
      <c r="D1223" t="s">
        <v>45</v>
      </c>
      <c r="E1223" t="s">
        <v>22</v>
      </c>
      <c r="F1223" t="s">
        <v>23</v>
      </c>
      <c r="G1223" t="s">
        <v>24</v>
      </c>
      <c r="H1223">
        <v>159</v>
      </c>
      <c r="I1223">
        <v>4</v>
      </c>
      <c r="J1223">
        <v>636</v>
      </c>
    </row>
    <row r="1224" spans="1:10" x14ac:dyDescent="0.35">
      <c r="A1224" s="3" t="s">
        <v>1269</v>
      </c>
      <c r="B1224" s="4">
        <v>43490</v>
      </c>
      <c r="C1224">
        <v>18</v>
      </c>
      <c r="D1224" t="s">
        <v>26</v>
      </c>
      <c r="E1224" t="s">
        <v>36</v>
      </c>
      <c r="F1224" t="s">
        <v>28</v>
      </c>
      <c r="G1224" t="s">
        <v>41</v>
      </c>
      <c r="H1224">
        <v>399</v>
      </c>
      <c r="I1224">
        <v>9</v>
      </c>
      <c r="J1224">
        <v>3591</v>
      </c>
    </row>
    <row r="1225" spans="1:10" x14ac:dyDescent="0.35">
      <c r="A1225" s="3" t="s">
        <v>1270</v>
      </c>
      <c r="B1225" s="4">
        <v>43491</v>
      </c>
      <c r="C1225">
        <v>4</v>
      </c>
      <c r="D1225" t="s">
        <v>51</v>
      </c>
      <c r="E1225" t="s">
        <v>17</v>
      </c>
      <c r="F1225" t="s">
        <v>18</v>
      </c>
      <c r="G1225" t="s">
        <v>14</v>
      </c>
      <c r="H1225">
        <v>199</v>
      </c>
      <c r="I1225">
        <v>5</v>
      </c>
      <c r="J1225">
        <v>995</v>
      </c>
    </row>
    <row r="1226" spans="1:10" x14ac:dyDescent="0.35">
      <c r="A1226" s="3" t="s">
        <v>1271</v>
      </c>
      <c r="B1226" s="4">
        <v>43491</v>
      </c>
      <c r="C1226">
        <v>7</v>
      </c>
      <c r="D1226" t="s">
        <v>88</v>
      </c>
      <c r="E1226" t="s">
        <v>46</v>
      </c>
      <c r="F1226" t="s">
        <v>23</v>
      </c>
      <c r="G1226" t="s">
        <v>41</v>
      </c>
      <c r="H1226">
        <v>399</v>
      </c>
      <c r="I1226">
        <v>8</v>
      </c>
      <c r="J1226">
        <v>3192</v>
      </c>
    </row>
    <row r="1227" spans="1:10" x14ac:dyDescent="0.35">
      <c r="A1227" s="3" t="s">
        <v>1272</v>
      </c>
      <c r="B1227" s="4">
        <v>43491</v>
      </c>
      <c r="C1227">
        <v>1</v>
      </c>
      <c r="D1227" t="s">
        <v>16</v>
      </c>
      <c r="E1227" t="s">
        <v>68</v>
      </c>
      <c r="F1227" t="s">
        <v>18</v>
      </c>
      <c r="G1227" t="s">
        <v>41</v>
      </c>
      <c r="H1227">
        <v>399</v>
      </c>
      <c r="I1227">
        <v>4</v>
      </c>
      <c r="J1227">
        <v>1596</v>
      </c>
    </row>
    <row r="1228" spans="1:10" x14ac:dyDescent="0.35">
      <c r="A1228" s="3" t="s">
        <v>1273</v>
      </c>
      <c r="B1228" s="4">
        <v>43491</v>
      </c>
      <c r="C1228">
        <v>10</v>
      </c>
      <c r="D1228" t="s">
        <v>58</v>
      </c>
      <c r="E1228" t="s">
        <v>22</v>
      </c>
      <c r="F1228" t="s">
        <v>23</v>
      </c>
      <c r="G1228" t="s">
        <v>41</v>
      </c>
      <c r="H1228">
        <v>399</v>
      </c>
      <c r="I1228">
        <v>4</v>
      </c>
      <c r="J1228">
        <v>1596</v>
      </c>
    </row>
    <row r="1229" spans="1:10" x14ac:dyDescent="0.35">
      <c r="A1229" s="3" t="s">
        <v>1274</v>
      </c>
      <c r="B1229" s="4">
        <v>43492</v>
      </c>
      <c r="C1229">
        <v>17</v>
      </c>
      <c r="D1229" t="s">
        <v>35</v>
      </c>
      <c r="E1229" t="s">
        <v>27</v>
      </c>
      <c r="F1229" t="s">
        <v>28</v>
      </c>
      <c r="G1229" t="s">
        <v>19</v>
      </c>
      <c r="H1229">
        <v>289</v>
      </c>
      <c r="I1229">
        <v>2</v>
      </c>
      <c r="J1229">
        <v>578</v>
      </c>
    </row>
    <row r="1230" spans="1:10" x14ac:dyDescent="0.35">
      <c r="A1230" s="3" t="s">
        <v>1275</v>
      </c>
      <c r="B1230" s="4">
        <v>43493</v>
      </c>
      <c r="C1230">
        <v>12</v>
      </c>
      <c r="D1230" t="s">
        <v>66</v>
      </c>
      <c r="E1230" t="s">
        <v>63</v>
      </c>
      <c r="F1230" t="s">
        <v>13</v>
      </c>
      <c r="G1230" t="s">
        <v>14</v>
      </c>
      <c r="H1230">
        <v>199</v>
      </c>
      <c r="I1230">
        <v>4</v>
      </c>
      <c r="J1230">
        <v>796</v>
      </c>
    </row>
    <row r="1231" spans="1:10" x14ac:dyDescent="0.35">
      <c r="A1231" s="3" t="s">
        <v>1276</v>
      </c>
      <c r="B1231" s="4">
        <v>43493</v>
      </c>
      <c r="C1231">
        <v>3</v>
      </c>
      <c r="D1231" t="s">
        <v>43</v>
      </c>
      <c r="E1231" t="s">
        <v>17</v>
      </c>
      <c r="F1231" t="s">
        <v>18</v>
      </c>
      <c r="G1231" t="s">
        <v>41</v>
      </c>
      <c r="H1231">
        <v>399</v>
      </c>
      <c r="I1231">
        <v>5</v>
      </c>
      <c r="J1231">
        <v>1995</v>
      </c>
    </row>
    <row r="1232" spans="1:10" x14ac:dyDescent="0.35">
      <c r="A1232" s="3" t="s">
        <v>1277</v>
      </c>
      <c r="B1232" s="4">
        <v>43493</v>
      </c>
      <c r="C1232">
        <v>2</v>
      </c>
      <c r="D1232" t="s">
        <v>106</v>
      </c>
      <c r="E1232" t="s">
        <v>68</v>
      </c>
      <c r="F1232" t="s">
        <v>18</v>
      </c>
      <c r="G1232" t="s">
        <v>31</v>
      </c>
      <c r="H1232">
        <v>69</v>
      </c>
      <c r="I1232">
        <v>3</v>
      </c>
      <c r="J1232">
        <v>207</v>
      </c>
    </row>
    <row r="1233" spans="1:10" x14ac:dyDescent="0.35">
      <c r="A1233" s="3" t="s">
        <v>1278</v>
      </c>
      <c r="B1233" s="4">
        <v>43493</v>
      </c>
      <c r="C1233">
        <v>4</v>
      </c>
      <c r="D1233" t="s">
        <v>51</v>
      </c>
      <c r="E1233" t="s">
        <v>17</v>
      </c>
      <c r="F1233" t="s">
        <v>18</v>
      </c>
      <c r="G1233" t="s">
        <v>24</v>
      </c>
      <c r="H1233">
        <v>159</v>
      </c>
      <c r="I1233">
        <v>7</v>
      </c>
      <c r="J1233">
        <v>1113</v>
      </c>
    </row>
    <row r="1234" spans="1:10" x14ac:dyDescent="0.35">
      <c r="A1234" s="3" t="s">
        <v>1279</v>
      </c>
      <c r="B1234" s="4">
        <v>43493</v>
      </c>
      <c r="C1234">
        <v>5</v>
      </c>
      <c r="D1234" t="s">
        <v>60</v>
      </c>
      <c r="E1234" t="s">
        <v>17</v>
      </c>
      <c r="F1234" t="s">
        <v>18</v>
      </c>
      <c r="G1234" t="s">
        <v>31</v>
      </c>
      <c r="H1234">
        <v>69</v>
      </c>
      <c r="I1234">
        <v>2</v>
      </c>
      <c r="J1234">
        <v>138</v>
      </c>
    </row>
    <row r="1235" spans="1:10" x14ac:dyDescent="0.35">
      <c r="A1235" s="3" t="s">
        <v>1280</v>
      </c>
      <c r="B1235" s="4">
        <v>43494</v>
      </c>
      <c r="C1235">
        <v>9</v>
      </c>
      <c r="D1235" t="s">
        <v>21</v>
      </c>
      <c r="E1235" t="s">
        <v>46</v>
      </c>
      <c r="F1235" t="s">
        <v>23</v>
      </c>
      <c r="G1235" t="s">
        <v>24</v>
      </c>
      <c r="H1235">
        <v>159</v>
      </c>
      <c r="I1235">
        <v>3</v>
      </c>
      <c r="J1235">
        <v>477</v>
      </c>
    </row>
    <row r="1236" spans="1:10" x14ac:dyDescent="0.35">
      <c r="A1236" s="3" t="s">
        <v>1281</v>
      </c>
      <c r="B1236" s="4">
        <v>43494</v>
      </c>
      <c r="C1236">
        <v>9</v>
      </c>
      <c r="D1236" t="s">
        <v>21</v>
      </c>
      <c r="E1236" t="s">
        <v>46</v>
      </c>
      <c r="F1236" t="s">
        <v>23</v>
      </c>
      <c r="G1236" t="s">
        <v>19</v>
      </c>
      <c r="H1236">
        <v>289</v>
      </c>
      <c r="I1236">
        <v>1</v>
      </c>
      <c r="J1236">
        <v>289</v>
      </c>
    </row>
    <row r="1237" spans="1:10" x14ac:dyDescent="0.35">
      <c r="A1237" s="3" t="s">
        <v>1282</v>
      </c>
      <c r="B1237" s="4">
        <v>43495</v>
      </c>
      <c r="C1237">
        <v>3</v>
      </c>
      <c r="D1237" t="s">
        <v>43</v>
      </c>
      <c r="E1237" t="s">
        <v>68</v>
      </c>
      <c r="F1237" t="s">
        <v>18</v>
      </c>
      <c r="G1237" t="s">
        <v>24</v>
      </c>
      <c r="H1237">
        <v>159</v>
      </c>
      <c r="I1237">
        <v>9</v>
      </c>
      <c r="J1237">
        <v>1431</v>
      </c>
    </row>
    <row r="1238" spans="1:10" x14ac:dyDescent="0.35">
      <c r="A1238" s="3" t="s">
        <v>1283</v>
      </c>
      <c r="B1238" s="4">
        <v>43496</v>
      </c>
      <c r="C1238">
        <v>2</v>
      </c>
      <c r="D1238" t="s">
        <v>106</v>
      </c>
      <c r="E1238" t="s">
        <v>68</v>
      </c>
      <c r="F1238" t="s">
        <v>18</v>
      </c>
      <c r="G1238" t="s">
        <v>41</v>
      </c>
      <c r="H1238">
        <v>399</v>
      </c>
      <c r="I1238">
        <v>7</v>
      </c>
      <c r="J1238">
        <v>2793</v>
      </c>
    </row>
    <row r="1239" spans="1:10" x14ac:dyDescent="0.35">
      <c r="A1239" s="3" t="s">
        <v>1284</v>
      </c>
      <c r="B1239" s="4">
        <v>43497</v>
      </c>
      <c r="C1239">
        <v>13</v>
      </c>
      <c r="D1239" t="s">
        <v>33</v>
      </c>
      <c r="E1239" t="s">
        <v>63</v>
      </c>
      <c r="F1239" t="s">
        <v>13</v>
      </c>
      <c r="G1239" t="s">
        <v>19</v>
      </c>
      <c r="H1239">
        <v>289</v>
      </c>
      <c r="I1239">
        <v>9</v>
      </c>
      <c r="J1239">
        <v>2601</v>
      </c>
    </row>
    <row r="1240" spans="1:10" x14ac:dyDescent="0.35">
      <c r="A1240" s="3" t="s">
        <v>1285</v>
      </c>
      <c r="B1240" s="4">
        <v>43498</v>
      </c>
      <c r="C1240">
        <v>8</v>
      </c>
      <c r="D1240" t="s">
        <v>45</v>
      </c>
      <c r="E1240" t="s">
        <v>22</v>
      </c>
      <c r="F1240" t="s">
        <v>23</v>
      </c>
      <c r="G1240" t="s">
        <v>19</v>
      </c>
      <c r="H1240">
        <v>289</v>
      </c>
      <c r="I1240">
        <v>3</v>
      </c>
      <c r="J1240">
        <v>867</v>
      </c>
    </row>
    <row r="1241" spans="1:10" x14ac:dyDescent="0.35">
      <c r="A1241" s="3" t="s">
        <v>1286</v>
      </c>
      <c r="B1241" s="4">
        <v>43499</v>
      </c>
      <c r="C1241">
        <v>12</v>
      </c>
      <c r="D1241" t="s">
        <v>66</v>
      </c>
      <c r="E1241" t="s">
        <v>12</v>
      </c>
      <c r="F1241" t="s">
        <v>13</v>
      </c>
      <c r="G1241" t="s">
        <v>14</v>
      </c>
      <c r="H1241">
        <v>199</v>
      </c>
      <c r="I1241">
        <v>3</v>
      </c>
      <c r="J1241">
        <v>597</v>
      </c>
    </row>
    <row r="1242" spans="1:10" x14ac:dyDescent="0.35">
      <c r="A1242" s="3" t="s">
        <v>1287</v>
      </c>
      <c r="B1242" s="4">
        <v>43499</v>
      </c>
      <c r="C1242">
        <v>6</v>
      </c>
      <c r="D1242" t="s">
        <v>48</v>
      </c>
      <c r="E1242" t="s">
        <v>46</v>
      </c>
      <c r="F1242" t="s">
        <v>23</v>
      </c>
      <c r="G1242" t="s">
        <v>31</v>
      </c>
      <c r="H1242">
        <v>69</v>
      </c>
      <c r="I1242">
        <v>5</v>
      </c>
      <c r="J1242">
        <v>345</v>
      </c>
    </row>
    <row r="1243" spans="1:10" x14ac:dyDescent="0.35">
      <c r="A1243" s="3" t="s">
        <v>1288</v>
      </c>
      <c r="B1243" s="4">
        <v>43500</v>
      </c>
      <c r="C1243">
        <v>9</v>
      </c>
      <c r="D1243" t="s">
        <v>21</v>
      </c>
      <c r="E1243" t="s">
        <v>46</v>
      </c>
      <c r="F1243" t="s">
        <v>23</v>
      </c>
      <c r="G1243" t="s">
        <v>19</v>
      </c>
      <c r="H1243">
        <v>289</v>
      </c>
      <c r="I1243">
        <v>0</v>
      </c>
      <c r="J1243">
        <v>0</v>
      </c>
    </row>
    <row r="1244" spans="1:10" x14ac:dyDescent="0.35">
      <c r="A1244" s="3" t="s">
        <v>1289</v>
      </c>
      <c r="B1244" s="4">
        <v>43501</v>
      </c>
      <c r="C1244">
        <v>16</v>
      </c>
      <c r="D1244" t="s">
        <v>30</v>
      </c>
      <c r="E1244" t="s">
        <v>36</v>
      </c>
      <c r="F1244" t="s">
        <v>28</v>
      </c>
      <c r="G1244" t="s">
        <v>19</v>
      </c>
      <c r="H1244">
        <v>289</v>
      </c>
      <c r="I1244">
        <v>9</v>
      </c>
      <c r="J1244">
        <v>2601</v>
      </c>
    </row>
    <row r="1245" spans="1:10" x14ac:dyDescent="0.35">
      <c r="A1245" s="3" t="s">
        <v>1290</v>
      </c>
      <c r="B1245" s="4">
        <v>43501</v>
      </c>
      <c r="C1245">
        <v>16</v>
      </c>
      <c r="D1245" t="s">
        <v>30</v>
      </c>
      <c r="E1245" t="s">
        <v>27</v>
      </c>
      <c r="F1245" t="s">
        <v>28</v>
      </c>
      <c r="G1245" t="s">
        <v>19</v>
      </c>
      <c r="H1245">
        <v>289</v>
      </c>
      <c r="I1245">
        <v>9</v>
      </c>
      <c r="J1245">
        <v>2601</v>
      </c>
    </row>
    <row r="1246" spans="1:10" x14ac:dyDescent="0.35">
      <c r="A1246" s="3" t="s">
        <v>1291</v>
      </c>
      <c r="B1246" s="4">
        <v>43501</v>
      </c>
      <c r="C1246">
        <v>8</v>
      </c>
      <c r="D1246" t="s">
        <v>45</v>
      </c>
      <c r="E1246" t="s">
        <v>22</v>
      </c>
      <c r="F1246" t="s">
        <v>23</v>
      </c>
      <c r="G1246" t="s">
        <v>14</v>
      </c>
      <c r="H1246">
        <v>199</v>
      </c>
      <c r="I1246">
        <v>0</v>
      </c>
      <c r="J1246">
        <v>0</v>
      </c>
    </row>
    <row r="1247" spans="1:10" x14ac:dyDescent="0.35">
      <c r="A1247" s="3" t="s">
        <v>1292</v>
      </c>
      <c r="B1247" s="4">
        <v>43501</v>
      </c>
      <c r="C1247">
        <v>3</v>
      </c>
      <c r="D1247" t="s">
        <v>43</v>
      </c>
      <c r="E1247" t="s">
        <v>68</v>
      </c>
      <c r="F1247" t="s">
        <v>18</v>
      </c>
      <c r="G1247" t="s">
        <v>19</v>
      </c>
      <c r="H1247">
        <v>289</v>
      </c>
      <c r="I1247">
        <v>9</v>
      </c>
      <c r="J1247">
        <v>2601</v>
      </c>
    </row>
    <row r="1248" spans="1:10" x14ac:dyDescent="0.35">
      <c r="A1248" s="3" t="s">
        <v>1293</v>
      </c>
      <c r="B1248" s="4">
        <v>43501</v>
      </c>
      <c r="C1248">
        <v>12</v>
      </c>
      <c r="D1248" t="s">
        <v>66</v>
      </c>
      <c r="E1248" t="s">
        <v>12</v>
      </c>
      <c r="F1248" t="s">
        <v>13</v>
      </c>
      <c r="G1248" t="s">
        <v>24</v>
      </c>
      <c r="H1248">
        <v>159</v>
      </c>
      <c r="I1248">
        <v>2</v>
      </c>
      <c r="J1248">
        <v>318</v>
      </c>
    </row>
    <row r="1249" spans="1:10" x14ac:dyDescent="0.35">
      <c r="A1249" s="3" t="s">
        <v>1294</v>
      </c>
      <c r="B1249" s="4">
        <v>43501</v>
      </c>
      <c r="C1249">
        <v>11</v>
      </c>
      <c r="D1249" t="s">
        <v>11</v>
      </c>
      <c r="E1249" t="s">
        <v>12</v>
      </c>
      <c r="F1249" t="s">
        <v>13</v>
      </c>
      <c r="G1249" t="s">
        <v>31</v>
      </c>
      <c r="H1249">
        <v>69</v>
      </c>
      <c r="I1249">
        <v>4</v>
      </c>
      <c r="J1249">
        <v>276</v>
      </c>
    </row>
    <row r="1250" spans="1:10" x14ac:dyDescent="0.35">
      <c r="A1250" s="3" t="s">
        <v>1295</v>
      </c>
      <c r="B1250" s="4">
        <v>43501</v>
      </c>
      <c r="C1250">
        <v>9</v>
      </c>
      <c r="D1250" t="s">
        <v>21</v>
      </c>
      <c r="E1250" t="s">
        <v>46</v>
      </c>
      <c r="F1250" t="s">
        <v>23</v>
      </c>
      <c r="G1250" t="s">
        <v>41</v>
      </c>
      <c r="H1250">
        <v>399</v>
      </c>
      <c r="I1250">
        <v>7</v>
      </c>
      <c r="J1250">
        <v>2793</v>
      </c>
    </row>
    <row r="1251" spans="1:10" x14ac:dyDescent="0.35">
      <c r="A1251" s="3" t="s">
        <v>1296</v>
      </c>
      <c r="B1251" s="4">
        <v>43501</v>
      </c>
      <c r="C1251">
        <v>3</v>
      </c>
      <c r="D1251" t="s">
        <v>43</v>
      </c>
      <c r="E1251" t="s">
        <v>17</v>
      </c>
      <c r="F1251" t="s">
        <v>18</v>
      </c>
      <c r="G1251" t="s">
        <v>31</v>
      </c>
      <c r="H1251">
        <v>69</v>
      </c>
      <c r="I1251">
        <v>6</v>
      </c>
      <c r="J1251">
        <v>414</v>
      </c>
    </row>
    <row r="1252" spans="1:10" x14ac:dyDescent="0.35">
      <c r="A1252" s="3" t="s">
        <v>1297</v>
      </c>
      <c r="B1252" s="4">
        <v>43501</v>
      </c>
      <c r="C1252">
        <v>3</v>
      </c>
      <c r="D1252" t="s">
        <v>43</v>
      </c>
      <c r="E1252" t="s">
        <v>68</v>
      </c>
      <c r="F1252" t="s">
        <v>18</v>
      </c>
      <c r="G1252" t="s">
        <v>14</v>
      </c>
      <c r="H1252">
        <v>199</v>
      </c>
      <c r="I1252">
        <v>1</v>
      </c>
      <c r="J1252">
        <v>199</v>
      </c>
    </row>
    <row r="1253" spans="1:10" x14ac:dyDescent="0.35">
      <c r="A1253" s="3" t="s">
        <v>1298</v>
      </c>
      <c r="B1253" s="4">
        <v>43502</v>
      </c>
      <c r="C1253">
        <v>9</v>
      </c>
      <c r="D1253" t="s">
        <v>21</v>
      </c>
      <c r="E1253" t="s">
        <v>22</v>
      </c>
      <c r="F1253" t="s">
        <v>23</v>
      </c>
      <c r="G1253" t="s">
        <v>19</v>
      </c>
      <c r="H1253">
        <v>289</v>
      </c>
      <c r="I1253">
        <v>4</v>
      </c>
      <c r="J1253">
        <v>1156</v>
      </c>
    </row>
    <row r="1254" spans="1:10" x14ac:dyDescent="0.35">
      <c r="A1254" s="3" t="s">
        <v>1299</v>
      </c>
      <c r="B1254" s="4">
        <v>43502</v>
      </c>
      <c r="C1254">
        <v>12</v>
      </c>
      <c r="D1254" t="s">
        <v>66</v>
      </c>
      <c r="E1254" t="s">
        <v>63</v>
      </c>
      <c r="F1254" t="s">
        <v>13</v>
      </c>
      <c r="G1254" t="s">
        <v>24</v>
      </c>
      <c r="H1254">
        <v>159</v>
      </c>
      <c r="I1254">
        <v>2</v>
      </c>
      <c r="J1254">
        <v>318</v>
      </c>
    </row>
    <row r="1255" spans="1:10" x14ac:dyDescent="0.35">
      <c r="A1255" s="3" t="s">
        <v>1300</v>
      </c>
      <c r="B1255" s="4">
        <v>43503</v>
      </c>
      <c r="C1255">
        <v>15</v>
      </c>
      <c r="D1255" t="s">
        <v>118</v>
      </c>
      <c r="E1255" t="s">
        <v>12</v>
      </c>
      <c r="F1255" t="s">
        <v>13</v>
      </c>
      <c r="G1255" t="s">
        <v>14</v>
      </c>
      <c r="H1255">
        <v>199</v>
      </c>
      <c r="I1255">
        <v>8</v>
      </c>
      <c r="J1255">
        <v>1592</v>
      </c>
    </row>
    <row r="1256" spans="1:10" x14ac:dyDescent="0.35">
      <c r="A1256" s="3" t="s">
        <v>1301</v>
      </c>
      <c r="B1256" s="4">
        <v>43503</v>
      </c>
      <c r="C1256">
        <v>14</v>
      </c>
      <c r="D1256" t="s">
        <v>38</v>
      </c>
      <c r="E1256" t="s">
        <v>12</v>
      </c>
      <c r="F1256" t="s">
        <v>13</v>
      </c>
      <c r="G1256" t="s">
        <v>41</v>
      </c>
      <c r="H1256">
        <v>399</v>
      </c>
      <c r="I1256">
        <v>4</v>
      </c>
      <c r="J1256">
        <v>1596</v>
      </c>
    </row>
    <row r="1257" spans="1:10" x14ac:dyDescent="0.35">
      <c r="A1257" s="3" t="s">
        <v>1302</v>
      </c>
      <c r="B1257" s="4">
        <v>43503</v>
      </c>
      <c r="C1257">
        <v>8</v>
      </c>
      <c r="D1257" t="s">
        <v>45</v>
      </c>
      <c r="E1257" t="s">
        <v>22</v>
      </c>
      <c r="F1257" t="s">
        <v>23</v>
      </c>
      <c r="G1257" t="s">
        <v>41</v>
      </c>
      <c r="H1257">
        <v>399</v>
      </c>
      <c r="I1257">
        <v>9</v>
      </c>
      <c r="J1257">
        <v>3591</v>
      </c>
    </row>
    <row r="1258" spans="1:10" x14ac:dyDescent="0.35">
      <c r="A1258" s="3" t="s">
        <v>1303</v>
      </c>
      <c r="B1258" s="4">
        <v>43504</v>
      </c>
      <c r="C1258">
        <v>14</v>
      </c>
      <c r="D1258" t="s">
        <v>38</v>
      </c>
      <c r="E1258" t="s">
        <v>63</v>
      </c>
      <c r="F1258" t="s">
        <v>13</v>
      </c>
      <c r="G1258" t="s">
        <v>24</v>
      </c>
      <c r="H1258">
        <v>159</v>
      </c>
      <c r="I1258">
        <v>8</v>
      </c>
      <c r="J1258">
        <v>1272</v>
      </c>
    </row>
    <row r="1259" spans="1:10" x14ac:dyDescent="0.35">
      <c r="A1259" s="3" t="s">
        <v>1304</v>
      </c>
      <c r="B1259" s="4">
        <v>43504</v>
      </c>
      <c r="C1259">
        <v>11</v>
      </c>
      <c r="D1259" t="s">
        <v>11</v>
      </c>
      <c r="E1259" t="s">
        <v>12</v>
      </c>
      <c r="F1259" t="s">
        <v>13</v>
      </c>
      <c r="G1259" t="s">
        <v>31</v>
      </c>
      <c r="H1259">
        <v>69</v>
      </c>
      <c r="I1259">
        <v>6</v>
      </c>
      <c r="J1259">
        <v>414</v>
      </c>
    </row>
    <row r="1260" spans="1:10" x14ac:dyDescent="0.35">
      <c r="A1260" s="3" t="s">
        <v>1305</v>
      </c>
      <c r="B1260" s="4">
        <v>43505</v>
      </c>
      <c r="C1260">
        <v>7</v>
      </c>
      <c r="D1260" t="s">
        <v>88</v>
      </c>
      <c r="E1260" t="s">
        <v>22</v>
      </c>
      <c r="F1260" t="s">
        <v>23</v>
      </c>
      <c r="G1260" t="s">
        <v>41</v>
      </c>
      <c r="H1260">
        <v>399</v>
      </c>
      <c r="I1260">
        <v>5</v>
      </c>
      <c r="J1260">
        <v>1995</v>
      </c>
    </row>
    <row r="1261" spans="1:10" x14ac:dyDescent="0.35">
      <c r="A1261" s="3" t="s">
        <v>1306</v>
      </c>
      <c r="B1261" s="4">
        <v>43505</v>
      </c>
      <c r="C1261">
        <v>8</v>
      </c>
      <c r="D1261" t="s">
        <v>45</v>
      </c>
      <c r="E1261" t="s">
        <v>46</v>
      </c>
      <c r="F1261" t="s">
        <v>23</v>
      </c>
      <c r="G1261" t="s">
        <v>14</v>
      </c>
      <c r="H1261">
        <v>199</v>
      </c>
      <c r="I1261">
        <v>3</v>
      </c>
      <c r="J1261">
        <v>597</v>
      </c>
    </row>
    <row r="1262" spans="1:10" x14ac:dyDescent="0.35">
      <c r="A1262" s="3" t="s">
        <v>1307</v>
      </c>
      <c r="B1262" s="4">
        <v>43506</v>
      </c>
      <c r="C1262">
        <v>5</v>
      </c>
      <c r="D1262" t="s">
        <v>60</v>
      </c>
      <c r="E1262" t="s">
        <v>68</v>
      </c>
      <c r="F1262" t="s">
        <v>18</v>
      </c>
      <c r="G1262" t="s">
        <v>14</v>
      </c>
      <c r="H1262">
        <v>199</v>
      </c>
      <c r="I1262">
        <v>5</v>
      </c>
      <c r="J1262">
        <v>995</v>
      </c>
    </row>
    <row r="1263" spans="1:10" x14ac:dyDescent="0.35">
      <c r="A1263" s="3" t="s">
        <v>1308</v>
      </c>
      <c r="B1263" s="4">
        <v>43506</v>
      </c>
      <c r="C1263">
        <v>13</v>
      </c>
      <c r="D1263" t="s">
        <v>33</v>
      </c>
      <c r="E1263" t="s">
        <v>63</v>
      </c>
      <c r="F1263" t="s">
        <v>13</v>
      </c>
      <c r="G1263" t="s">
        <v>24</v>
      </c>
      <c r="H1263">
        <v>159</v>
      </c>
      <c r="I1263">
        <v>8</v>
      </c>
      <c r="J1263">
        <v>1272</v>
      </c>
    </row>
    <row r="1264" spans="1:10" x14ac:dyDescent="0.35">
      <c r="A1264" s="3" t="s">
        <v>1309</v>
      </c>
      <c r="B1264" s="4">
        <v>43507</v>
      </c>
      <c r="C1264">
        <v>20</v>
      </c>
      <c r="D1264" t="s">
        <v>40</v>
      </c>
      <c r="E1264" t="s">
        <v>27</v>
      </c>
      <c r="F1264" t="s">
        <v>28</v>
      </c>
      <c r="G1264" t="s">
        <v>41</v>
      </c>
      <c r="H1264">
        <v>399</v>
      </c>
      <c r="I1264">
        <v>2</v>
      </c>
      <c r="J1264">
        <v>798</v>
      </c>
    </row>
    <row r="1265" spans="1:10" x14ac:dyDescent="0.35">
      <c r="A1265" s="3" t="s">
        <v>1310</v>
      </c>
      <c r="B1265" s="4">
        <v>43508</v>
      </c>
      <c r="C1265">
        <v>10</v>
      </c>
      <c r="D1265" t="s">
        <v>58</v>
      </c>
      <c r="E1265" t="s">
        <v>22</v>
      </c>
      <c r="F1265" t="s">
        <v>23</v>
      </c>
      <c r="G1265" t="s">
        <v>41</v>
      </c>
      <c r="H1265">
        <v>399</v>
      </c>
      <c r="I1265">
        <v>5</v>
      </c>
      <c r="J1265">
        <v>1995</v>
      </c>
    </row>
    <row r="1266" spans="1:10" x14ac:dyDescent="0.35">
      <c r="A1266" s="3" t="s">
        <v>1311</v>
      </c>
      <c r="B1266" s="4">
        <v>43509</v>
      </c>
      <c r="C1266">
        <v>13</v>
      </c>
      <c r="D1266" t="s">
        <v>33</v>
      </c>
      <c r="E1266" t="s">
        <v>12</v>
      </c>
      <c r="F1266" t="s">
        <v>13</v>
      </c>
      <c r="G1266" t="s">
        <v>24</v>
      </c>
      <c r="H1266">
        <v>159</v>
      </c>
      <c r="I1266">
        <v>3</v>
      </c>
      <c r="J1266">
        <v>477</v>
      </c>
    </row>
    <row r="1267" spans="1:10" x14ac:dyDescent="0.35">
      <c r="A1267" s="3" t="s">
        <v>1312</v>
      </c>
      <c r="B1267" s="4">
        <v>43509</v>
      </c>
      <c r="C1267">
        <v>8</v>
      </c>
      <c r="D1267" t="s">
        <v>45</v>
      </c>
      <c r="E1267" t="s">
        <v>46</v>
      </c>
      <c r="F1267" t="s">
        <v>23</v>
      </c>
      <c r="G1267" t="s">
        <v>14</v>
      </c>
      <c r="H1267">
        <v>199</v>
      </c>
      <c r="I1267">
        <v>7</v>
      </c>
      <c r="J1267">
        <v>1393</v>
      </c>
    </row>
    <row r="1268" spans="1:10" x14ac:dyDescent="0.35">
      <c r="A1268" s="3" t="s">
        <v>1313</v>
      </c>
      <c r="B1268" s="4">
        <v>43509</v>
      </c>
      <c r="C1268">
        <v>17</v>
      </c>
      <c r="D1268" t="s">
        <v>35</v>
      </c>
      <c r="E1268" t="s">
        <v>27</v>
      </c>
      <c r="F1268" t="s">
        <v>28</v>
      </c>
      <c r="G1268" t="s">
        <v>14</v>
      </c>
      <c r="H1268">
        <v>199</v>
      </c>
      <c r="I1268">
        <v>9</v>
      </c>
      <c r="J1268">
        <v>1791</v>
      </c>
    </row>
    <row r="1269" spans="1:10" x14ac:dyDescent="0.35">
      <c r="A1269" s="3" t="s">
        <v>1314</v>
      </c>
      <c r="B1269" s="4">
        <v>43510</v>
      </c>
      <c r="C1269">
        <v>2</v>
      </c>
      <c r="D1269" t="s">
        <v>106</v>
      </c>
      <c r="E1269" t="s">
        <v>17</v>
      </c>
      <c r="F1269" t="s">
        <v>18</v>
      </c>
      <c r="G1269" t="s">
        <v>31</v>
      </c>
      <c r="H1269">
        <v>69</v>
      </c>
      <c r="I1269">
        <v>9</v>
      </c>
      <c r="J1269">
        <v>621</v>
      </c>
    </row>
    <row r="1270" spans="1:10" x14ac:dyDescent="0.35">
      <c r="A1270" s="3" t="s">
        <v>1315</v>
      </c>
      <c r="B1270" s="4">
        <v>43510</v>
      </c>
      <c r="C1270">
        <v>13</v>
      </c>
      <c r="D1270" t="s">
        <v>33</v>
      </c>
      <c r="E1270" t="s">
        <v>12</v>
      </c>
      <c r="F1270" t="s">
        <v>13</v>
      </c>
      <c r="G1270" t="s">
        <v>41</v>
      </c>
      <c r="H1270">
        <v>399</v>
      </c>
      <c r="I1270">
        <v>6</v>
      </c>
      <c r="J1270">
        <v>2394</v>
      </c>
    </row>
    <row r="1271" spans="1:10" x14ac:dyDescent="0.35">
      <c r="A1271" s="3" t="s">
        <v>1316</v>
      </c>
      <c r="B1271" s="4">
        <v>43511</v>
      </c>
      <c r="C1271">
        <v>1</v>
      </c>
      <c r="D1271" t="s">
        <v>16</v>
      </c>
      <c r="E1271" t="s">
        <v>68</v>
      </c>
      <c r="F1271" t="s">
        <v>18</v>
      </c>
      <c r="G1271" t="s">
        <v>19</v>
      </c>
      <c r="H1271">
        <v>289</v>
      </c>
      <c r="I1271">
        <v>7</v>
      </c>
      <c r="J1271">
        <v>2023</v>
      </c>
    </row>
    <row r="1272" spans="1:10" x14ac:dyDescent="0.35">
      <c r="A1272" s="3" t="s">
        <v>1317</v>
      </c>
      <c r="B1272" s="4">
        <v>43512</v>
      </c>
      <c r="C1272">
        <v>16</v>
      </c>
      <c r="D1272" t="s">
        <v>30</v>
      </c>
      <c r="E1272" t="s">
        <v>27</v>
      </c>
      <c r="F1272" t="s">
        <v>28</v>
      </c>
      <c r="G1272" t="s">
        <v>14</v>
      </c>
      <c r="H1272">
        <v>199</v>
      </c>
      <c r="I1272">
        <v>1</v>
      </c>
      <c r="J1272">
        <v>199</v>
      </c>
    </row>
    <row r="1273" spans="1:10" x14ac:dyDescent="0.35">
      <c r="A1273" s="3" t="s">
        <v>1318</v>
      </c>
      <c r="B1273" s="4">
        <v>43513</v>
      </c>
      <c r="C1273">
        <v>11</v>
      </c>
      <c r="D1273" t="s">
        <v>11</v>
      </c>
      <c r="E1273" t="s">
        <v>63</v>
      </c>
      <c r="F1273" t="s">
        <v>13</v>
      </c>
      <c r="G1273" t="s">
        <v>19</v>
      </c>
      <c r="H1273">
        <v>289</v>
      </c>
      <c r="I1273">
        <v>4</v>
      </c>
      <c r="J1273">
        <v>1156</v>
      </c>
    </row>
    <row r="1274" spans="1:10" x14ac:dyDescent="0.35">
      <c r="A1274" s="3" t="s">
        <v>1319</v>
      </c>
      <c r="B1274" s="4">
        <v>43514</v>
      </c>
      <c r="C1274">
        <v>20</v>
      </c>
      <c r="D1274" t="s">
        <v>40</v>
      </c>
      <c r="E1274" t="s">
        <v>36</v>
      </c>
      <c r="F1274" t="s">
        <v>28</v>
      </c>
      <c r="G1274" t="s">
        <v>14</v>
      </c>
      <c r="H1274">
        <v>199</v>
      </c>
      <c r="I1274">
        <v>5</v>
      </c>
      <c r="J1274">
        <v>995</v>
      </c>
    </row>
    <row r="1275" spans="1:10" x14ac:dyDescent="0.35">
      <c r="A1275" s="3" t="s">
        <v>1320</v>
      </c>
      <c r="B1275" s="4">
        <v>43514</v>
      </c>
      <c r="C1275">
        <v>5</v>
      </c>
      <c r="D1275" t="s">
        <v>60</v>
      </c>
      <c r="E1275" t="s">
        <v>68</v>
      </c>
      <c r="F1275" t="s">
        <v>18</v>
      </c>
      <c r="G1275" t="s">
        <v>19</v>
      </c>
      <c r="H1275">
        <v>289</v>
      </c>
      <c r="I1275">
        <v>0</v>
      </c>
      <c r="J1275">
        <v>0</v>
      </c>
    </row>
    <row r="1276" spans="1:10" x14ac:dyDescent="0.35">
      <c r="A1276" s="3" t="s">
        <v>1321</v>
      </c>
      <c r="B1276" s="4">
        <v>43514</v>
      </c>
      <c r="C1276">
        <v>8</v>
      </c>
      <c r="D1276" t="s">
        <v>45</v>
      </c>
      <c r="E1276" t="s">
        <v>46</v>
      </c>
      <c r="F1276" t="s">
        <v>23</v>
      </c>
      <c r="G1276" t="s">
        <v>41</v>
      </c>
      <c r="H1276">
        <v>399</v>
      </c>
      <c r="I1276">
        <v>7</v>
      </c>
      <c r="J1276">
        <v>2793</v>
      </c>
    </row>
    <row r="1277" spans="1:10" x14ac:dyDescent="0.35">
      <c r="A1277" s="3" t="s">
        <v>1322</v>
      </c>
      <c r="B1277" s="4">
        <v>43514</v>
      </c>
      <c r="C1277">
        <v>14</v>
      </c>
      <c r="D1277" t="s">
        <v>38</v>
      </c>
      <c r="E1277" t="s">
        <v>63</v>
      </c>
      <c r="F1277" t="s">
        <v>13</v>
      </c>
      <c r="G1277" t="s">
        <v>41</v>
      </c>
      <c r="H1277">
        <v>399</v>
      </c>
      <c r="I1277">
        <v>9</v>
      </c>
      <c r="J1277">
        <v>3591</v>
      </c>
    </row>
    <row r="1278" spans="1:10" x14ac:dyDescent="0.35">
      <c r="A1278" s="3" t="s">
        <v>1323</v>
      </c>
      <c r="B1278" s="4">
        <v>43515</v>
      </c>
      <c r="C1278">
        <v>9</v>
      </c>
      <c r="D1278" t="s">
        <v>21</v>
      </c>
      <c r="E1278" t="s">
        <v>22</v>
      </c>
      <c r="F1278" t="s">
        <v>23</v>
      </c>
      <c r="G1278" t="s">
        <v>41</v>
      </c>
      <c r="H1278">
        <v>399</v>
      </c>
      <c r="I1278">
        <v>5</v>
      </c>
      <c r="J1278">
        <v>1995</v>
      </c>
    </row>
    <row r="1279" spans="1:10" x14ac:dyDescent="0.35">
      <c r="A1279" s="3" t="s">
        <v>1324</v>
      </c>
      <c r="B1279" s="4">
        <v>43515</v>
      </c>
      <c r="C1279">
        <v>3</v>
      </c>
      <c r="D1279" t="s">
        <v>43</v>
      </c>
      <c r="E1279" t="s">
        <v>68</v>
      </c>
      <c r="F1279" t="s">
        <v>18</v>
      </c>
      <c r="G1279" t="s">
        <v>41</v>
      </c>
      <c r="H1279">
        <v>399</v>
      </c>
      <c r="I1279">
        <v>7</v>
      </c>
      <c r="J1279">
        <v>2793</v>
      </c>
    </row>
    <row r="1280" spans="1:10" x14ac:dyDescent="0.35">
      <c r="A1280" s="3" t="s">
        <v>1325</v>
      </c>
      <c r="B1280" s="4">
        <v>43515</v>
      </c>
      <c r="C1280">
        <v>17</v>
      </c>
      <c r="D1280" t="s">
        <v>35</v>
      </c>
      <c r="E1280" t="s">
        <v>27</v>
      </c>
      <c r="F1280" t="s">
        <v>28</v>
      </c>
      <c r="G1280" t="s">
        <v>31</v>
      </c>
      <c r="H1280">
        <v>69</v>
      </c>
      <c r="I1280">
        <v>4</v>
      </c>
      <c r="J1280">
        <v>276</v>
      </c>
    </row>
    <row r="1281" spans="1:10" x14ac:dyDescent="0.35">
      <c r="A1281" s="3" t="s">
        <v>1326</v>
      </c>
      <c r="B1281" s="4">
        <v>43515</v>
      </c>
      <c r="C1281">
        <v>3</v>
      </c>
      <c r="D1281" t="s">
        <v>43</v>
      </c>
      <c r="E1281" t="s">
        <v>17</v>
      </c>
      <c r="F1281" t="s">
        <v>18</v>
      </c>
      <c r="G1281" t="s">
        <v>19</v>
      </c>
      <c r="H1281">
        <v>289</v>
      </c>
      <c r="I1281">
        <v>7</v>
      </c>
      <c r="J1281">
        <v>2023</v>
      </c>
    </row>
    <row r="1282" spans="1:10" x14ac:dyDescent="0.35">
      <c r="A1282" s="3" t="s">
        <v>1327</v>
      </c>
      <c r="B1282" s="4">
        <v>43515</v>
      </c>
      <c r="C1282">
        <v>19</v>
      </c>
      <c r="D1282" t="s">
        <v>56</v>
      </c>
      <c r="E1282" t="s">
        <v>27</v>
      </c>
      <c r="F1282" t="s">
        <v>28</v>
      </c>
      <c r="G1282" t="s">
        <v>14</v>
      </c>
      <c r="H1282">
        <v>199</v>
      </c>
      <c r="I1282">
        <v>0</v>
      </c>
      <c r="J1282">
        <v>0</v>
      </c>
    </row>
    <row r="1283" spans="1:10" x14ac:dyDescent="0.35">
      <c r="A1283" s="3" t="s">
        <v>1328</v>
      </c>
      <c r="B1283" s="4">
        <v>43515</v>
      </c>
      <c r="C1283">
        <v>6</v>
      </c>
      <c r="D1283" t="s">
        <v>48</v>
      </c>
      <c r="E1283" t="s">
        <v>22</v>
      </c>
      <c r="F1283" t="s">
        <v>23</v>
      </c>
      <c r="G1283" t="s">
        <v>31</v>
      </c>
      <c r="H1283">
        <v>69</v>
      </c>
      <c r="I1283">
        <v>8</v>
      </c>
      <c r="J1283">
        <v>552</v>
      </c>
    </row>
    <row r="1284" spans="1:10" x14ac:dyDescent="0.35">
      <c r="A1284" s="3" t="s">
        <v>1329</v>
      </c>
      <c r="B1284" s="4">
        <v>43515</v>
      </c>
      <c r="C1284">
        <v>7</v>
      </c>
      <c r="D1284" t="s">
        <v>88</v>
      </c>
      <c r="E1284" t="s">
        <v>22</v>
      </c>
      <c r="F1284" t="s">
        <v>23</v>
      </c>
      <c r="G1284" t="s">
        <v>41</v>
      </c>
      <c r="H1284">
        <v>399</v>
      </c>
      <c r="I1284">
        <v>3</v>
      </c>
      <c r="J1284">
        <v>1197</v>
      </c>
    </row>
    <row r="1285" spans="1:10" x14ac:dyDescent="0.35">
      <c r="A1285" s="3" t="s">
        <v>1330</v>
      </c>
      <c r="B1285" s="4">
        <v>43515</v>
      </c>
      <c r="C1285">
        <v>8</v>
      </c>
      <c r="D1285" t="s">
        <v>45</v>
      </c>
      <c r="E1285" t="s">
        <v>46</v>
      </c>
      <c r="F1285" t="s">
        <v>23</v>
      </c>
      <c r="G1285" t="s">
        <v>14</v>
      </c>
      <c r="H1285">
        <v>199</v>
      </c>
      <c r="I1285">
        <v>5</v>
      </c>
      <c r="J1285">
        <v>995</v>
      </c>
    </row>
    <row r="1286" spans="1:10" x14ac:dyDescent="0.35">
      <c r="A1286" s="3" t="s">
        <v>1331</v>
      </c>
      <c r="B1286" s="4">
        <v>43515</v>
      </c>
      <c r="C1286">
        <v>2</v>
      </c>
      <c r="D1286" t="s">
        <v>106</v>
      </c>
      <c r="E1286" t="s">
        <v>68</v>
      </c>
      <c r="F1286" t="s">
        <v>18</v>
      </c>
      <c r="G1286" t="s">
        <v>31</v>
      </c>
      <c r="H1286">
        <v>69</v>
      </c>
      <c r="I1286">
        <v>8</v>
      </c>
      <c r="J1286">
        <v>552</v>
      </c>
    </row>
    <row r="1287" spans="1:10" x14ac:dyDescent="0.35">
      <c r="A1287" s="3" t="s">
        <v>1332</v>
      </c>
      <c r="B1287" s="4">
        <v>43515</v>
      </c>
      <c r="C1287">
        <v>3</v>
      </c>
      <c r="D1287" t="s">
        <v>43</v>
      </c>
      <c r="E1287" t="s">
        <v>17</v>
      </c>
      <c r="F1287" t="s">
        <v>18</v>
      </c>
      <c r="G1287" t="s">
        <v>19</v>
      </c>
      <c r="H1287">
        <v>289</v>
      </c>
      <c r="I1287">
        <v>7</v>
      </c>
      <c r="J1287">
        <v>2023</v>
      </c>
    </row>
    <row r="1288" spans="1:10" x14ac:dyDescent="0.35">
      <c r="A1288" s="3" t="s">
        <v>1333</v>
      </c>
      <c r="B1288" s="4">
        <v>43515</v>
      </c>
      <c r="C1288">
        <v>16</v>
      </c>
      <c r="D1288" t="s">
        <v>30</v>
      </c>
      <c r="E1288" t="s">
        <v>27</v>
      </c>
      <c r="F1288" t="s">
        <v>28</v>
      </c>
      <c r="G1288" t="s">
        <v>41</v>
      </c>
      <c r="H1288">
        <v>399</v>
      </c>
      <c r="I1288">
        <v>7</v>
      </c>
      <c r="J1288">
        <v>2793</v>
      </c>
    </row>
    <row r="1289" spans="1:10" x14ac:dyDescent="0.35">
      <c r="A1289" s="3" t="s">
        <v>1334</v>
      </c>
      <c r="B1289" s="4">
        <v>43515</v>
      </c>
      <c r="C1289">
        <v>7</v>
      </c>
      <c r="D1289" t="s">
        <v>88</v>
      </c>
      <c r="E1289" t="s">
        <v>46</v>
      </c>
      <c r="F1289" t="s">
        <v>23</v>
      </c>
      <c r="G1289" t="s">
        <v>14</v>
      </c>
      <c r="H1289">
        <v>199</v>
      </c>
      <c r="I1289">
        <v>1</v>
      </c>
      <c r="J1289">
        <v>199</v>
      </c>
    </row>
    <row r="1290" spans="1:10" x14ac:dyDescent="0.35">
      <c r="A1290" s="3" t="s">
        <v>1335</v>
      </c>
      <c r="B1290" s="4">
        <v>43515</v>
      </c>
      <c r="C1290">
        <v>17</v>
      </c>
      <c r="D1290" t="s">
        <v>35</v>
      </c>
      <c r="E1290" t="s">
        <v>36</v>
      </c>
      <c r="F1290" t="s">
        <v>28</v>
      </c>
      <c r="G1290" t="s">
        <v>14</v>
      </c>
      <c r="H1290">
        <v>199</v>
      </c>
      <c r="I1290">
        <v>4</v>
      </c>
      <c r="J1290">
        <v>796</v>
      </c>
    </row>
    <row r="1291" spans="1:10" x14ac:dyDescent="0.35">
      <c r="A1291" s="3" t="s">
        <v>1336</v>
      </c>
      <c r="B1291" s="4">
        <v>43515</v>
      </c>
      <c r="C1291">
        <v>14</v>
      </c>
      <c r="D1291" t="s">
        <v>38</v>
      </c>
      <c r="E1291" t="s">
        <v>63</v>
      </c>
      <c r="F1291" t="s">
        <v>13</v>
      </c>
      <c r="G1291" t="s">
        <v>19</v>
      </c>
      <c r="H1291">
        <v>289</v>
      </c>
      <c r="I1291">
        <v>9</v>
      </c>
      <c r="J1291">
        <v>2601</v>
      </c>
    </row>
    <row r="1292" spans="1:10" x14ac:dyDescent="0.35">
      <c r="A1292" s="3" t="s">
        <v>1337</v>
      </c>
      <c r="B1292" s="4">
        <v>43516</v>
      </c>
      <c r="C1292">
        <v>8</v>
      </c>
      <c r="D1292" t="s">
        <v>45</v>
      </c>
      <c r="E1292" t="s">
        <v>46</v>
      </c>
      <c r="F1292" t="s">
        <v>23</v>
      </c>
      <c r="G1292" t="s">
        <v>19</v>
      </c>
      <c r="H1292">
        <v>289</v>
      </c>
      <c r="I1292">
        <v>5</v>
      </c>
      <c r="J1292">
        <v>1445</v>
      </c>
    </row>
    <row r="1293" spans="1:10" x14ac:dyDescent="0.35">
      <c r="A1293" s="3" t="s">
        <v>1338</v>
      </c>
      <c r="B1293" s="4">
        <v>43516</v>
      </c>
      <c r="C1293">
        <v>2</v>
      </c>
      <c r="D1293" t="s">
        <v>106</v>
      </c>
      <c r="E1293" t="s">
        <v>17</v>
      </c>
      <c r="F1293" t="s">
        <v>18</v>
      </c>
      <c r="G1293" t="s">
        <v>14</v>
      </c>
      <c r="H1293">
        <v>199</v>
      </c>
      <c r="I1293">
        <v>3</v>
      </c>
      <c r="J1293">
        <v>597</v>
      </c>
    </row>
    <row r="1294" spans="1:10" x14ac:dyDescent="0.35">
      <c r="A1294" s="3" t="s">
        <v>1339</v>
      </c>
      <c r="B1294" s="4">
        <v>43516</v>
      </c>
      <c r="C1294">
        <v>9</v>
      </c>
      <c r="D1294" t="s">
        <v>21</v>
      </c>
      <c r="E1294" t="s">
        <v>46</v>
      </c>
      <c r="F1294" t="s">
        <v>23</v>
      </c>
      <c r="G1294" t="s">
        <v>24</v>
      </c>
      <c r="H1294">
        <v>159</v>
      </c>
      <c r="I1294">
        <v>2</v>
      </c>
      <c r="J1294">
        <v>318</v>
      </c>
    </row>
    <row r="1295" spans="1:10" x14ac:dyDescent="0.35">
      <c r="A1295" s="3" t="s">
        <v>1340</v>
      </c>
      <c r="B1295" s="4">
        <v>43517</v>
      </c>
      <c r="C1295">
        <v>8</v>
      </c>
      <c r="D1295" t="s">
        <v>45</v>
      </c>
      <c r="E1295" t="s">
        <v>46</v>
      </c>
      <c r="F1295" t="s">
        <v>23</v>
      </c>
      <c r="G1295" t="s">
        <v>19</v>
      </c>
      <c r="H1295">
        <v>289</v>
      </c>
      <c r="I1295">
        <v>1</v>
      </c>
      <c r="J1295">
        <v>289</v>
      </c>
    </row>
    <row r="1296" spans="1:10" x14ac:dyDescent="0.35">
      <c r="A1296" s="3" t="s">
        <v>1341</v>
      </c>
      <c r="B1296" s="4">
        <v>43517</v>
      </c>
      <c r="C1296">
        <v>18</v>
      </c>
      <c r="D1296" t="s">
        <v>26</v>
      </c>
      <c r="E1296" t="s">
        <v>27</v>
      </c>
      <c r="F1296" t="s">
        <v>28</v>
      </c>
      <c r="G1296" t="s">
        <v>41</v>
      </c>
      <c r="H1296">
        <v>399</v>
      </c>
      <c r="I1296">
        <v>3</v>
      </c>
      <c r="J1296">
        <v>1197</v>
      </c>
    </row>
    <row r="1297" spans="1:10" x14ac:dyDescent="0.35">
      <c r="A1297" s="3" t="s">
        <v>1342</v>
      </c>
      <c r="B1297" s="4">
        <v>43518</v>
      </c>
      <c r="C1297">
        <v>20</v>
      </c>
      <c r="D1297" t="s">
        <v>40</v>
      </c>
      <c r="E1297" t="s">
        <v>27</v>
      </c>
      <c r="F1297" t="s">
        <v>28</v>
      </c>
      <c r="G1297" t="s">
        <v>19</v>
      </c>
      <c r="H1297">
        <v>289</v>
      </c>
      <c r="I1297">
        <v>0</v>
      </c>
      <c r="J1297">
        <v>0</v>
      </c>
    </row>
    <row r="1298" spans="1:10" x14ac:dyDescent="0.35">
      <c r="A1298" s="3" t="s">
        <v>1343</v>
      </c>
      <c r="B1298" s="4">
        <v>43518</v>
      </c>
      <c r="C1298">
        <v>13</v>
      </c>
      <c r="D1298" t="s">
        <v>33</v>
      </c>
      <c r="E1298" t="s">
        <v>12</v>
      </c>
      <c r="F1298" t="s">
        <v>13</v>
      </c>
      <c r="G1298" t="s">
        <v>19</v>
      </c>
      <c r="H1298">
        <v>289</v>
      </c>
      <c r="I1298">
        <v>7</v>
      </c>
      <c r="J1298">
        <v>2023</v>
      </c>
    </row>
    <row r="1299" spans="1:10" x14ac:dyDescent="0.35">
      <c r="A1299" s="3" t="s">
        <v>1344</v>
      </c>
      <c r="B1299" s="4">
        <v>43518</v>
      </c>
      <c r="C1299">
        <v>3</v>
      </c>
      <c r="D1299" t="s">
        <v>43</v>
      </c>
      <c r="E1299" t="s">
        <v>68</v>
      </c>
      <c r="F1299" t="s">
        <v>18</v>
      </c>
      <c r="G1299" t="s">
        <v>41</v>
      </c>
      <c r="H1299">
        <v>399</v>
      </c>
      <c r="I1299">
        <v>3</v>
      </c>
      <c r="J1299">
        <v>1197</v>
      </c>
    </row>
    <row r="1300" spans="1:10" x14ac:dyDescent="0.35">
      <c r="A1300" s="3" t="s">
        <v>1345</v>
      </c>
      <c r="B1300" s="4">
        <v>43518</v>
      </c>
      <c r="C1300">
        <v>16</v>
      </c>
      <c r="D1300" t="s">
        <v>30</v>
      </c>
      <c r="E1300" t="s">
        <v>36</v>
      </c>
      <c r="F1300" t="s">
        <v>28</v>
      </c>
      <c r="G1300" t="s">
        <v>14</v>
      </c>
      <c r="H1300">
        <v>199</v>
      </c>
      <c r="I1300">
        <v>2</v>
      </c>
      <c r="J1300">
        <v>398</v>
      </c>
    </row>
    <row r="1301" spans="1:10" x14ac:dyDescent="0.35">
      <c r="A1301" s="3" t="s">
        <v>1346</v>
      </c>
      <c r="B1301" s="4">
        <v>43518</v>
      </c>
      <c r="C1301">
        <v>16</v>
      </c>
      <c r="D1301" t="s">
        <v>30</v>
      </c>
      <c r="E1301" t="s">
        <v>27</v>
      </c>
      <c r="F1301" t="s">
        <v>28</v>
      </c>
      <c r="G1301" t="s">
        <v>19</v>
      </c>
      <c r="H1301">
        <v>289</v>
      </c>
      <c r="I1301">
        <v>3</v>
      </c>
      <c r="J1301">
        <v>867</v>
      </c>
    </row>
    <row r="1302" spans="1:10" x14ac:dyDescent="0.35">
      <c r="A1302" s="3" t="s">
        <v>1347</v>
      </c>
      <c r="B1302" s="4">
        <v>43518</v>
      </c>
      <c r="C1302">
        <v>3</v>
      </c>
      <c r="D1302" t="s">
        <v>43</v>
      </c>
      <c r="E1302" t="s">
        <v>68</v>
      </c>
      <c r="F1302" t="s">
        <v>18</v>
      </c>
      <c r="G1302" t="s">
        <v>14</v>
      </c>
      <c r="H1302">
        <v>199</v>
      </c>
      <c r="I1302">
        <v>9</v>
      </c>
      <c r="J1302">
        <v>1791</v>
      </c>
    </row>
    <row r="1303" spans="1:10" x14ac:dyDescent="0.35">
      <c r="A1303" s="3" t="s">
        <v>1348</v>
      </c>
      <c r="B1303" s="4">
        <v>43518</v>
      </c>
      <c r="C1303">
        <v>20</v>
      </c>
      <c r="D1303" t="s">
        <v>40</v>
      </c>
      <c r="E1303" t="s">
        <v>36</v>
      </c>
      <c r="F1303" t="s">
        <v>28</v>
      </c>
      <c r="G1303" t="s">
        <v>19</v>
      </c>
      <c r="H1303">
        <v>289</v>
      </c>
      <c r="I1303">
        <v>0</v>
      </c>
      <c r="J1303">
        <v>0</v>
      </c>
    </row>
    <row r="1304" spans="1:10" x14ac:dyDescent="0.35">
      <c r="A1304" s="3" t="s">
        <v>1349</v>
      </c>
      <c r="B1304" s="4">
        <v>43518</v>
      </c>
      <c r="C1304">
        <v>3</v>
      </c>
      <c r="D1304" t="s">
        <v>43</v>
      </c>
      <c r="E1304" t="s">
        <v>17</v>
      </c>
      <c r="F1304" t="s">
        <v>18</v>
      </c>
      <c r="G1304" t="s">
        <v>19</v>
      </c>
      <c r="H1304">
        <v>289</v>
      </c>
      <c r="I1304">
        <v>7</v>
      </c>
      <c r="J1304">
        <v>2023</v>
      </c>
    </row>
    <row r="1305" spans="1:10" x14ac:dyDescent="0.35">
      <c r="A1305" s="3" t="s">
        <v>1350</v>
      </c>
      <c r="B1305" s="4">
        <v>43519</v>
      </c>
      <c r="C1305">
        <v>8</v>
      </c>
      <c r="D1305" t="s">
        <v>45</v>
      </c>
      <c r="E1305" t="s">
        <v>22</v>
      </c>
      <c r="F1305" t="s">
        <v>23</v>
      </c>
      <c r="G1305" t="s">
        <v>41</v>
      </c>
      <c r="H1305">
        <v>399</v>
      </c>
      <c r="I1305">
        <v>5</v>
      </c>
      <c r="J1305">
        <v>1995</v>
      </c>
    </row>
    <row r="1306" spans="1:10" x14ac:dyDescent="0.35">
      <c r="A1306" s="3" t="s">
        <v>1351</v>
      </c>
      <c r="B1306" s="4">
        <v>43519</v>
      </c>
      <c r="C1306">
        <v>6</v>
      </c>
      <c r="D1306" t="s">
        <v>48</v>
      </c>
      <c r="E1306" t="s">
        <v>46</v>
      </c>
      <c r="F1306" t="s">
        <v>23</v>
      </c>
      <c r="G1306" t="s">
        <v>14</v>
      </c>
      <c r="H1306">
        <v>199</v>
      </c>
      <c r="I1306">
        <v>8</v>
      </c>
      <c r="J1306">
        <v>1592</v>
      </c>
    </row>
    <row r="1307" spans="1:10" x14ac:dyDescent="0.35">
      <c r="A1307" s="3" t="s">
        <v>1352</v>
      </c>
      <c r="B1307" s="4">
        <v>43519</v>
      </c>
      <c r="C1307">
        <v>7</v>
      </c>
      <c r="D1307" t="s">
        <v>88</v>
      </c>
      <c r="E1307" t="s">
        <v>22</v>
      </c>
      <c r="F1307" t="s">
        <v>23</v>
      </c>
      <c r="G1307" t="s">
        <v>31</v>
      </c>
      <c r="H1307">
        <v>69</v>
      </c>
      <c r="I1307">
        <v>5</v>
      </c>
      <c r="J1307">
        <v>345</v>
      </c>
    </row>
    <row r="1308" spans="1:10" x14ac:dyDescent="0.35">
      <c r="A1308" s="3" t="s">
        <v>1353</v>
      </c>
      <c r="B1308" s="4">
        <v>43519</v>
      </c>
      <c r="C1308">
        <v>3</v>
      </c>
      <c r="D1308" t="s">
        <v>43</v>
      </c>
      <c r="E1308" t="s">
        <v>68</v>
      </c>
      <c r="F1308" t="s">
        <v>18</v>
      </c>
      <c r="G1308" t="s">
        <v>41</v>
      </c>
      <c r="H1308">
        <v>399</v>
      </c>
      <c r="I1308">
        <v>8</v>
      </c>
      <c r="J1308">
        <v>3192</v>
      </c>
    </row>
    <row r="1309" spans="1:10" x14ac:dyDescent="0.35">
      <c r="A1309" s="3" t="s">
        <v>1354</v>
      </c>
      <c r="B1309" s="4">
        <v>43520</v>
      </c>
      <c r="C1309">
        <v>4</v>
      </c>
      <c r="D1309" t="s">
        <v>51</v>
      </c>
      <c r="E1309" t="s">
        <v>17</v>
      </c>
      <c r="F1309" t="s">
        <v>18</v>
      </c>
      <c r="G1309" t="s">
        <v>41</v>
      </c>
      <c r="H1309">
        <v>399</v>
      </c>
      <c r="I1309">
        <v>2</v>
      </c>
      <c r="J1309">
        <v>798</v>
      </c>
    </row>
    <row r="1310" spans="1:10" x14ac:dyDescent="0.35">
      <c r="A1310" s="3" t="s">
        <v>1355</v>
      </c>
      <c r="B1310" s="4">
        <v>43520</v>
      </c>
      <c r="C1310">
        <v>2</v>
      </c>
      <c r="D1310" t="s">
        <v>106</v>
      </c>
      <c r="E1310" t="s">
        <v>68</v>
      </c>
      <c r="F1310" t="s">
        <v>18</v>
      </c>
      <c r="G1310" t="s">
        <v>41</v>
      </c>
      <c r="H1310">
        <v>399</v>
      </c>
      <c r="I1310">
        <v>6</v>
      </c>
      <c r="J1310">
        <v>2394</v>
      </c>
    </row>
    <row r="1311" spans="1:10" x14ac:dyDescent="0.35">
      <c r="A1311" s="3" t="s">
        <v>1356</v>
      </c>
      <c r="B1311" s="4">
        <v>43520</v>
      </c>
      <c r="C1311">
        <v>8</v>
      </c>
      <c r="D1311" t="s">
        <v>45</v>
      </c>
      <c r="E1311" t="s">
        <v>46</v>
      </c>
      <c r="F1311" t="s">
        <v>23</v>
      </c>
      <c r="G1311" t="s">
        <v>19</v>
      </c>
      <c r="H1311">
        <v>289</v>
      </c>
      <c r="I1311">
        <v>0</v>
      </c>
      <c r="J1311">
        <v>0</v>
      </c>
    </row>
    <row r="1312" spans="1:10" x14ac:dyDescent="0.35">
      <c r="A1312" s="3" t="s">
        <v>1357</v>
      </c>
      <c r="B1312" s="4">
        <v>43521</v>
      </c>
      <c r="C1312">
        <v>4</v>
      </c>
      <c r="D1312" t="s">
        <v>51</v>
      </c>
      <c r="E1312" t="s">
        <v>68</v>
      </c>
      <c r="F1312" t="s">
        <v>18</v>
      </c>
      <c r="G1312" t="s">
        <v>31</v>
      </c>
      <c r="H1312">
        <v>69</v>
      </c>
      <c r="I1312">
        <v>4</v>
      </c>
      <c r="J1312">
        <v>276</v>
      </c>
    </row>
    <row r="1313" spans="1:10" x14ac:dyDescent="0.35">
      <c r="A1313" s="3" t="s">
        <v>1358</v>
      </c>
      <c r="B1313" s="4">
        <v>43522</v>
      </c>
      <c r="C1313">
        <v>13</v>
      </c>
      <c r="D1313" t="s">
        <v>33</v>
      </c>
      <c r="E1313" t="s">
        <v>63</v>
      </c>
      <c r="F1313" t="s">
        <v>13</v>
      </c>
      <c r="G1313" t="s">
        <v>24</v>
      </c>
      <c r="H1313">
        <v>159</v>
      </c>
      <c r="I1313">
        <v>5</v>
      </c>
      <c r="J1313">
        <v>795</v>
      </c>
    </row>
    <row r="1314" spans="1:10" x14ac:dyDescent="0.35">
      <c r="A1314" s="3" t="s">
        <v>1359</v>
      </c>
      <c r="B1314" s="4">
        <v>43522</v>
      </c>
      <c r="C1314">
        <v>8</v>
      </c>
      <c r="D1314" t="s">
        <v>45</v>
      </c>
      <c r="E1314" t="s">
        <v>22</v>
      </c>
      <c r="F1314" t="s">
        <v>23</v>
      </c>
      <c r="G1314" t="s">
        <v>24</v>
      </c>
      <c r="H1314">
        <v>159</v>
      </c>
      <c r="I1314">
        <v>8</v>
      </c>
      <c r="J1314">
        <v>1272</v>
      </c>
    </row>
    <row r="1315" spans="1:10" x14ac:dyDescent="0.35">
      <c r="A1315" s="3" t="s">
        <v>1360</v>
      </c>
      <c r="B1315" s="4">
        <v>43522</v>
      </c>
      <c r="C1315">
        <v>11</v>
      </c>
      <c r="D1315" t="s">
        <v>11</v>
      </c>
      <c r="E1315" t="s">
        <v>12</v>
      </c>
      <c r="F1315" t="s">
        <v>13</v>
      </c>
      <c r="G1315" t="s">
        <v>14</v>
      </c>
      <c r="H1315">
        <v>199</v>
      </c>
      <c r="I1315">
        <v>9</v>
      </c>
      <c r="J1315">
        <v>1791</v>
      </c>
    </row>
    <row r="1316" spans="1:10" x14ac:dyDescent="0.35">
      <c r="A1316" s="3" t="s">
        <v>1361</v>
      </c>
      <c r="B1316" s="4">
        <v>43522</v>
      </c>
      <c r="C1316">
        <v>12</v>
      </c>
      <c r="D1316" t="s">
        <v>66</v>
      </c>
      <c r="E1316" t="s">
        <v>63</v>
      </c>
      <c r="F1316" t="s">
        <v>13</v>
      </c>
      <c r="G1316" t="s">
        <v>31</v>
      </c>
      <c r="H1316">
        <v>69</v>
      </c>
      <c r="I1316">
        <v>8</v>
      </c>
      <c r="J1316">
        <v>552</v>
      </c>
    </row>
    <row r="1317" spans="1:10" x14ac:dyDescent="0.35">
      <c r="A1317" s="3" t="s">
        <v>1362</v>
      </c>
      <c r="B1317" s="4">
        <v>43522</v>
      </c>
      <c r="C1317">
        <v>1</v>
      </c>
      <c r="D1317" t="s">
        <v>16</v>
      </c>
      <c r="E1317" t="s">
        <v>17</v>
      </c>
      <c r="F1317" t="s">
        <v>18</v>
      </c>
      <c r="G1317" t="s">
        <v>31</v>
      </c>
      <c r="H1317">
        <v>69</v>
      </c>
      <c r="I1317">
        <v>9</v>
      </c>
      <c r="J1317">
        <v>621</v>
      </c>
    </row>
    <row r="1318" spans="1:10" x14ac:dyDescent="0.35">
      <c r="A1318" s="3" t="s">
        <v>1363</v>
      </c>
      <c r="B1318" s="4">
        <v>43522</v>
      </c>
      <c r="C1318">
        <v>3</v>
      </c>
      <c r="D1318" t="s">
        <v>43</v>
      </c>
      <c r="E1318" t="s">
        <v>17</v>
      </c>
      <c r="F1318" t="s">
        <v>18</v>
      </c>
      <c r="G1318" t="s">
        <v>19</v>
      </c>
      <c r="H1318">
        <v>289</v>
      </c>
      <c r="I1318">
        <v>3</v>
      </c>
      <c r="J1318">
        <v>867</v>
      </c>
    </row>
    <row r="1319" spans="1:10" x14ac:dyDescent="0.35">
      <c r="A1319" s="3" t="s">
        <v>1364</v>
      </c>
      <c r="B1319" s="4">
        <v>43522</v>
      </c>
      <c r="C1319">
        <v>14</v>
      </c>
      <c r="D1319" t="s">
        <v>38</v>
      </c>
      <c r="E1319" t="s">
        <v>12</v>
      </c>
      <c r="F1319" t="s">
        <v>13</v>
      </c>
      <c r="G1319" t="s">
        <v>41</v>
      </c>
      <c r="H1319">
        <v>399</v>
      </c>
      <c r="I1319">
        <v>2</v>
      </c>
      <c r="J1319">
        <v>798</v>
      </c>
    </row>
    <row r="1320" spans="1:10" x14ac:dyDescent="0.35">
      <c r="A1320" s="3" t="s">
        <v>1365</v>
      </c>
      <c r="B1320" s="4">
        <v>43523</v>
      </c>
      <c r="C1320">
        <v>11</v>
      </c>
      <c r="D1320" t="s">
        <v>11</v>
      </c>
      <c r="E1320" t="s">
        <v>63</v>
      </c>
      <c r="F1320" t="s">
        <v>13</v>
      </c>
      <c r="G1320" t="s">
        <v>14</v>
      </c>
      <c r="H1320">
        <v>199</v>
      </c>
      <c r="I1320">
        <v>9</v>
      </c>
      <c r="J1320">
        <v>1791</v>
      </c>
    </row>
    <row r="1321" spans="1:10" x14ac:dyDescent="0.35">
      <c r="A1321" s="3" t="s">
        <v>1366</v>
      </c>
      <c r="B1321" s="4">
        <v>43523</v>
      </c>
      <c r="C1321">
        <v>8</v>
      </c>
      <c r="D1321" t="s">
        <v>45</v>
      </c>
      <c r="E1321" t="s">
        <v>22</v>
      </c>
      <c r="F1321" t="s">
        <v>23</v>
      </c>
      <c r="G1321" t="s">
        <v>31</v>
      </c>
      <c r="H1321">
        <v>69</v>
      </c>
      <c r="I1321">
        <v>4</v>
      </c>
      <c r="J1321">
        <v>276</v>
      </c>
    </row>
    <row r="1322" spans="1:10" x14ac:dyDescent="0.35">
      <c r="A1322" s="3" t="s">
        <v>1367</v>
      </c>
      <c r="B1322" s="4">
        <v>43524</v>
      </c>
      <c r="C1322">
        <v>10</v>
      </c>
      <c r="D1322" t="s">
        <v>58</v>
      </c>
      <c r="E1322" t="s">
        <v>22</v>
      </c>
      <c r="F1322" t="s">
        <v>23</v>
      </c>
      <c r="G1322" t="s">
        <v>31</v>
      </c>
      <c r="H1322">
        <v>69</v>
      </c>
      <c r="I1322">
        <v>9</v>
      </c>
      <c r="J1322">
        <v>621</v>
      </c>
    </row>
    <row r="1323" spans="1:10" x14ac:dyDescent="0.35">
      <c r="A1323" s="3" t="s">
        <v>1368</v>
      </c>
      <c r="B1323" s="4">
        <v>43524</v>
      </c>
      <c r="C1323">
        <v>19</v>
      </c>
      <c r="D1323" t="s">
        <v>56</v>
      </c>
      <c r="E1323" t="s">
        <v>27</v>
      </c>
      <c r="F1323" t="s">
        <v>28</v>
      </c>
      <c r="G1323" t="s">
        <v>41</v>
      </c>
      <c r="H1323">
        <v>399</v>
      </c>
      <c r="I1323">
        <v>9</v>
      </c>
      <c r="J1323">
        <v>3591</v>
      </c>
    </row>
    <row r="1324" spans="1:10" x14ac:dyDescent="0.35">
      <c r="A1324" s="3" t="s">
        <v>1369</v>
      </c>
      <c r="B1324" s="4">
        <v>43524</v>
      </c>
      <c r="C1324">
        <v>12</v>
      </c>
      <c r="D1324" t="s">
        <v>66</v>
      </c>
      <c r="E1324" t="s">
        <v>12</v>
      </c>
      <c r="F1324" t="s">
        <v>13</v>
      </c>
      <c r="G1324" t="s">
        <v>19</v>
      </c>
      <c r="H1324">
        <v>289</v>
      </c>
      <c r="I1324">
        <v>1</v>
      </c>
      <c r="J1324">
        <v>289</v>
      </c>
    </row>
    <row r="1325" spans="1:10" x14ac:dyDescent="0.35">
      <c r="A1325" s="3" t="s">
        <v>1370</v>
      </c>
      <c r="B1325" s="4">
        <v>43525</v>
      </c>
      <c r="C1325">
        <v>17</v>
      </c>
      <c r="D1325" t="s">
        <v>35</v>
      </c>
      <c r="E1325" t="s">
        <v>36</v>
      </c>
      <c r="F1325" t="s">
        <v>28</v>
      </c>
      <c r="G1325" t="s">
        <v>24</v>
      </c>
      <c r="H1325">
        <v>159</v>
      </c>
      <c r="I1325">
        <v>9</v>
      </c>
      <c r="J1325">
        <v>1431</v>
      </c>
    </row>
    <row r="1326" spans="1:10" x14ac:dyDescent="0.35">
      <c r="A1326" s="3" t="s">
        <v>1371</v>
      </c>
      <c r="B1326" s="4">
        <v>43525</v>
      </c>
      <c r="C1326">
        <v>8</v>
      </c>
      <c r="D1326" t="s">
        <v>45</v>
      </c>
      <c r="E1326" t="s">
        <v>22</v>
      </c>
      <c r="F1326" t="s">
        <v>23</v>
      </c>
      <c r="G1326" t="s">
        <v>41</v>
      </c>
      <c r="H1326">
        <v>399</v>
      </c>
      <c r="I1326">
        <v>3</v>
      </c>
      <c r="J1326">
        <v>1197</v>
      </c>
    </row>
    <row r="1327" spans="1:10" x14ac:dyDescent="0.35">
      <c r="A1327" s="3" t="s">
        <v>1372</v>
      </c>
      <c r="B1327" s="4">
        <v>43525</v>
      </c>
      <c r="C1327">
        <v>8</v>
      </c>
      <c r="D1327" t="s">
        <v>45</v>
      </c>
      <c r="E1327" t="s">
        <v>46</v>
      </c>
      <c r="F1327" t="s">
        <v>23</v>
      </c>
      <c r="G1327" t="s">
        <v>24</v>
      </c>
      <c r="H1327">
        <v>159</v>
      </c>
      <c r="I1327">
        <v>5</v>
      </c>
      <c r="J1327">
        <v>795</v>
      </c>
    </row>
    <row r="1328" spans="1:10" x14ac:dyDescent="0.35">
      <c r="A1328" s="3" t="s">
        <v>1373</v>
      </c>
      <c r="B1328" s="4">
        <v>43525</v>
      </c>
      <c r="C1328">
        <v>3</v>
      </c>
      <c r="D1328" t="s">
        <v>43</v>
      </c>
      <c r="E1328" t="s">
        <v>17</v>
      </c>
      <c r="F1328" t="s">
        <v>18</v>
      </c>
      <c r="G1328" t="s">
        <v>14</v>
      </c>
      <c r="H1328">
        <v>199</v>
      </c>
      <c r="I1328">
        <v>6</v>
      </c>
      <c r="J1328">
        <v>1194</v>
      </c>
    </row>
    <row r="1329" spans="1:10" x14ac:dyDescent="0.35">
      <c r="A1329" s="3" t="s">
        <v>1374</v>
      </c>
      <c r="B1329" s="4">
        <v>43526</v>
      </c>
      <c r="C1329">
        <v>1</v>
      </c>
      <c r="D1329" t="s">
        <v>16</v>
      </c>
      <c r="E1329" t="s">
        <v>68</v>
      </c>
      <c r="F1329" t="s">
        <v>18</v>
      </c>
      <c r="G1329" t="s">
        <v>24</v>
      </c>
      <c r="H1329">
        <v>159</v>
      </c>
      <c r="I1329">
        <v>6</v>
      </c>
      <c r="J1329">
        <v>954</v>
      </c>
    </row>
    <row r="1330" spans="1:10" x14ac:dyDescent="0.35">
      <c r="A1330" s="3" t="s">
        <v>1375</v>
      </c>
      <c r="B1330" s="4">
        <v>43526</v>
      </c>
      <c r="C1330">
        <v>19</v>
      </c>
      <c r="D1330" t="s">
        <v>56</v>
      </c>
      <c r="E1330" t="s">
        <v>36</v>
      </c>
      <c r="F1330" t="s">
        <v>28</v>
      </c>
      <c r="G1330" t="s">
        <v>19</v>
      </c>
      <c r="H1330">
        <v>289</v>
      </c>
      <c r="I1330">
        <v>7</v>
      </c>
      <c r="J1330">
        <v>2023</v>
      </c>
    </row>
    <row r="1331" spans="1:10" x14ac:dyDescent="0.35">
      <c r="A1331" s="3" t="s">
        <v>1376</v>
      </c>
      <c r="B1331" s="4">
        <v>43526</v>
      </c>
      <c r="C1331">
        <v>7</v>
      </c>
      <c r="D1331" t="s">
        <v>88</v>
      </c>
      <c r="E1331" t="s">
        <v>22</v>
      </c>
      <c r="F1331" t="s">
        <v>23</v>
      </c>
      <c r="G1331" t="s">
        <v>41</v>
      </c>
      <c r="H1331">
        <v>399</v>
      </c>
      <c r="I1331">
        <v>7</v>
      </c>
      <c r="J1331">
        <v>2793</v>
      </c>
    </row>
    <row r="1332" spans="1:10" x14ac:dyDescent="0.35">
      <c r="A1332" s="3" t="s">
        <v>1377</v>
      </c>
      <c r="B1332" s="4">
        <v>43527</v>
      </c>
      <c r="C1332">
        <v>5</v>
      </c>
      <c r="D1332" t="s">
        <v>60</v>
      </c>
      <c r="E1332" t="s">
        <v>68</v>
      </c>
      <c r="F1332" t="s">
        <v>18</v>
      </c>
      <c r="G1332" t="s">
        <v>19</v>
      </c>
      <c r="H1332">
        <v>289</v>
      </c>
      <c r="I1332">
        <v>5</v>
      </c>
      <c r="J1332">
        <v>1445</v>
      </c>
    </row>
    <row r="1333" spans="1:10" x14ac:dyDescent="0.35">
      <c r="A1333" s="3" t="s">
        <v>1378</v>
      </c>
      <c r="B1333" s="4">
        <v>43528</v>
      </c>
      <c r="C1333">
        <v>2</v>
      </c>
      <c r="D1333" t="s">
        <v>106</v>
      </c>
      <c r="E1333" t="s">
        <v>17</v>
      </c>
      <c r="F1333" t="s">
        <v>18</v>
      </c>
      <c r="G1333" t="s">
        <v>19</v>
      </c>
      <c r="H1333">
        <v>289</v>
      </c>
      <c r="I1333">
        <v>0</v>
      </c>
      <c r="J1333">
        <v>0</v>
      </c>
    </row>
    <row r="1334" spans="1:10" x14ac:dyDescent="0.35">
      <c r="A1334" s="3" t="s">
        <v>1379</v>
      </c>
      <c r="B1334" s="4">
        <v>43529</v>
      </c>
      <c r="C1334">
        <v>16</v>
      </c>
      <c r="D1334" t="s">
        <v>30</v>
      </c>
      <c r="E1334" t="s">
        <v>36</v>
      </c>
      <c r="F1334" t="s">
        <v>28</v>
      </c>
      <c r="G1334" t="s">
        <v>14</v>
      </c>
      <c r="H1334">
        <v>199</v>
      </c>
      <c r="I1334">
        <v>5</v>
      </c>
      <c r="J1334">
        <v>995</v>
      </c>
    </row>
    <row r="1335" spans="1:10" x14ac:dyDescent="0.35">
      <c r="A1335" s="3" t="s">
        <v>1380</v>
      </c>
      <c r="B1335" s="4">
        <v>43529</v>
      </c>
      <c r="C1335">
        <v>12</v>
      </c>
      <c r="D1335" t="s">
        <v>66</v>
      </c>
      <c r="E1335" t="s">
        <v>12</v>
      </c>
      <c r="F1335" t="s">
        <v>13</v>
      </c>
      <c r="G1335" t="s">
        <v>41</v>
      </c>
      <c r="H1335">
        <v>399</v>
      </c>
      <c r="I1335">
        <v>1</v>
      </c>
      <c r="J1335">
        <v>399</v>
      </c>
    </row>
    <row r="1336" spans="1:10" x14ac:dyDescent="0.35">
      <c r="A1336" s="3" t="s">
        <v>1381</v>
      </c>
      <c r="B1336" s="4">
        <v>43530</v>
      </c>
      <c r="C1336">
        <v>18</v>
      </c>
      <c r="D1336" t="s">
        <v>26</v>
      </c>
      <c r="E1336" t="s">
        <v>27</v>
      </c>
      <c r="F1336" t="s">
        <v>28</v>
      </c>
      <c r="G1336" t="s">
        <v>31</v>
      </c>
      <c r="H1336">
        <v>69</v>
      </c>
      <c r="I1336">
        <v>2</v>
      </c>
      <c r="J1336">
        <v>138</v>
      </c>
    </row>
    <row r="1337" spans="1:10" x14ac:dyDescent="0.35">
      <c r="A1337" s="3" t="s">
        <v>1382</v>
      </c>
      <c r="B1337" s="4">
        <v>43530</v>
      </c>
      <c r="C1337">
        <v>8</v>
      </c>
      <c r="D1337" t="s">
        <v>45</v>
      </c>
      <c r="E1337" t="s">
        <v>46</v>
      </c>
      <c r="F1337" t="s">
        <v>23</v>
      </c>
      <c r="G1337" t="s">
        <v>24</v>
      </c>
      <c r="H1337">
        <v>159</v>
      </c>
      <c r="I1337">
        <v>8</v>
      </c>
      <c r="J1337">
        <v>1272</v>
      </c>
    </row>
    <row r="1338" spans="1:10" x14ac:dyDescent="0.35">
      <c r="A1338" s="3" t="s">
        <v>1383</v>
      </c>
      <c r="B1338" s="4">
        <v>43530</v>
      </c>
      <c r="C1338">
        <v>19</v>
      </c>
      <c r="D1338" t="s">
        <v>56</v>
      </c>
      <c r="E1338" t="s">
        <v>27</v>
      </c>
      <c r="F1338" t="s">
        <v>28</v>
      </c>
      <c r="G1338" t="s">
        <v>24</v>
      </c>
      <c r="H1338">
        <v>159</v>
      </c>
      <c r="I1338">
        <v>5</v>
      </c>
      <c r="J1338">
        <v>795</v>
      </c>
    </row>
    <row r="1339" spans="1:10" x14ac:dyDescent="0.35">
      <c r="A1339" s="3" t="s">
        <v>1384</v>
      </c>
      <c r="B1339" s="4">
        <v>43531</v>
      </c>
      <c r="C1339">
        <v>9</v>
      </c>
      <c r="D1339" t="s">
        <v>21</v>
      </c>
      <c r="E1339" t="s">
        <v>46</v>
      </c>
      <c r="F1339" t="s">
        <v>23</v>
      </c>
      <c r="G1339" t="s">
        <v>41</v>
      </c>
      <c r="H1339">
        <v>399</v>
      </c>
      <c r="I1339">
        <v>0</v>
      </c>
      <c r="J1339">
        <v>0</v>
      </c>
    </row>
    <row r="1340" spans="1:10" x14ac:dyDescent="0.35">
      <c r="A1340" s="3" t="s">
        <v>1385</v>
      </c>
      <c r="B1340" s="4">
        <v>43531</v>
      </c>
      <c r="C1340">
        <v>19</v>
      </c>
      <c r="D1340" t="s">
        <v>56</v>
      </c>
      <c r="E1340" t="s">
        <v>27</v>
      </c>
      <c r="F1340" t="s">
        <v>28</v>
      </c>
      <c r="G1340" t="s">
        <v>31</v>
      </c>
      <c r="H1340">
        <v>69</v>
      </c>
      <c r="I1340">
        <v>7</v>
      </c>
      <c r="J1340">
        <v>483</v>
      </c>
    </row>
    <row r="1341" spans="1:10" x14ac:dyDescent="0.35">
      <c r="A1341" s="3" t="s">
        <v>1386</v>
      </c>
      <c r="B1341" s="4">
        <v>43531</v>
      </c>
      <c r="C1341">
        <v>2</v>
      </c>
      <c r="D1341" t="s">
        <v>106</v>
      </c>
      <c r="E1341" t="s">
        <v>17</v>
      </c>
      <c r="F1341" t="s">
        <v>18</v>
      </c>
      <c r="G1341" t="s">
        <v>14</v>
      </c>
      <c r="H1341">
        <v>199</v>
      </c>
      <c r="I1341">
        <v>7</v>
      </c>
      <c r="J1341">
        <v>1393</v>
      </c>
    </row>
    <row r="1342" spans="1:10" x14ac:dyDescent="0.35">
      <c r="A1342" s="3" t="s">
        <v>1387</v>
      </c>
      <c r="B1342" s="4">
        <v>43531</v>
      </c>
      <c r="C1342">
        <v>12</v>
      </c>
      <c r="D1342" t="s">
        <v>66</v>
      </c>
      <c r="E1342" t="s">
        <v>12</v>
      </c>
      <c r="F1342" t="s">
        <v>13</v>
      </c>
      <c r="G1342" t="s">
        <v>24</v>
      </c>
      <c r="H1342">
        <v>159</v>
      </c>
      <c r="I1342">
        <v>0</v>
      </c>
      <c r="J1342">
        <v>0</v>
      </c>
    </row>
    <row r="1343" spans="1:10" x14ac:dyDescent="0.35">
      <c r="A1343" s="3" t="s">
        <v>1388</v>
      </c>
      <c r="B1343" s="4">
        <v>43531</v>
      </c>
      <c r="C1343">
        <v>17</v>
      </c>
      <c r="D1343" t="s">
        <v>35</v>
      </c>
      <c r="E1343" t="s">
        <v>36</v>
      </c>
      <c r="F1343" t="s">
        <v>28</v>
      </c>
      <c r="G1343" t="s">
        <v>31</v>
      </c>
      <c r="H1343">
        <v>69</v>
      </c>
      <c r="I1343">
        <v>0</v>
      </c>
      <c r="J1343">
        <v>0</v>
      </c>
    </row>
    <row r="1344" spans="1:10" x14ac:dyDescent="0.35">
      <c r="A1344" s="3" t="s">
        <v>1389</v>
      </c>
      <c r="B1344" s="4">
        <v>43531</v>
      </c>
      <c r="C1344">
        <v>4</v>
      </c>
      <c r="D1344" t="s">
        <v>51</v>
      </c>
      <c r="E1344" t="s">
        <v>68</v>
      </c>
      <c r="F1344" t="s">
        <v>18</v>
      </c>
      <c r="G1344" t="s">
        <v>14</v>
      </c>
      <c r="H1344">
        <v>199</v>
      </c>
      <c r="I1344">
        <v>1</v>
      </c>
      <c r="J1344">
        <v>199</v>
      </c>
    </row>
    <row r="1345" spans="1:10" x14ac:dyDescent="0.35">
      <c r="A1345" s="3" t="s">
        <v>1390</v>
      </c>
      <c r="B1345" s="4">
        <v>43531</v>
      </c>
      <c r="C1345">
        <v>6</v>
      </c>
      <c r="D1345" t="s">
        <v>48</v>
      </c>
      <c r="E1345" t="s">
        <v>22</v>
      </c>
      <c r="F1345" t="s">
        <v>23</v>
      </c>
      <c r="G1345" t="s">
        <v>14</v>
      </c>
      <c r="H1345">
        <v>199</v>
      </c>
      <c r="I1345">
        <v>0</v>
      </c>
      <c r="J1345">
        <v>0</v>
      </c>
    </row>
    <row r="1346" spans="1:10" x14ac:dyDescent="0.35">
      <c r="A1346" s="3" t="s">
        <v>1391</v>
      </c>
      <c r="B1346" s="4">
        <v>43531</v>
      </c>
      <c r="C1346">
        <v>8</v>
      </c>
      <c r="D1346" t="s">
        <v>45</v>
      </c>
      <c r="E1346" t="s">
        <v>46</v>
      </c>
      <c r="F1346" t="s">
        <v>23</v>
      </c>
      <c r="G1346" t="s">
        <v>24</v>
      </c>
      <c r="H1346">
        <v>159</v>
      </c>
      <c r="I1346">
        <v>2</v>
      </c>
      <c r="J1346">
        <v>318</v>
      </c>
    </row>
    <row r="1347" spans="1:10" x14ac:dyDescent="0.35">
      <c r="A1347" s="3" t="s">
        <v>1392</v>
      </c>
      <c r="B1347" s="4">
        <v>43532</v>
      </c>
      <c r="C1347">
        <v>11</v>
      </c>
      <c r="D1347" t="s">
        <v>11</v>
      </c>
      <c r="E1347" t="s">
        <v>12</v>
      </c>
      <c r="F1347" t="s">
        <v>13</v>
      </c>
      <c r="G1347" t="s">
        <v>31</v>
      </c>
      <c r="H1347">
        <v>69</v>
      </c>
      <c r="I1347">
        <v>7</v>
      </c>
      <c r="J1347">
        <v>483</v>
      </c>
    </row>
    <row r="1348" spans="1:10" x14ac:dyDescent="0.35">
      <c r="A1348" s="3" t="s">
        <v>1393</v>
      </c>
      <c r="B1348" s="4">
        <v>43533</v>
      </c>
      <c r="C1348">
        <v>14</v>
      </c>
      <c r="D1348" t="s">
        <v>38</v>
      </c>
      <c r="E1348" t="s">
        <v>12</v>
      </c>
      <c r="F1348" t="s">
        <v>13</v>
      </c>
      <c r="G1348" t="s">
        <v>24</v>
      </c>
      <c r="H1348">
        <v>159</v>
      </c>
      <c r="I1348">
        <v>1</v>
      </c>
      <c r="J1348">
        <v>159</v>
      </c>
    </row>
    <row r="1349" spans="1:10" x14ac:dyDescent="0.35">
      <c r="A1349" s="3" t="s">
        <v>1394</v>
      </c>
      <c r="B1349" s="4">
        <v>43533</v>
      </c>
      <c r="C1349">
        <v>4</v>
      </c>
      <c r="D1349" t="s">
        <v>51</v>
      </c>
      <c r="E1349" t="s">
        <v>68</v>
      </c>
      <c r="F1349" t="s">
        <v>18</v>
      </c>
      <c r="G1349" t="s">
        <v>14</v>
      </c>
      <c r="H1349">
        <v>199</v>
      </c>
      <c r="I1349">
        <v>6</v>
      </c>
      <c r="J1349">
        <v>1194</v>
      </c>
    </row>
    <row r="1350" spans="1:10" x14ac:dyDescent="0.35">
      <c r="A1350" s="3" t="s">
        <v>1395</v>
      </c>
      <c r="B1350" s="4">
        <v>43533</v>
      </c>
      <c r="C1350">
        <v>19</v>
      </c>
      <c r="D1350" t="s">
        <v>56</v>
      </c>
      <c r="E1350" t="s">
        <v>36</v>
      </c>
      <c r="F1350" t="s">
        <v>28</v>
      </c>
      <c r="G1350" t="s">
        <v>14</v>
      </c>
      <c r="H1350">
        <v>199</v>
      </c>
      <c r="I1350">
        <v>4</v>
      </c>
      <c r="J1350">
        <v>796</v>
      </c>
    </row>
    <row r="1351" spans="1:10" x14ac:dyDescent="0.35">
      <c r="A1351" s="3" t="s">
        <v>1396</v>
      </c>
      <c r="B1351" s="4">
        <v>43533</v>
      </c>
      <c r="C1351">
        <v>8</v>
      </c>
      <c r="D1351" t="s">
        <v>45</v>
      </c>
      <c r="E1351" t="s">
        <v>22</v>
      </c>
      <c r="F1351" t="s">
        <v>23</v>
      </c>
      <c r="G1351" t="s">
        <v>14</v>
      </c>
      <c r="H1351">
        <v>199</v>
      </c>
      <c r="I1351">
        <v>7</v>
      </c>
      <c r="J1351">
        <v>1393</v>
      </c>
    </row>
    <row r="1352" spans="1:10" x14ac:dyDescent="0.35">
      <c r="A1352" s="3" t="s">
        <v>1397</v>
      </c>
      <c r="B1352" s="4">
        <v>43534</v>
      </c>
      <c r="C1352">
        <v>8</v>
      </c>
      <c r="D1352" t="s">
        <v>45</v>
      </c>
      <c r="E1352" t="s">
        <v>46</v>
      </c>
      <c r="F1352" t="s">
        <v>23</v>
      </c>
      <c r="G1352" t="s">
        <v>19</v>
      </c>
      <c r="H1352">
        <v>289</v>
      </c>
      <c r="I1352">
        <v>9</v>
      </c>
      <c r="J1352">
        <v>2601</v>
      </c>
    </row>
    <row r="1353" spans="1:10" x14ac:dyDescent="0.35">
      <c r="A1353" s="3" t="s">
        <v>1398</v>
      </c>
      <c r="B1353" s="4">
        <v>43534</v>
      </c>
      <c r="C1353">
        <v>15</v>
      </c>
      <c r="D1353" t="s">
        <v>118</v>
      </c>
      <c r="E1353" t="s">
        <v>63</v>
      </c>
      <c r="F1353" t="s">
        <v>13</v>
      </c>
      <c r="G1353" t="s">
        <v>14</v>
      </c>
      <c r="H1353">
        <v>199</v>
      </c>
      <c r="I1353">
        <v>2</v>
      </c>
      <c r="J1353">
        <v>398</v>
      </c>
    </row>
    <row r="1354" spans="1:10" x14ac:dyDescent="0.35">
      <c r="A1354" s="3" t="s">
        <v>1399</v>
      </c>
      <c r="B1354" s="4">
        <v>43534</v>
      </c>
      <c r="C1354">
        <v>6</v>
      </c>
      <c r="D1354" t="s">
        <v>48</v>
      </c>
      <c r="E1354" t="s">
        <v>46</v>
      </c>
      <c r="F1354" t="s">
        <v>23</v>
      </c>
      <c r="G1354" t="s">
        <v>31</v>
      </c>
      <c r="H1354">
        <v>69</v>
      </c>
      <c r="I1354">
        <v>5</v>
      </c>
      <c r="J1354">
        <v>345</v>
      </c>
    </row>
    <row r="1355" spans="1:10" x14ac:dyDescent="0.35">
      <c r="A1355" s="3" t="s">
        <v>1400</v>
      </c>
      <c r="B1355" s="4">
        <v>43534</v>
      </c>
      <c r="C1355">
        <v>19</v>
      </c>
      <c r="D1355" t="s">
        <v>56</v>
      </c>
      <c r="E1355" t="s">
        <v>27</v>
      </c>
      <c r="F1355" t="s">
        <v>28</v>
      </c>
      <c r="G1355" t="s">
        <v>41</v>
      </c>
      <c r="H1355">
        <v>399</v>
      </c>
      <c r="I1355">
        <v>3</v>
      </c>
      <c r="J1355">
        <v>1197</v>
      </c>
    </row>
    <row r="1356" spans="1:10" x14ac:dyDescent="0.35">
      <c r="A1356" s="3" t="s">
        <v>1401</v>
      </c>
      <c r="B1356" s="4">
        <v>43535</v>
      </c>
      <c r="C1356">
        <v>16</v>
      </c>
      <c r="D1356" t="s">
        <v>30</v>
      </c>
      <c r="E1356" t="s">
        <v>27</v>
      </c>
      <c r="F1356" t="s">
        <v>28</v>
      </c>
      <c r="G1356" t="s">
        <v>19</v>
      </c>
      <c r="H1356">
        <v>289</v>
      </c>
      <c r="I1356">
        <v>6</v>
      </c>
      <c r="J1356">
        <v>1734</v>
      </c>
    </row>
    <row r="1357" spans="1:10" x14ac:dyDescent="0.35">
      <c r="A1357" s="3" t="s">
        <v>1402</v>
      </c>
      <c r="B1357" s="4">
        <v>43535</v>
      </c>
      <c r="C1357">
        <v>7</v>
      </c>
      <c r="D1357" t="s">
        <v>88</v>
      </c>
      <c r="E1357" t="s">
        <v>22</v>
      </c>
      <c r="F1357" t="s">
        <v>23</v>
      </c>
      <c r="G1357" t="s">
        <v>31</v>
      </c>
      <c r="H1357">
        <v>69</v>
      </c>
      <c r="I1357">
        <v>1</v>
      </c>
      <c r="J1357">
        <v>69</v>
      </c>
    </row>
    <row r="1358" spans="1:10" x14ac:dyDescent="0.35">
      <c r="A1358" s="3" t="s">
        <v>1403</v>
      </c>
      <c r="B1358" s="4">
        <v>43535</v>
      </c>
      <c r="C1358">
        <v>4</v>
      </c>
      <c r="D1358" t="s">
        <v>51</v>
      </c>
      <c r="E1358" t="s">
        <v>17</v>
      </c>
      <c r="F1358" t="s">
        <v>18</v>
      </c>
      <c r="G1358" t="s">
        <v>19</v>
      </c>
      <c r="H1358">
        <v>289</v>
      </c>
      <c r="I1358">
        <v>6</v>
      </c>
      <c r="J1358">
        <v>1734</v>
      </c>
    </row>
    <row r="1359" spans="1:10" x14ac:dyDescent="0.35">
      <c r="A1359" s="3" t="s">
        <v>1404</v>
      </c>
      <c r="B1359" s="4">
        <v>43535</v>
      </c>
      <c r="C1359">
        <v>13</v>
      </c>
      <c r="D1359" t="s">
        <v>33</v>
      </c>
      <c r="E1359" t="s">
        <v>63</v>
      </c>
      <c r="F1359" t="s">
        <v>13</v>
      </c>
      <c r="G1359" t="s">
        <v>31</v>
      </c>
      <c r="H1359">
        <v>69</v>
      </c>
      <c r="I1359">
        <v>2</v>
      </c>
      <c r="J1359">
        <v>138</v>
      </c>
    </row>
    <row r="1360" spans="1:10" x14ac:dyDescent="0.35">
      <c r="A1360" s="3" t="s">
        <v>1405</v>
      </c>
      <c r="B1360" s="4">
        <v>43535</v>
      </c>
      <c r="C1360">
        <v>4</v>
      </c>
      <c r="D1360" t="s">
        <v>51</v>
      </c>
      <c r="E1360" t="s">
        <v>17</v>
      </c>
      <c r="F1360" t="s">
        <v>18</v>
      </c>
      <c r="G1360" t="s">
        <v>19</v>
      </c>
      <c r="H1360">
        <v>289</v>
      </c>
      <c r="I1360">
        <v>2</v>
      </c>
      <c r="J1360">
        <v>578</v>
      </c>
    </row>
    <row r="1361" spans="1:10" x14ac:dyDescent="0.35">
      <c r="A1361" s="3" t="s">
        <v>1406</v>
      </c>
      <c r="B1361" s="4">
        <v>43535</v>
      </c>
      <c r="C1361">
        <v>17</v>
      </c>
      <c r="D1361" t="s">
        <v>35</v>
      </c>
      <c r="E1361" t="s">
        <v>27</v>
      </c>
      <c r="F1361" t="s">
        <v>28</v>
      </c>
      <c r="G1361" t="s">
        <v>41</v>
      </c>
      <c r="H1361">
        <v>399</v>
      </c>
      <c r="I1361">
        <v>6</v>
      </c>
      <c r="J1361">
        <v>2394</v>
      </c>
    </row>
    <row r="1362" spans="1:10" x14ac:dyDescent="0.35">
      <c r="A1362" s="3" t="s">
        <v>1407</v>
      </c>
      <c r="B1362" s="4">
        <v>43535</v>
      </c>
      <c r="C1362">
        <v>3</v>
      </c>
      <c r="D1362" t="s">
        <v>43</v>
      </c>
      <c r="E1362" t="s">
        <v>17</v>
      </c>
      <c r="F1362" t="s">
        <v>18</v>
      </c>
      <c r="G1362" t="s">
        <v>19</v>
      </c>
      <c r="H1362">
        <v>289</v>
      </c>
      <c r="I1362">
        <v>5</v>
      </c>
      <c r="J1362">
        <v>1445</v>
      </c>
    </row>
    <row r="1363" spans="1:10" x14ac:dyDescent="0.35">
      <c r="A1363" s="3" t="s">
        <v>1408</v>
      </c>
      <c r="B1363" s="4">
        <v>43535</v>
      </c>
      <c r="C1363">
        <v>9</v>
      </c>
      <c r="D1363" t="s">
        <v>21</v>
      </c>
      <c r="E1363" t="s">
        <v>22</v>
      </c>
      <c r="F1363" t="s">
        <v>23</v>
      </c>
      <c r="G1363" t="s">
        <v>41</v>
      </c>
      <c r="H1363">
        <v>399</v>
      </c>
      <c r="I1363">
        <v>5</v>
      </c>
      <c r="J1363">
        <v>1995</v>
      </c>
    </row>
    <row r="1364" spans="1:10" x14ac:dyDescent="0.35">
      <c r="A1364" s="3" t="s">
        <v>1409</v>
      </c>
      <c r="B1364" s="4">
        <v>43535</v>
      </c>
      <c r="C1364">
        <v>2</v>
      </c>
      <c r="D1364" t="s">
        <v>106</v>
      </c>
      <c r="E1364" t="s">
        <v>17</v>
      </c>
      <c r="F1364" t="s">
        <v>18</v>
      </c>
      <c r="G1364" t="s">
        <v>31</v>
      </c>
      <c r="H1364">
        <v>69</v>
      </c>
      <c r="I1364">
        <v>4</v>
      </c>
      <c r="J1364">
        <v>276</v>
      </c>
    </row>
    <row r="1365" spans="1:10" x14ac:dyDescent="0.35">
      <c r="A1365" s="3" t="s">
        <v>1410</v>
      </c>
      <c r="B1365" s="4">
        <v>43535</v>
      </c>
      <c r="C1365">
        <v>15</v>
      </c>
      <c r="D1365" t="s">
        <v>118</v>
      </c>
      <c r="E1365" t="s">
        <v>12</v>
      </c>
      <c r="F1365" t="s">
        <v>13</v>
      </c>
      <c r="G1365" t="s">
        <v>24</v>
      </c>
      <c r="H1365">
        <v>159</v>
      </c>
      <c r="I1365">
        <v>9</v>
      </c>
      <c r="J1365">
        <v>1431</v>
      </c>
    </row>
    <row r="1366" spans="1:10" x14ac:dyDescent="0.35">
      <c r="A1366" s="3" t="s">
        <v>1411</v>
      </c>
      <c r="B1366" s="4">
        <v>43535</v>
      </c>
      <c r="C1366">
        <v>14</v>
      </c>
      <c r="D1366" t="s">
        <v>38</v>
      </c>
      <c r="E1366" t="s">
        <v>12</v>
      </c>
      <c r="F1366" t="s">
        <v>13</v>
      </c>
      <c r="G1366" t="s">
        <v>14</v>
      </c>
      <c r="H1366">
        <v>199</v>
      </c>
      <c r="I1366">
        <v>1</v>
      </c>
      <c r="J1366">
        <v>199</v>
      </c>
    </row>
    <row r="1367" spans="1:10" x14ac:dyDescent="0.35">
      <c r="A1367" s="3" t="s">
        <v>1412</v>
      </c>
      <c r="B1367" s="4">
        <v>43535</v>
      </c>
      <c r="C1367">
        <v>18</v>
      </c>
      <c r="D1367" t="s">
        <v>26</v>
      </c>
      <c r="E1367" t="s">
        <v>36</v>
      </c>
      <c r="F1367" t="s">
        <v>28</v>
      </c>
      <c r="G1367" t="s">
        <v>24</v>
      </c>
      <c r="H1367">
        <v>159</v>
      </c>
      <c r="I1367">
        <v>1</v>
      </c>
      <c r="J1367">
        <v>159</v>
      </c>
    </row>
    <row r="1368" spans="1:10" x14ac:dyDescent="0.35">
      <c r="A1368" s="3" t="s">
        <v>1413</v>
      </c>
      <c r="B1368" s="4">
        <v>43535</v>
      </c>
      <c r="C1368">
        <v>8</v>
      </c>
      <c r="D1368" t="s">
        <v>45</v>
      </c>
      <c r="E1368" t="s">
        <v>22</v>
      </c>
      <c r="F1368" t="s">
        <v>23</v>
      </c>
      <c r="G1368" t="s">
        <v>14</v>
      </c>
      <c r="H1368">
        <v>199</v>
      </c>
      <c r="I1368">
        <v>5</v>
      </c>
      <c r="J1368">
        <v>995</v>
      </c>
    </row>
    <row r="1369" spans="1:10" x14ac:dyDescent="0.35">
      <c r="A1369" s="3" t="s">
        <v>1414</v>
      </c>
      <c r="B1369" s="4">
        <v>43536</v>
      </c>
      <c r="C1369">
        <v>19</v>
      </c>
      <c r="D1369" t="s">
        <v>56</v>
      </c>
      <c r="E1369" t="s">
        <v>36</v>
      </c>
      <c r="F1369" t="s">
        <v>28</v>
      </c>
      <c r="G1369" t="s">
        <v>41</v>
      </c>
      <c r="H1369">
        <v>399</v>
      </c>
      <c r="I1369">
        <v>9</v>
      </c>
      <c r="J1369">
        <v>3591</v>
      </c>
    </row>
    <row r="1370" spans="1:10" x14ac:dyDescent="0.35">
      <c r="A1370" s="3" t="s">
        <v>1415</v>
      </c>
      <c r="B1370" s="4">
        <v>43537</v>
      </c>
      <c r="C1370">
        <v>11</v>
      </c>
      <c r="D1370" t="s">
        <v>11</v>
      </c>
      <c r="E1370" t="s">
        <v>12</v>
      </c>
      <c r="F1370" t="s">
        <v>13</v>
      </c>
      <c r="G1370" t="s">
        <v>14</v>
      </c>
      <c r="H1370">
        <v>199</v>
      </c>
      <c r="I1370">
        <v>0</v>
      </c>
      <c r="J1370">
        <v>0</v>
      </c>
    </row>
    <row r="1371" spans="1:10" x14ac:dyDescent="0.35">
      <c r="A1371" s="3" t="s">
        <v>1416</v>
      </c>
      <c r="B1371" s="4">
        <v>43537</v>
      </c>
      <c r="C1371">
        <v>19</v>
      </c>
      <c r="D1371" t="s">
        <v>56</v>
      </c>
      <c r="E1371" t="s">
        <v>27</v>
      </c>
      <c r="F1371" t="s">
        <v>28</v>
      </c>
      <c r="G1371" t="s">
        <v>41</v>
      </c>
      <c r="H1371">
        <v>399</v>
      </c>
      <c r="I1371">
        <v>2</v>
      </c>
      <c r="J1371">
        <v>798</v>
      </c>
    </row>
    <row r="1372" spans="1:10" x14ac:dyDescent="0.35">
      <c r="A1372" s="3" t="s">
        <v>1417</v>
      </c>
      <c r="B1372" s="4">
        <v>43537</v>
      </c>
      <c r="C1372">
        <v>15</v>
      </c>
      <c r="D1372" t="s">
        <v>118</v>
      </c>
      <c r="E1372" t="s">
        <v>12</v>
      </c>
      <c r="F1372" t="s">
        <v>13</v>
      </c>
      <c r="G1372" t="s">
        <v>41</v>
      </c>
      <c r="H1372">
        <v>399</v>
      </c>
      <c r="I1372">
        <v>9</v>
      </c>
      <c r="J1372">
        <v>3591</v>
      </c>
    </row>
    <row r="1373" spans="1:10" x14ac:dyDescent="0.35">
      <c r="A1373" s="3" t="s">
        <v>1418</v>
      </c>
      <c r="B1373" s="4">
        <v>43538</v>
      </c>
      <c r="C1373">
        <v>4</v>
      </c>
      <c r="D1373" t="s">
        <v>51</v>
      </c>
      <c r="E1373" t="s">
        <v>17</v>
      </c>
      <c r="F1373" t="s">
        <v>18</v>
      </c>
      <c r="G1373" t="s">
        <v>24</v>
      </c>
      <c r="H1373">
        <v>159</v>
      </c>
      <c r="I1373">
        <v>2</v>
      </c>
      <c r="J1373">
        <v>318</v>
      </c>
    </row>
    <row r="1374" spans="1:10" x14ac:dyDescent="0.35">
      <c r="A1374" s="3" t="s">
        <v>1419</v>
      </c>
      <c r="B1374" s="4">
        <v>43539</v>
      </c>
      <c r="C1374">
        <v>1</v>
      </c>
      <c r="D1374" t="s">
        <v>16</v>
      </c>
      <c r="E1374" t="s">
        <v>68</v>
      </c>
      <c r="F1374" t="s">
        <v>18</v>
      </c>
      <c r="G1374" t="s">
        <v>14</v>
      </c>
      <c r="H1374">
        <v>199</v>
      </c>
      <c r="I1374">
        <v>4</v>
      </c>
      <c r="J1374">
        <v>796</v>
      </c>
    </row>
    <row r="1375" spans="1:10" x14ac:dyDescent="0.35">
      <c r="A1375" s="3" t="s">
        <v>1420</v>
      </c>
      <c r="B1375" s="4">
        <v>43540</v>
      </c>
      <c r="C1375">
        <v>13</v>
      </c>
      <c r="D1375" t="s">
        <v>33</v>
      </c>
      <c r="E1375" t="s">
        <v>63</v>
      </c>
      <c r="F1375" t="s">
        <v>13</v>
      </c>
      <c r="G1375" t="s">
        <v>31</v>
      </c>
      <c r="H1375">
        <v>69</v>
      </c>
      <c r="I1375">
        <v>9</v>
      </c>
      <c r="J1375">
        <v>621</v>
      </c>
    </row>
    <row r="1376" spans="1:10" x14ac:dyDescent="0.35">
      <c r="A1376" s="3" t="s">
        <v>1421</v>
      </c>
      <c r="B1376" s="4">
        <v>43541</v>
      </c>
      <c r="C1376">
        <v>4</v>
      </c>
      <c r="D1376" t="s">
        <v>51</v>
      </c>
      <c r="E1376" t="s">
        <v>68</v>
      </c>
      <c r="F1376" t="s">
        <v>18</v>
      </c>
      <c r="G1376" t="s">
        <v>24</v>
      </c>
      <c r="H1376">
        <v>159</v>
      </c>
      <c r="I1376">
        <v>5</v>
      </c>
      <c r="J1376">
        <v>795</v>
      </c>
    </row>
    <row r="1377" spans="1:10" x14ac:dyDescent="0.35">
      <c r="A1377" s="3" t="s">
        <v>1422</v>
      </c>
      <c r="B1377" s="4">
        <v>43541</v>
      </c>
      <c r="C1377">
        <v>7</v>
      </c>
      <c r="D1377" t="s">
        <v>88</v>
      </c>
      <c r="E1377" t="s">
        <v>46</v>
      </c>
      <c r="F1377" t="s">
        <v>23</v>
      </c>
      <c r="G1377" t="s">
        <v>41</v>
      </c>
      <c r="H1377">
        <v>399</v>
      </c>
      <c r="I1377">
        <v>6</v>
      </c>
      <c r="J1377">
        <v>2394</v>
      </c>
    </row>
    <row r="1378" spans="1:10" x14ac:dyDescent="0.35">
      <c r="A1378" s="3" t="s">
        <v>1423</v>
      </c>
      <c r="B1378" s="4">
        <v>43541</v>
      </c>
      <c r="C1378">
        <v>14</v>
      </c>
      <c r="D1378" t="s">
        <v>38</v>
      </c>
      <c r="E1378" t="s">
        <v>12</v>
      </c>
      <c r="F1378" t="s">
        <v>13</v>
      </c>
      <c r="G1378" t="s">
        <v>24</v>
      </c>
      <c r="H1378">
        <v>159</v>
      </c>
      <c r="I1378">
        <v>6</v>
      </c>
      <c r="J1378">
        <v>954</v>
      </c>
    </row>
    <row r="1379" spans="1:10" x14ac:dyDescent="0.35">
      <c r="A1379" s="3" t="s">
        <v>1424</v>
      </c>
      <c r="B1379" s="4">
        <v>43541</v>
      </c>
      <c r="C1379">
        <v>14</v>
      </c>
      <c r="D1379" t="s">
        <v>38</v>
      </c>
      <c r="E1379" t="s">
        <v>12</v>
      </c>
      <c r="F1379" t="s">
        <v>13</v>
      </c>
      <c r="G1379" t="s">
        <v>41</v>
      </c>
      <c r="H1379">
        <v>399</v>
      </c>
      <c r="I1379">
        <v>7</v>
      </c>
      <c r="J1379">
        <v>2793</v>
      </c>
    </row>
    <row r="1380" spans="1:10" x14ac:dyDescent="0.35">
      <c r="A1380" s="3" t="s">
        <v>1425</v>
      </c>
      <c r="B1380" s="4">
        <v>43541</v>
      </c>
      <c r="C1380">
        <v>14</v>
      </c>
      <c r="D1380" t="s">
        <v>38</v>
      </c>
      <c r="E1380" t="s">
        <v>12</v>
      </c>
      <c r="F1380" t="s">
        <v>13</v>
      </c>
      <c r="G1380" t="s">
        <v>19</v>
      </c>
      <c r="H1380">
        <v>289</v>
      </c>
      <c r="I1380">
        <v>6</v>
      </c>
      <c r="J1380">
        <v>1734</v>
      </c>
    </row>
    <row r="1381" spans="1:10" x14ac:dyDescent="0.35">
      <c r="A1381" s="3" t="s">
        <v>1426</v>
      </c>
      <c r="B1381" s="4">
        <v>43541</v>
      </c>
      <c r="C1381">
        <v>11</v>
      </c>
      <c r="D1381" t="s">
        <v>11</v>
      </c>
      <c r="E1381" t="s">
        <v>63</v>
      </c>
      <c r="F1381" t="s">
        <v>13</v>
      </c>
      <c r="G1381" t="s">
        <v>24</v>
      </c>
      <c r="H1381">
        <v>159</v>
      </c>
      <c r="I1381">
        <v>4</v>
      </c>
      <c r="J1381">
        <v>636</v>
      </c>
    </row>
    <row r="1382" spans="1:10" x14ac:dyDescent="0.35">
      <c r="A1382" s="3" t="s">
        <v>1427</v>
      </c>
      <c r="B1382" s="4">
        <v>43542</v>
      </c>
      <c r="C1382">
        <v>11</v>
      </c>
      <c r="D1382" t="s">
        <v>11</v>
      </c>
      <c r="E1382" t="s">
        <v>63</v>
      </c>
      <c r="F1382" t="s">
        <v>13</v>
      </c>
      <c r="G1382" t="s">
        <v>24</v>
      </c>
      <c r="H1382">
        <v>159</v>
      </c>
      <c r="I1382">
        <v>9</v>
      </c>
      <c r="J1382">
        <v>1431</v>
      </c>
    </row>
    <row r="1383" spans="1:10" x14ac:dyDescent="0.35">
      <c r="A1383" s="3" t="s">
        <v>1428</v>
      </c>
      <c r="B1383" s="4">
        <v>43543</v>
      </c>
      <c r="C1383">
        <v>5</v>
      </c>
      <c r="D1383" t="s">
        <v>60</v>
      </c>
      <c r="E1383" t="s">
        <v>68</v>
      </c>
      <c r="F1383" t="s">
        <v>18</v>
      </c>
      <c r="G1383" t="s">
        <v>31</v>
      </c>
      <c r="H1383">
        <v>69</v>
      </c>
      <c r="I1383">
        <v>1</v>
      </c>
      <c r="J1383">
        <v>69</v>
      </c>
    </row>
    <row r="1384" spans="1:10" x14ac:dyDescent="0.35">
      <c r="A1384" s="3" t="s">
        <v>1429</v>
      </c>
      <c r="B1384" s="4">
        <v>43543</v>
      </c>
      <c r="C1384">
        <v>14</v>
      </c>
      <c r="D1384" t="s">
        <v>38</v>
      </c>
      <c r="E1384" t="s">
        <v>63</v>
      </c>
      <c r="F1384" t="s">
        <v>13</v>
      </c>
      <c r="G1384" t="s">
        <v>41</v>
      </c>
      <c r="H1384">
        <v>399</v>
      </c>
      <c r="I1384">
        <v>8</v>
      </c>
      <c r="J1384">
        <v>3192</v>
      </c>
    </row>
    <row r="1385" spans="1:10" x14ac:dyDescent="0.35">
      <c r="A1385" s="3" t="s">
        <v>1430</v>
      </c>
      <c r="B1385" s="4">
        <v>43543</v>
      </c>
      <c r="C1385">
        <v>15</v>
      </c>
      <c r="D1385" t="s">
        <v>118</v>
      </c>
      <c r="E1385" t="s">
        <v>12</v>
      </c>
      <c r="F1385" t="s">
        <v>13</v>
      </c>
      <c r="G1385" t="s">
        <v>14</v>
      </c>
      <c r="H1385">
        <v>199</v>
      </c>
      <c r="I1385">
        <v>9</v>
      </c>
      <c r="J1385">
        <v>1791</v>
      </c>
    </row>
    <row r="1386" spans="1:10" x14ac:dyDescent="0.35">
      <c r="A1386" s="3" t="s">
        <v>1431</v>
      </c>
      <c r="B1386" s="4">
        <v>43543</v>
      </c>
      <c r="C1386">
        <v>17</v>
      </c>
      <c r="D1386" t="s">
        <v>35</v>
      </c>
      <c r="E1386" t="s">
        <v>27</v>
      </c>
      <c r="F1386" t="s">
        <v>28</v>
      </c>
      <c r="G1386" t="s">
        <v>41</v>
      </c>
      <c r="H1386">
        <v>399</v>
      </c>
      <c r="I1386">
        <v>5</v>
      </c>
      <c r="J1386">
        <v>1995</v>
      </c>
    </row>
    <row r="1387" spans="1:10" x14ac:dyDescent="0.35">
      <c r="A1387" s="3" t="s">
        <v>1432</v>
      </c>
      <c r="B1387" s="4">
        <v>43543</v>
      </c>
      <c r="C1387">
        <v>2</v>
      </c>
      <c r="D1387" t="s">
        <v>106</v>
      </c>
      <c r="E1387" t="s">
        <v>68</v>
      </c>
      <c r="F1387" t="s">
        <v>18</v>
      </c>
      <c r="G1387" t="s">
        <v>14</v>
      </c>
      <c r="H1387">
        <v>199</v>
      </c>
      <c r="I1387">
        <v>8</v>
      </c>
      <c r="J1387">
        <v>1592</v>
      </c>
    </row>
    <row r="1388" spans="1:10" x14ac:dyDescent="0.35">
      <c r="A1388" s="3" t="s">
        <v>1433</v>
      </c>
      <c r="B1388" s="4">
        <v>43543</v>
      </c>
      <c r="C1388">
        <v>18</v>
      </c>
      <c r="D1388" t="s">
        <v>26</v>
      </c>
      <c r="E1388" t="s">
        <v>27</v>
      </c>
      <c r="F1388" t="s">
        <v>28</v>
      </c>
      <c r="G1388" t="s">
        <v>24</v>
      </c>
      <c r="H1388">
        <v>159</v>
      </c>
      <c r="I1388">
        <v>8</v>
      </c>
      <c r="J1388">
        <v>1272</v>
      </c>
    </row>
    <row r="1389" spans="1:10" x14ac:dyDescent="0.35">
      <c r="A1389" s="3" t="s">
        <v>1434</v>
      </c>
      <c r="B1389" s="4">
        <v>43543</v>
      </c>
      <c r="C1389">
        <v>9</v>
      </c>
      <c r="D1389" t="s">
        <v>21</v>
      </c>
      <c r="E1389" t="s">
        <v>46</v>
      </c>
      <c r="F1389" t="s">
        <v>23</v>
      </c>
      <c r="G1389" t="s">
        <v>41</v>
      </c>
      <c r="H1389">
        <v>399</v>
      </c>
      <c r="I1389">
        <v>9</v>
      </c>
      <c r="J1389">
        <v>3591</v>
      </c>
    </row>
    <row r="1390" spans="1:10" x14ac:dyDescent="0.35">
      <c r="A1390" s="3" t="s">
        <v>1435</v>
      </c>
      <c r="B1390" s="4">
        <v>43543</v>
      </c>
      <c r="C1390">
        <v>1</v>
      </c>
      <c r="D1390" t="s">
        <v>16</v>
      </c>
      <c r="E1390" t="s">
        <v>17</v>
      </c>
      <c r="F1390" t="s">
        <v>18</v>
      </c>
      <c r="G1390" t="s">
        <v>31</v>
      </c>
      <c r="H1390">
        <v>69</v>
      </c>
      <c r="I1390">
        <v>9</v>
      </c>
      <c r="J1390">
        <v>621</v>
      </c>
    </row>
    <row r="1391" spans="1:10" x14ac:dyDescent="0.35">
      <c r="A1391" s="3" t="s">
        <v>1436</v>
      </c>
      <c r="B1391" s="4">
        <v>43543</v>
      </c>
      <c r="C1391">
        <v>4</v>
      </c>
      <c r="D1391" t="s">
        <v>51</v>
      </c>
      <c r="E1391" t="s">
        <v>17</v>
      </c>
      <c r="F1391" t="s">
        <v>18</v>
      </c>
      <c r="G1391" t="s">
        <v>24</v>
      </c>
      <c r="H1391">
        <v>159</v>
      </c>
      <c r="I1391">
        <v>3</v>
      </c>
      <c r="J1391">
        <v>477</v>
      </c>
    </row>
    <row r="1392" spans="1:10" x14ac:dyDescent="0.35">
      <c r="A1392" s="3" t="s">
        <v>1437</v>
      </c>
      <c r="B1392" s="4">
        <v>43543</v>
      </c>
      <c r="C1392">
        <v>10</v>
      </c>
      <c r="D1392" t="s">
        <v>58</v>
      </c>
      <c r="E1392" t="s">
        <v>46</v>
      </c>
      <c r="F1392" t="s">
        <v>23</v>
      </c>
      <c r="G1392" t="s">
        <v>41</v>
      </c>
      <c r="H1392">
        <v>399</v>
      </c>
      <c r="I1392">
        <v>0</v>
      </c>
      <c r="J1392">
        <v>0</v>
      </c>
    </row>
    <row r="1393" spans="1:10" x14ac:dyDescent="0.35">
      <c r="A1393" s="3" t="s">
        <v>1438</v>
      </c>
      <c r="B1393" s="4">
        <v>43544</v>
      </c>
      <c r="C1393">
        <v>15</v>
      </c>
      <c r="D1393" t="s">
        <v>118</v>
      </c>
      <c r="E1393" t="s">
        <v>63</v>
      </c>
      <c r="F1393" t="s">
        <v>13</v>
      </c>
      <c r="G1393" t="s">
        <v>24</v>
      </c>
      <c r="H1393">
        <v>159</v>
      </c>
      <c r="I1393">
        <v>5</v>
      </c>
      <c r="J1393">
        <v>795</v>
      </c>
    </row>
    <row r="1394" spans="1:10" x14ac:dyDescent="0.35">
      <c r="A1394" s="3" t="s">
        <v>1439</v>
      </c>
      <c r="B1394" s="4">
        <v>43544</v>
      </c>
      <c r="C1394">
        <v>18</v>
      </c>
      <c r="D1394" t="s">
        <v>26</v>
      </c>
      <c r="E1394" t="s">
        <v>36</v>
      </c>
      <c r="F1394" t="s">
        <v>28</v>
      </c>
      <c r="G1394" t="s">
        <v>31</v>
      </c>
      <c r="H1394">
        <v>69</v>
      </c>
      <c r="I1394">
        <v>3</v>
      </c>
      <c r="J1394">
        <v>207</v>
      </c>
    </row>
    <row r="1395" spans="1:10" x14ac:dyDescent="0.35">
      <c r="A1395" s="3" t="s">
        <v>1440</v>
      </c>
      <c r="B1395" s="4">
        <v>43544</v>
      </c>
      <c r="C1395">
        <v>1</v>
      </c>
      <c r="D1395" t="s">
        <v>16</v>
      </c>
      <c r="E1395" t="s">
        <v>68</v>
      </c>
      <c r="F1395" t="s">
        <v>18</v>
      </c>
      <c r="G1395" t="s">
        <v>19</v>
      </c>
      <c r="H1395">
        <v>289</v>
      </c>
      <c r="I1395">
        <v>3</v>
      </c>
      <c r="J1395">
        <v>867</v>
      </c>
    </row>
    <row r="1396" spans="1:10" x14ac:dyDescent="0.35">
      <c r="A1396" s="3" t="s">
        <v>1441</v>
      </c>
      <c r="B1396" s="4">
        <v>43545</v>
      </c>
      <c r="C1396">
        <v>4</v>
      </c>
      <c r="D1396" t="s">
        <v>51</v>
      </c>
      <c r="E1396" t="s">
        <v>17</v>
      </c>
      <c r="F1396" t="s">
        <v>18</v>
      </c>
      <c r="G1396" t="s">
        <v>14</v>
      </c>
      <c r="H1396">
        <v>199</v>
      </c>
      <c r="I1396">
        <v>3</v>
      </c>
      <c r="J1396">
        <v>597</v>
      </c>
    </row>
    <row r="1397" spans="1:10" x14ac:dyDescent="0.35">
      <c r="A1397" s="3" t="s">
        <v>1442</v>
      </c>
      <c r="B1397" s="4">
        <v>43546</v>
      </c>
      <c r="C1397">
        <v>11</v>
      </c>
      <c r="D1397" t="s">
        <v>11</v>
      </c>
      <c r="E1397" t="s">
        <v>12</v>
      </c>
      <c r="F1397" t="s">
        <v>13</v>
      </c>
      <c r="G1397" t="s">
        <v>41</v>
      </c>
      <c r="H1397">
        <v>399</v>
      </c>
      <c r="I1397">
        <v>9</v>
      </c>
      <c r="J1397">
        <v>3591</v>
      </c>
    </row>
    <row r="1398" spans="1:10" x14ac:dyDescent="0.35">
      <c r="A1398" s="3" t="s">
        <v>1443</v>
      </c>
      <c r="B1398" s="4">
        <v>43547</v>
      </c>
      <c r="C1398">
        <v>2</v>
      </c>
      <c r="D1398" t="s">
        <v>106</v>
      </c>
      <c r="E1398" t="s">
        <v>17</v>
      </c>
      <c r="F1398" t="s">
        <v>18</v>
      </c>
      <c r="G1398" t="s">
        <v>24</v>
      </c>
      <c r="H1398">
        <v>159</v>
      </c>
      <c r="I1398">
        <v>5</v>
      </c>
      <c r="J1398">
        <v>795</v>
      </c>
    </row>
    <row r="1399" spans="1:10" x14ac:dyDescent="0.35">
      <c r="A1399" s="3" t="s">
        <v>1444</v>
      </c>
      <c r="B1399" s="4">
        <v>43547</v>
      </c>
      <c r="C1399">
        <v>17</v>
      </c>
      <c r="D1399" t="s">
        <v>35</v>
      </c>
      <c r="E1399" t="s">
        <v>27</v>
      </c>
      <c r="F1399" t="s">
        <v>28</v>
      </c>
      <c r="G1399" t="s">
        <v>19</v>
      </c>
      <c r="H1399">
        <v>289</v>
      </c>
      <c r="I1399">
        <v>2</v>
      </c>
      <c r="J1399">
        <v>578</v>
      </c>
    </row>
    <row r="1400" spans="1:10" x14ac:dyDescent="0.35">
      <c r="A1400" s="3" t="s">
        <v>1445</v>
      </c>
      <c r="B1400" s="4">
        <v>43547</v>
      </c>
      <c r="C1400">
        <v>2</v>
      </c>
      <c r="D1400" t="s">
        <v>106</v>
      </c>
      <c r="E1400" t="s">
        <v>68</v>
      </c>
      <c r="F1400" t="s">
        <v>18</v>
      </c>
      <c r="G1400" t="s">
        <v>14</v>
      </c>
      <c r="H1400">
        <v>199</v>
      </c>
      <c r="I1400">
        <v>8</v>
      </c>
      <c r="J1400">
        <v>1592</v>
      </c>
    </row>
    <row r="1401" spans="1:10" x14ac:dyDescent="0.35">
      <c r="A1401" s="3" t="s">
        <v>1446</v>
      </c>
      <c r="B1401" s="4">
        <v>43547</v>
      </c>
      <c r="C1401">
        <v>5</v>
      </c>
      <c r="D1401" t="s">
        <v>60</v>
      </c>
      <c r="E1401" t="s">
        <v>68</v>
      </c>
      <c r="F1401" t="s">
        <v>18</v>
      </c>
      <c r="G1401" t="s">
        <v>41</v>
      </c>
      <c r="H1401">
        <v>399</v>
      </c>
      <c r="I1401">
        <v>1</v>
      </c>
      <c r="J1401">
        <v>399</v>
      </c>
    </row>
    <row r="1402" spans="1:10" x14ac:dyDescent="0.35">
      <c r="A1402" s="3" t="s">
        <v>1447</v>
      </c>
      <c r="B1402" s="4">
        <v>43547</v>
      </c>
      <c r="C1402">
        <v>15</v>
      </c>
      <c r="D1402" t="s">
        <v>118</v>
      </c>
      <c r="E1402" t="s">
        <v>63</v>
      </c>
      <c r="F1402" t="s">
        <v>13</v>
      </c>
      <c r="G1402" t="s">
        <v>19</v>
      </c>
      <c r="H1402">
        <v>289</v>
      </c>
      <c r="I1402">
        <v>6</v>
      </c>
      <c r="J1402">
        <v>1734</v>
      </c>
    </row>
    <row r="1403" spans="1:10" x14ac:dyDescent="0.35">
      <c r="A1403" s="3" t="s">
        <v>1448</v>
      </c>
      <c r="B1403" s="4">
        <v>43547</v>
      </c>
      <c r="C1403">
        <v>8</v>
      </c>
      <c r="D1403" t="s">
        <v>45</v>
      </c>
      <c r="E1403" t="s">
        <v>46</v>
      </c>
      <c r="F1403" t="s">
        <v>23</v>
      </c>
      <c r="G1403" t="s">
        <v>31</v>
      </c>
      <c r="H1403">
        <v>69</v>
      </c>
      <c r="I1403">
        <v>8</v>
      </c>
      <c r="J1403">
        <v>552</v>
      </c>
    </row>
    <row r="1404" spans="1:10" x14ac:dyDescent="0.35">
      <c r="A1404" s="3" t="s">
        <v>1449</v>
      </c>
      <c r="B1404" s="4">
        <v>43547</v>
      </c>
      <c r="C1404">
        <v>9</v>
      </c>
      <c r="D1404" t="s">
        <v>21</v>
      </c>
      <c r="E1404" t="s">
        <v>22</v>
      </c>
      <c r="F1404" t="s">
        <v>23</v>
      </c>
      <c r="G1404" t="s">
        <v>41</v>
      </c>
      <c r="H1404">
        <v>399</v>
      </c>
      <c r="I1404">
        <v>9</v>
      </c>
      <c r="J1404">
        <v>3591</v>
      </c>
    </row>
    <row r="1405" spans="1:10" x14ac:dyDescent="0.35">
      <c r="A1405" s="3" t="s">
        <v>1450</v>
      </c>
      <c r="B1405" s="4">
        <v>43547</v>
      </c>
      <c r="C1405">
        <v>5</v>
      </c>
      <c r="D1405" t="s">
        <v>60</v>
      </c>
      <c r="E1405" t="s">
        <v>17</v>
      </c>
      <c r="F1405" t="s">
        <v>18</v>
      </c>
      <c r="G1405" t="s">
        <v>19</v>
      </c>
      <c r="H1405">
        <v>289</v>
      </c>
      <c r="I1405">
        <v>6</v>
      </c>
      <c r="J1405">
        <v>1734</v>
      </c>
    </row>
    <row r="1406" spans="1:10" x14ac:dyDescent="0.35">
      <c r="A1406" s="3" t="s">
        <v>1451</v>
      </c>
      <c r="B1406" s="4">
        <v>43547</v>
      </c>
      <c r="C1406">
        <v>11</v>
      </c>
      <c r="D1406" t="s">
        <v>11</v>
      </c>
      <c r="E1406" t="s">
        <v>63</v>
      </c>
      <c r="F1406" t="s">
        <v>13</v>
      </c>
      <c r="G1406" t="s">
        <v>14</v>
      </c>
      <c r="H1406">
        <v>199</v>
      </c>
      <c r="I1406">
        <v>8</v>
      </c>
      <c r="J1406">
        <v>1592</v>
      </c>
    </row>
    <row r="1407" spans="1:10" x14ac:dyDescent="0.35">
      <c r="A1407" s="3" t="s">
        <v>1452</v>
      </c>
      <c r="B1407" s="4">
        <v>43547</v>
      </c>
      <c r="C1407">
        <v>15</v>
      </c>
      <c r="D1407" t="s">
        <v>118</v>
      </c>
      <c r="E1407" t="s">
        <v>63</v>
      </c>
      <c r="F1407" t="s">
        <v>13</v>
      </c>
      <c r="G1407" t="s">
        <v>24</v>
      </c>
      <c r="H1407">
        <v>159</v>
      </c>
      <c r="I1407">
        <v>7</v>
      </c>
      <c r="J1407">
        <v>1113</v>
      </c>
    </row>
    <row r="1408" spans="1:10" x14ac:dyDescent="0.35">
      <c r="A1408" s="3" t="s">
        <v>1453</v>
      </c>
      <c r="B1408" s="4">
        <v>43548</v>
      </c>
      <c r="C1408">
        <v>12</v>
      </c>
      <c r="D1408" t="s">
        <v>66</v>
      </c>
      <c r="E1408" t="s">
        <v>63</v>
      </c>
      <c r="F1408" t="s">
        <v>13</v>
      </c>
      <c r="G1408" t="s">
        <v>41</v>
      </c>
      <c r="H1408">
        <v>399</v>
      </c>
      <c r="I1408">
        <v>8</v>
      </c>
      <c r="J1408">
        <v>3192</v>
      </c>
    </row>
    <row r="1409" spans="1:10" x14ac:dyDescent="0.35">
      <c r="A1409" s="3" t="s">
        <v>1454</v>
      </c>
      <c r="B1409" s="4">
        <v>43549</v>
      </c>
      <c r="C1409">
        <v>3</v>
      </c>
      <c r="D1409" t="s">
        <v>43</v>
      </c>
      <c r="E1409" t="s">
        <v>17</v>
      </c>
      <c r="F1409" t="s">
        <v>18</v>
      </c>
      <c r="G1409" t="s">
        <v>41</v>
      </c>
      <c r="H1409">
        <v>399</v>
      </c>
      <c r="I1409">
        <v>9</v>
      </c>
      <c r="J1409">
        <v>3591</v>
      </c>
    </row>
    <row r="1410" spans="1:10" x14ac:dyDescent="0.35">
      <c r="A1410" s="3" t="s">
        <v>1455</v>
      </c>
      <c r="B1410" s="4">
        <v>43549</v>
      </c>
      <c r="C1410">
        <v>18</v>
      </c>
      <c r="D1410" t="s">
        <v>26</v>
      </c>
      <c r="E1410" t="s">
        <v>36</v>
      </c>
      <c r="F1410" t="s">
        <v>28</v>
      </c>
      <c r="G1410" t="s">
        <v>41</v>
      </c>
      <c r="H1410">
        <v>399</v>
      </c>
      <c r="I1410">
        <v>3</v>
      </c>
      <c r="J1410">
        <v>1197</v>
      </c>
    </row>
    <row r="1411" spans="1:10" x14ac:dyDescent="0.35">
      <c r="A1411" s="3" t="s">
        <v>1456</v>
      </c>
      <c r="B1411" s="4">
        <v>43549</v>
      </c>
      <c r="C1411">
        <v>12</v>
      </c>
      <c r="D1411" t="s">
        <v>66</v>
      </c>
      <c r="E1411" t="s">
        <v>63</v>
      </c>
      <c r="F1411" t="s">
        <v>13</v>
      </c>
      <c r="G1411" t="s">
        <v>19</v>
      </c>
      <c r="H1411">
        <v>289</v>
      </c>
      <c r="I1411">
        <v>6</v>
      </c>
      <c r="J1411">
        <v>1734</v>
      </c>
    </row>
    <row r="1412" spans="1:10" x14ac:dyDescent="0.35">
      <c r="A1412" s="3" t="s">
        <v>1457</v>
      </c>
      <c r="B1412" s="4">
        <v>43550</v>
      </c>
      <c r="C1412">
        <v>8</v>
      </c>
      <c r="D1412" t="s">
        <v>45</v>
      </c>
      <c r="E1412" t="s">
        <v>46</v>
      </c>
      <c r="F1412" t="s">
        <v>23</v>
      </c>
      <c r="G1412" t="s">
        <v>14</v>
      </c>
      <c r="H1412">
        <v>199</v>
      </c>
      <c r="I1412">
        <v>1</v>
      </c>
      <c r="J1412">
        <v>199</v>
      </c>
    </row>
    <row r="1413" spans="1:10" x14ac:dyDescent="0.35">
      <c r="A1413" s="3" t="s">
        <v>1458</v>
      </c>
      <c r="B1413" s="4">
        <v>43550</v>
      </c>
      <c r="C1413">
        <v>19</v>
      </c>
      <c r="D1413" t="s">
        <v>56</v>
      </c>
      <c r="E1413" t="s">
        <v>36</v>
      </c>
      <c r="F1413" t="s">
        <v>28</v>
      </c>
      <c r="G1413" t="s">
        <v>19</v>
      </c>
      <c r="H1413">
        <v>289</v>
      </c>
      <c r="I1413">
        <v>3</v>
      </c>
      <c r="J1413">
        <v>867</v>
      </c>
    </row>
    <row r="1414" spans="1:10" x14ac:dyDescent="0.35">
      <c r="A1414" s="3" t="s">
        <v>1459</v>
      </c>
      <c r="B1414" s="4">
        <v>43551</v>
      </c>
      <c r="C1414">
        <v>4</v>
      </c>
      <c r="D1414" t="s">
        <v>51</v>
      </c>
      <c r="E1414" t="s">
        <v>17</v>
      </c>
      <c r="F1414" t="s">
        <v>18</v>
      </c>
      <c r="G1414" t="s">
        <v>41</v>
      </c>
      <c r="H1414">
        <v>399</v>
      </c>
      <c r="I1414">
        <v>6</v>
      </c>
      <c r="J1414">
        <v>2394</v>
      </c>
    </row>
    <row r="1415" spans="1:10" x14ac:dyDescent="0.35">
      <c r="A1415" s="3" t="s">
        <v>1460</v>
      </c>
      <c r="B1415" s="4">
        <v>43551</v>
      </c>
      <c r="C1415">
        <v>6</v>
      </c>
      <c r="D1415" t="s">
        <v>48</v>
      </c>
      <c r="E1415" t="s">
        <v>46</v>
      </c>
      <c r="F1415" t="s">
        <v>23</v>
      </c>
      <c r="G1415" t="s">
        <v>19</v>
      </c>
      <c r="H1415">
        <v>289</v>
      </c>
      <c r="I1415">
        <v>7</v>
      </c>
      <c r="J1415">
        <v>2023</v>
      </c>
    </row>
    <row r="1416" spans="1:10" x14ac:dyDescent="0.35">
      <c r="A1416" s="3" t="s">
        <v>1461</v>
      </c>
      <c r="B1416" s="4">
        <v>43551</v>
      </c>
      <c r="C1416">
        <v>17</v>
      </c>
      <c r="D1416" t="s">
        <v>35</v>
      </c>
      <c r="E1416" t="s">
        <v>36</v>
      </c>
      <c r="F1416" t="s">
        <v>28</v>
      </c>
      <c r="G1416" t="s">
        <v>24</v>
      </c>
      <c r="H1416">
        <v>159</v>
      </c>
      <c r="I1416">
        <v>7</v>
      </c>
      <c r="J1416">
        <v>1113</v>
      </c>
    </row>
    <row r="1417" spans="1:10" x14ac:dyDescent="0.35">
      <c r="A1417" s="3" t="s">
        <v>1462</v>
      </c>
      <c r="B1417" s="4">
        <v>43551</v>
      </c>
      <c r="C1417">
        <v>13</v>
      </c>
      <c r="D1417" t="s">
        <v>33</v>
      </c>
      <c r="E1417" t="s">
        <v>63</v>
      </c>
      <c r="F1417" t="s">
        <v>13</v>
      </c>
      <c r="G1417" t="s">
        <v>19</v>
      </c>
      <c r="H1417">
        <v>289</v>
      </c>
      <c r="I1417">
        <v>9</v>
      </c>
      <c r="J1417">
        <v>2601</v>
      </c>
    </row>
    <row r="1418" spans="1:10" x14ac:dyDescent="0.35">
      <c r="A1418" s="3" t="s">
        <v>1463</v>
      </c>
      <c r="B1418" s="4">
        <v>43551</v>
      </c>
      <c r="C1418">
        <v>18</v>
      </c>
      <c r="D1418" t="s">
        <v>26</v>
      </c>
      <c r="E1418" t="s">
        <v>27</v>
      </c>
      <c r="F1418" t="s">
        <v>28</v>
      </c>
      <c r="G1418" t="s">
        <v>14</v>
      </c>
      <c r="H1418">
        <v>199</v>
      </c>
      <c r="I1418">
        <v>2</v>
      </c>
      <c r="J1418">
        <v>398</v>
      </c>
    </row>
    <row r="1419" spans="1:10" x14ac:dyDescent="0.35">
      <c r="A1419" s="3" t="s">
        <v>1464</v>
      </c>
      <c r="B1419" s="4">
        <v>43552</v>
      </c>
      <c r="C1419">
        <v>1</v>
      </c>
      <c r="D1419" t="s">
        <v>16</v>
      </c>
      <c r="E1419" t="s">
        <v>68</v>
      </c>
      <c r="F1419" t="s">
        <v>18</v>
      </c>
      <c r="G1419" t="s">
        <v>19</v>
      </c>
      <c r="H1419">
        <v>289</v>
      </c>
      <c r="I1419">
        <v>9</v>
      </c>
      <c r="J1419">
        <v>2601</v>
      </c>
    </row>
    <row r="1420" spans="1:10" x14ac:dyDescent="0.35">
      <c r="A1420" s="3" t="s">
        <v>1465</v>
      </c>
      <c r="B1420" s="4">
        <v>43553</v>
      </c>
      <c r="C1420">
        <v>18</v>
      </c>
      <c r="D1420" t="s">
        <v>26</v>
      </c>
      <c r="E1420" t="s">
        <v>36</v>
      </c>
      <c r="F1420" t="s">
        <v>28</v>
      </c>
      <c r="G1420" t="s">
        <v>24</v>
      </c>
      <c r="H1420">
        <v>159</v>
      </c>
      <c r="I1420">
        <v>0</v>
      </c>
      <c r="J1420">
        <v>0</v>
      </c>
    </row>
    <row r="1421" spans="1:10" x14ac:dyDescent="0.35">
      <c r="A1421" s="3" t="s">
        <v>1466</v>
      </c>
      <c r="B1421" s="4">
        <v>43553</v>
      </c>
      <c r="C1421">
        <v>18</v>
      </c>
      <c r="D1421" t="s">
        <v>26</v>
      </c>
      <c r="E1421" t="s">
        <v>36</v>
      </c>
      <c r="F1421" t="s">
        <v>28</v>
      </c>
      <c r="G1421" t="s">
        <v>14</v>
      </c>
      <c r="H1421">
        <v>199</v>
      </c>
      <c r="I1421">
        <v>0</v>
      </c>
      <c r="J1421">
        <v>0</v>
      </c>
    </row>
    <row r="1422" spans="1:10" x14ac:dyDescent="0.35">
      <c r="A1422" s="3" t="s">
        <v>1467</v>
      </c>
      <c r="B1422" s="4">
        <v>43553</v>
      </c>
      <c r="C1422">
        <v>2</v>
      </c>
      <c r="D1422" t="s">
        <v>106</v>
      </c>
      <c r="E1422" t="s">
        <v>17</v>
      </c>
      <c r="F1422" t="s">
        <v>18</v>
      </c>
      <c r="G1422" t="s">
        <v>14</v>
      </c>
      <c r="H1422">
        <v>199</v>
      </c>
      <c r="I1422">
        <v>0</v>
      </c>
      <c r="J1422">
        <v>0</v>
      </c>
    </row>
    <row r="1423" spans="1:10" x14ac:dyDescent="0.35">
      <c r="A1423" s="3" t="s">
        <v>1468</v>
      </c>
      <c r="B1423" s="4">
        <v>43554</v>
      </c>
      <c r="C1423">
        <v>2</v>
      </c>
      <c r="D1423" t="s">
        <v>106</v>
      </c>
      <c r="E1423" t="s">
        <v>68</v>
      </c>
      <c r="F1423" t="s">
        <v>18</v>
      </c>
      <c r="G1423" t="s">
        <v>14</v>
      </c>
      <c r="H1423">
        <v>199</v>
      </c>
      <c r="I1423">
        <v>9</v>
      </c>
      <c r="J1423">
        <v>1791</v>
      </c>
    </row>
    <row r="1424" spans="1:10" x14ac:dyDescent="0.35">
      <c r="A1424" s="3" t="s">
        <v>1469</v>
      </c>
      <c r="B1424" s="4">
        <v>43554</v>
      </c>
      <c r="C1424">
        <v>7</v>
      </c>
      <c r="D1424" t="s">
        <v>88</v>
      </c>
      <c r="E1424" t="s">
        <v>22</v>
      </c>
      <c r="F1424" t="s">
        <v>23</v>
      </c>
      <c r="G1424" t="s">
        <v>41</v>
      </c>
      <c r="H1424">
        <v>399</v>
      </c>
      <c r="I1424">
        <v>2</v>
      </c>
      <c r="J1424">
        <v>798</v>
      </c>
    </row>
    <row r="1425" spans="1:10" x14ac:dyDescent="0.35">
      <c r="A1425" s="3" t="s">
        <v>1470</v>
      </c>
      <c r="B1425" s="4">
        <v>43555</v>
      </c>
      <c r="C1425">
        <v>19</v>
      </c>
      <c r="D1425" t="s">
        <v>56</v>
      </c>
      <c r="E1425" t="s">
        <v>36</v>
      </c>
      <c r="F1425" t="s">
        <v>28</v>
      </c>
      <c r="G1425" t="s">
        <v>19</v>
      </c>
      <c r="H1425">
        <v>289</v>
      </c>
      <c r="I1425">
        <v>8</v>
      </c>
      <c r="J1425">
        <v>2312</v>
      </c>
    </row>
    <row r="1426" spans="1:10" x14ac:dyDescent="0.35">
      <c r="A1426" s="3" t="s">
        <v>1471</v>
      </c>
      <c r="B1426" s="4">
        <v>43555</v>
      </c>
      <c r="C1426">
        <v>19</v>
      </c>
      <c r="D1426" t="s">
        <v>56</v>
      </c>
      <c r="E1426" t="s">
        <v>36</v>
      </c>
      <c r="F1426" t="s">
        <v>28</v>
      </c>
      <c r="G1426" t="s">
        <v>24</v>
      </c>
      <c r="H1426">
        <v>159</v>
      </c>
      <c r="I1426">
        <v>6</v>
      </c>
      <c r="J1426">
        <v>954</v>
      </c>
    </row>
    <row r="1427" spans="1:10" x14ac:dyDescent="0.35">
      <c r="A1427" s="3" t="s">
        <v>1472</v>
      </c>
      <c r="B1427" s="4">
        <v>43555</v>
      </c>
      <c r="C1427">
        <v>13</v>
      </c>
      <c r="D1427" t="s">
        <v>33</v>
      </c>
      <c r="E1427" t="s">
        <v>63</v>
      </c>
      <c r="F1427" t="s">
        <v>13</v>
      </c>
      <c r="G1427" t="s">
        <v>41</v>
      </c>
      <c r="H1427">
        <v>399</v>
      </c>
      <c r="I1427">
        <v>0</v>
      </c>
      <c r="J1427">
        <v>0</v>
      </c>
    </row>
    <row r="1428" spans="1:10" x14ac:dyDescent="0.35">
      <c r="A1428" s="3" t="s">
        <v>1473</v>
      </c>
      <c r="B1428" s="4">
        <v>43555</v>
      </c>
      <c r="C1428">
        <v>10</v>
      </c>
      <c r="D1428" t="s">
        <v>58</v>
      </c>
      <c r="E1428" t="s">
        <v>46</v>
      </c>
      <c r="F1428" t="s">
        <v>23</v>
      </c>
      <c r="G1428" t="s">
        <v>41</v>
      </c>
      <c r="H1428">
        <v>399</v>
      </c>
      <c r="I1428">
        <v>8</v>
      </c>
      <c r="J1428">
        <v>3192</v>
      </c>
    </row>
    <row r="1429" spans="1:10" x14ac:dyDescent="0.35">
      <c r="A1429" s="3" t="s">
        <v>1474</v>
      </c>
      <c r="B1429" s="4">
        <v>43555</v>
      </c>
      <c r="C1429">
        <v>5</v>
      </c>
      <c r="D1429" t="s">
        <v>60</v>
      </c>
      <c r="E1429" t="s">
        <v>68</v>
      </c>
      <c r="F1429" t="s">
        <v>18</v>
      </c>
      <c r="G1429" t="s">
        <v>14</v>
      </c>
      <c r="H1429">
        <v>199</v>
      </c>
      <c r="I1429">
        <v>9</v>
      </c>
      <c r="J1429">
        <v>1791</v>
      </c>
    </row>
    <row r="1430" spans="1:10" x14ac:dyDescent="0.35">
      <c r="A1430" s="3" t="s">
        <v>1475</v>
      </c>
      <c r="B1430" s="4">
        <v>43556</v>
      </c>
      <c r="C1430">
        <v>1</v>
      </c>
      <c r="D1430" t="s">
        <v>16</v>
      </c>
      <c r="E1430" t="s">
        <v>68</v>
      </c>
      <c r="F1430" t="s">
        <v>18</v>
      </c>
      <c r="G1430" t="s">
        <v>41</v>
      </c>
      <c r="H1430">
        <v>399</v>
      </c>
      <c r="I1430">
        <v>4</v>
      </c>
      <c r="J1430">
        <v>1596</v>
      </c>
    </row>
    <row r="1431" spans="1:10" x14ac:dyDescent="0.35">
      <c r="A1431" s="3" t="s">
        <v>1476</v>
      </c>
      <c r="B1431" s="4">
        <v>43556</v>
      </c>
      <c r="C1431">
        <v>10</v>
      </c>
      <c r="D1431" t="s">
        <v>58</v>
      </c>
      <c r="E1431" t="s">
        <v>22</v>
      </c>
      <c r="F1431" t="s">
        <v>23</v>
      </c>
      <c r="G1431" t="s">
        <v>14</v>
      </c>
      <c r="H1431">
        <v>199</v>
      </c>
      <c r="I1431">
        <v>6</v>
      </c>
      <c r="J1431">
        <v>1194</v>
      </c>
    </row>
    <row r="1432" spans="1:10" x14ac:dyDescent="0.35">
      <c r="A1432" s="3" t="s">
        <v>1477</v>
      </c>
      <c r="B1432" s="4">
        <v>43557</v>
      </c>
      <c r="C1432">
        <v>8</v>
      </c>
      <c r="D1432" t="s">
        <v>45</v>
      </c>
      <c r="E1432" t="s">
        <v>22</v>
      </c>
      <c r="F1432" t="s">
        <v>23</v>
      </c>
      <c r="G1432" t="s">
        <v>41</v>
      </c>
      <c r="H1432">
        <v>399</v>
      </c>
      <c r="I1432">
        <v>0</v>
      </c>
      <c r="J1432">
        <v>0</v>
      </c>
    </row>
    <row r="1433" spans="1:10" x14ac:dyDescent="0.35">
      <c r="A1433" s="3" t="s">
        <v>1478</v>
      </c>
      <c r="B1433" s="4">
        <v>43558</v>
      </c>
      <c r="C1433">
        <v>12</v>
      </c>
      <c r="D1433" t="s">
        <v>66</v>
      </c>
      <c r="E1433" t="s">
        <v>12</v>
      </c>
      <c r="F1433" t="s">
        <v>13</v>
      </c>
      <c r="G1433" t="s">
        <v>24</v>
      </c>
      <c r="H1433">
        <v>159</v>
      </c>
      <c r="I1433">
        <v>8</v>
      </c>
      <c r="J1433">
        <v>1272</v>
      </c>
    </row>
    <row r="1434" spans="1:10" x14ac:dyDescent="0.35">
      <c r="A1434" s="3" t="s">
        <v>1479</v>
      </c>
      <c r="B1434" s="4">
        <v>43559</v>
      </c>
      <c r="C1434">
        <v>5</v>
      </c>
      <c r="D1434" t="s">
        <v>60</v>
      </c>
      <c r="E1434" t="s">
        <v>68</v>
      </c>
      <c r="F1434" t="s">
        <v>18</v>
      </c>
      <c r="G1434" t="s">
        <v>31</v>
      </c>
      <c r="H1434">
        <v>69</v>
      </c>
      <c r="I1434">
        <v>5</v>
      </c>
      <c r="J1434">
        <v>345</v>
      </c>
    </row>
    <row r="1435" spans="1:10" x14ac:dyDescent="0.35">
      <c r="A1435" s="3" t="s">
        <v>1480</v>
      </c>
      <c r="B1435" s="4">
        <v>43559</v>
      </c>
      <c r="C1435">
        <v>8</v>
      </c>
      <c r="D1435" t="s">
        <v>45</v>
      </c>
      <c r="E1435" t="s">
        <v>22</v>
      </c>
      <c r="F1435" t="s">
        <v>23</v>
      </c>
      <c r="G1435" t="s">
        <v>24</v>
      </c>
      <c r="H1435">
        <v>159</v>
      </c>
      <c r="I1435">
        <v>4</v>
      </c>
      <c r="J1435">
        <v>636</v>
      </c>
    </row>
    <row r="1436" spans="1:10" x14ac:dyDescent="0.35">
      <c r="A1436" s="3" t="s">
        <v>1481</v>
      </c>
      <c r="B1436" s="4">
        <v>43559</v>
      </c>
      <c r="C1436">
        <v>19</v>
      </c>
      <c r="D1436" t="s">
        <v>56</v>
      </c>
      <c r="E1436" t="s">
        <v>27</v>
      </c>
      <c r="F1436" t="s">
        <v>28</v>
      </c>
      <c r="G1436" t="s">
        <v>19</v>
      </c>
      <c r="H1436">
        <v>289</v>
      </c>
      <c r="I1436">
        <v>2</v>
      </c>
      <c r="J1436">
        <v>578</v>
      </c>
    </row>
    <row r="1437" spans="1:10" x14ac:dyDescent="0.35">
      <c r="A1437" s="3" t="s">
        <v>1482</v>
      </c>
      <c r="B1437" s="4">
        <v>43559</v>
      </c>
      <c r="C1437">
        <v>20</v>
      </c>
      <c r="D1437" t="s">
        <v>40</v>
      </c>
      <c r="E1437" t="s">
        <v>27</v>
      </c>
      <c r="F1437" t="s">
        <v>28</v>
      </c>
      <c r="G1437" t="s">
        <v>31</v>
      </c>
      <c r="H1437">
        <v>69</v>
      </c>
      <c r="I1437">
        <v>9</v>
      </c>
      <c r="J1437">
        <v>621</v>
      </c>
    </row>
    <row r="1438" spans="1:10" x14ac:dyDescent="0.35">
      <c r="A1438" s="3" t="s">
        <v>1483</v>
      </c>
      <c r="B1438" s="4">
        <v>43560</v>
      </c>
      <c r="C1438">
        <v>7</v>
      </c>
      <c r="D1438" t="s">
        <v>88</v>
      </c>
      <c r="E1438" t="s">
        <v>46</v>
      </c>
      <c r="F1438" t="s">
        <v>23</v>
      </c>
      <c r="G1438" t="s">
        <v>14</v>
      </c>
      <c r="H1438">
        <v>199</v>
      </c>
      <c r="I1438">
        <v>8</v>
      </c>
      <c r="J1438">
        <v>1592</v>
      </c>
    </row>
    <row r="1439" spans="1:10" x14ac:dyDescent="0.35">
      <c r="A1439" s="3" t="s">
        <v>1484</v>
      </c>
      <c r="B1439" s="4">
        <v>43560</v>
      </c>
      <c r="C1439">
        <v>4</v>
      </c>
      <c r="D1439" t="s">
        <v>51</v>
      </c>
      <c r="E1439" t="s">
        <v>68</v>
      </c>
      <c r="F1439" t="s">
        <v>18</v>
      </c>
      <c r="G1439" t="s">
        <v>31</v>
      </c>
      <c r="H1439">
        <v>69</v>
      </c>
      <c r="I1439">
        <v>7</v>
      </c>
      <c r="J1439">
        <v>483</v>
      </c>
    </row>
    <row r="1440" spans="1:10" x14ac:dyDescent="0.35">
      <c r="A1440" s="3" t="s">
        <v>1485</v>
      </c>
      <c r="B1440" s="4">
        <v>43560</v>
      </c>
      <c r="C1440">
        <v>16</v>
      </c>
      <c r="D1440" t="s">
        <v>30</v>
      </c>
      <c r="E1440" t="s">
        <v>36</v>
      </c>
      <c r="F1440" t="s">
        <v>28</v>
      </c>
      <c r="G1440" t="s">
        <v>14</v>
      </c>
      <c r="H1440">
        <v>199</v>
      </c>
      <c r="I1440">
        <v>9</v>
      </c>
      <c r="J1440">
        <v>1791</v>
      </c>
    </row>
    <row r="1441" spans="1:10" x14ac:dyDescent="0.35">
      <c r="A1441" s="3" t="s">
        <v>1486</v>
      </c>
      <c r="B1441" s="4">
        <v>43560</v>
      </c>
      <c r="C1441">
        <v>18</v>
      </c>
      <c r="D1441" t="s">
        <v>26</v>
      </c>
      <c r="E1441" t="s">
        <v>36</v>
      </c>
      <c r="F1441" t="s">
        <v>28</v>
      </c>
      <c r="G1441" t="s">
        <v>14</v>
      </c>
      <c r="H1441">
        <v>199</v>
      </c>
      <c r="I1441">
        <v>2</v>
      </c>
      <c r="J1441">
        <v>398</v>
      </c>
    </row>
    <row r="1442" spans="1:10" x14ac:dyDescent="0.35">
      <c r="A1442" s="3" t="s">
        <v>1487</v>
      </c>
      <c r="B1442" s="4">
        <v>43560</v>
      </c>
      <c r="C1442">
        <v>13</v>
      </c>
      <c r="D1442" t="s">
        <v>33</v>
      </c>
      <c r="E1442" t="s">
        <v>63</v>
      </c>
      <c r="F1442" t="s">
        <v>13</v>
      </c>
      <c r="G1442" t="s">
        <v>14</v>
      </c>
      <c r="H1442">
        <v>199</v>
      </c>
      <c r="I1442">
        <v>5</v>
      </c>
      <c r="J1442">
        <v>995</v>
      </c>
    </row>
    <row r="1443" spans="1:10" x14ac:dyDescent="0.35">
      <c r="A1443" s="3" t="s">
        <v>1488</v>
      </c>
      <c r="B1443" s="4">
        <v>43560</v>
      </c>
      <c r="C1443">
        <v>15</v>
      </c>
      <c r="D1443" t="s">
        <v>118</v>
      </c>
      <c r="E1443" t="s">
        <v>12</v>
      </c>
      <c r="F1443" t="s">
        <v>13</v>
      </c>
      <c r="G1443" t="s">
        <v>31</v>
      </c>
      <c r="H1443">
        <v>69</v>
      </c>
      <c r="I1443">
        <v>1</v>
      </c>
      <c r="J1443">
        <v>69</v>
      </c>
    </row>
    <row r="1444" spans="1:10" x14ac:dyDescent="0.35">
      <c r="A1444" s="3" t="s">
        <v>1489</v>
      </c>
      <c r="B1444" s="4">
        <v>43560</v>
      </c>
      <c r="C1444">
        <v>15</v>
      </c>
      <c r="D1444" t="s">
        <v>118</v>
      </c>
      <c r="E1444" t="s">
        <v>63</v>
      </c>
      <c r="F1444" t="s">
        <v>13</v>
      </c>
      <c r="G1444" t="s">
        <v>19</v>
      </c>
      <c r="H1444">
        <v>289</v>
      </c>
      <c r="I1444">
        <v>8</v>
      </c>
      <c r="J1444">
        <v>2312</v>
      </c>
    </row>
    <row r="1445" spans="1:10" x14ac:dyDescent="0.35">
      <c r="A1445" s="3" t="s">
        <v>1490</v>
      </c>
      <c r="B1445" s="4">
        <v>43561</v>
      </c>
      <c r="C1445">
        <v>3</v>
      </c>
      <c r="D1445" t="s">
        <v>43</v>
      </c>
      <c r="E1445" t="s">
        <v>17</v>
      </c>
      <c r="F1445" t="s">
        <v>18</v>
      </c>
      <c r="G1445" t="s">
        <v>19</v>
      </c>
      <c r="H1445">
        <v>289</v>
      </c>
      <c r="I1445">
        <v>2</v>
      </c>
      <c r="J1445">
        <v>578</v>
      </c>
    </row>
    <row r="1446" spans="1:10" x14ac:dyDescent="0.35">
      <c r="A1446" s="3" t="s">
        <v>1491</v>
      </c>
      <c r="B1446" s="4">
        <v>43561</v>
      </c>
      <c r="C1446">
        <v>1</v>
      </c>
      <c r="D1446" t="s">
        <v>16</v>
      </c>
      <c r="E1446" t="s">
        <v>68</v>
      </c>
      <c r="F1446" t="s">
        <v>18</v>
      </c>
      <c r="G1446" t="s">
        <v>14</v>
      </c>
      <c r="H1446">
        <v>199</v>
      </c>
      <c r="I1446">
        <v>3</v>
      </c>
      <c r="J1446">
        <v>597</v>
      </c>
    </row>
    <row r="1447" spans="1:10" x14ac:dyDescent="0.35">
      <c r="A1447" s="3" t="s">
        <v>1492</v>
      </c>
      <c r="B1447" s="4">
        <v>43562</v>
      </c>
      <c r="C1447">
        <v>12</v>
      </c>
      <c r="D1447" t="s">
        <v>66</v>
      </c>
      <c r="E1447" t="s">
        <v>63</v>
      </c>
      <c r="F1447" t="s">
        <v>13</v>
      </c>
      <c r="G1447" t="s">
        <v>41</v>
      </c>
      <c r="H1447">
        <v>399</v>
      </c>
      <c r="I1447">
        <v>5</v>
      </c>
      <c r="J1447">
        <v>1995</v>
      </c>
    </row>
    <row r="1448" spans="1:10" x14ac:dyDescent="0.35">
      <c r="A1448" s="3" t="s">
        <v>1493</v>
      </c>
      <c r="B1448" s="4">
        <v>43562</v>
      </c>
      <c r="C1448">
        <v>7</v>
      </c>
      <c r="D1448" t="s">
        <v>88</v>
      </c>
      <c r="E1448" t="s">
        <v>22</v>
      </c>
      <c r="F1448" t="s">
        <v>23</v>
      </c>
      <c r="G1448" t="s">
        <v>31</v>
      </c>
      <c r="H1448">
        <v>69</v>
      </c>
      <c r="I1448">
        <v>6</v>
      </c>
      <c r="J1448">
        <v>414</v>
      </c>
    </row>
    <row r="1449" spans="1:10" x14ac:dyDescent="0.35">
      <c r="A1449" s="3" t="s">
        <v>1494</v>
      </c>
      <c r="B1449" s="4">
        <v>43562</v>
      </c>
      <c r="C1449">
        <v>15</v>
      </c>
      <c r="D1449" t="s">
        <v>118</v>
      </c>
      <c r="E1449" t="s">
        <v>12</v>
      </c>
      <c r="F1449" t="s">
        <v>13</v>
      </c>
      <c r="G1449" t="s">
        <v>24</v>
      </c>
      <c r="H1449">
        <v>159</v>
      </c>
      <c r="I1449">
        <v>7</v>
      </c>
      <c r="J1449">
        <v>1113</v>
      </c>
    </row>
    <row r="1450" spans="1:10" x14ac:dyDescent="0.35">
      <c r="A1450" s="3" t="s">
        <v>1495</v>
      </c>
      <c r="B1450" s="4">
        <v>43562</v>
      </c>
      <c r="C1450">
        <v>20</v>
      </c>
      <c r="D1450" t="s">
        <v>40</v>
      </c>
      <c r="E1450" t="s">
        <v>36</v>
      </c>
      <c r="F1450" t="s">
        <v>28</v>
      </c>
      <c r="G1450" t="s">
        <v>24</v>
      </c>
      <c r="H1450">
        <v>159</v>
      </c>
      <c r="I1450">
        <v>9</v>
      </c>
      <c r="J1450">
        <v>1431</v>
      </c>
    </row>
    <row r="1451" spans="1:10" x14ac:dyDescent="0.35">
      <c r="A1451" s="3" t="s">
        <v>1496</v>
      </c>
      <c r="B1451" s="4">
        <v>43562</v>
      </c>
      <c r="C1451">
        <v>4</v>
      </c>
      <c r="D1451" t="s">
        <v>51</v>
      </c>
      <c r="E1451" t="s">
        <v>68</v>
      </c>
      <c r="F1451" t="s">
        <v>18</v>
      </c>
      <c r="G1451" t="s">
        <v>14</v>
      </c>
      <c r="H1451">
        <v>199</v>
      </c>
      <c r="I1451">
        <v>5</v>
      </c>
      <c r="J1451">
        <v>995</v>
      </c>
    </row>
    <row r="1452" spans="1:10" x14ac:dyDescent="0.35">
      <c r="A1452" s="3" t="s">
        <v>1497</v>
      </c>
      <c r="B1452" s="4">
        <v>43563</v>
      </c>
      <c r="C1452">
        <v>12</v>
      </c>
      <c r="D1452" t="s">
        <v>66</v>
      </c>
      <c r="E1452" t="s">
        <v>12</v>
      </c>
      <c r="F1452" t="s">
        <v>13</v>
      </c>
      <c r="G1452" t="s">
        <v>24</v>
      </c>
      <c r="H1452">
        <v>159</v>
      </c>
      <c r="I1452">
        <v>9</v>
      </c>
      <c r="J1452">
        <v>1431</v>
      </c>
    </row>
    <row r="1453" spans="1:10" x14ac:dyDescent="0.35">
      <c r="A1453" s="3" t="s">
        <v>1498</v>
      </c>
      <c r="B1453" s="4">
        <v>43564</v>
      </c>
      <c r="C1453">
        <v>9</v>
      </c>
      <c r="D1453" t="s">
        <v>21</v>
      </c>
      <c r="E1453" t="s">
        <v>46</v>
      </c>
      <c r="F1453" t="s">
        <v>23</v>
      </c>
      <c r="G1453" t="s">
        <v>41</v>
      </c>
      <c r="H1453">
        <v>399</v>
      </c>
      <c r="I1453">
        <v>5</v>
      </c>
      <c r="J1453">
        <v>1995</v>
      </c>
    </row>
    <row r="1454" spans="1:10" x14ac:dyDescent="0.35">
      <c r="A1454" s="3" t="s">
        <v>1499</v>
      </c>
      <c r="B1454" s="4">
        <v>43564</v>
      </c>
      <c r="C1454">
        <v>9</v>
      </c>
      <c r="D1454" t="s">
        <v>21</v>
      </c>
      <c r="E1454" t="s">
        <v>22</v>
      </c>
      <c r="F1454" t="s">
        <v>23</v>
      </c>
      <c r="G1454" t="s">
        <v>31</v>
      </c>
      <c r="H1454">
        <v>69</v>
      </c>
      <c r="I1454">
        <v>6</v>
      </c>
      <c r="J1454">
        <v>414</v>
      </c>
    </row>
    <row r="1455" spans="1:10" x14ac:dyDescent="0.35">
      <c r="A1455" s="3" t="s">
        <v>1500</v>
      </c>
      <c r="B1455" s="4">
        <v>43564</v>
      </c>
      <c r="C1455">
        <v>7</v>
      </c>
      <c r="D1455" t="s">
        <v>88</v>
      </c>
      <c r="E1455" t="s">
        <v>46</v>
      </c>
      <c r="F1455" t="s">
        <v>23</v>
      </c>
      <c r="G1455" t="s">
        <v>19</v>
      </c>
      <c r="H1455">
        <v>289</v>
      </c>
      <c r="I1455">
        <v>3</v>
      </c>
      <c r="J1455">
        <v>867</v>
      </c>
    </row>
    <row r="1456" spans="1:10" x14ac:dyDescent="0.35">
      <c r="A1456" s="3" t="s">
        <v>1501</v>
      </c>
      <c r="B1456" s="4">
        <v>43564</v>
      </c>
      <c r="C1456">
        <v>5</v>
      </c>
      <c r="D1456" t="s">
        <v>60</v>
      </c>
      <c r="E1456" t="s">
        <v>17</v>
      </c>
      <c r="F1456" t="s">
        <v>18</v>
      </c>
      <c r="G1456" t="s">
        <v>24</v>
      </c>
      <c r="H1456">
        <v>159</v>
      </c>
      <c r="I1456">
        <v>7</v>
      </c>
      <c r="J1456">
        <v>1113</v>
      </c>
    </row>
    <row r="1457" spans="1:10" x14ac:dyDescent="0.35">
      <c r="A1457" s="3" t="s">
        <v>1502</v>
      </c>
      <c r="B1457" s="4">
        <v>43564</v>
      </c>
      <c r="C1457">
        <v>17</v>
      </c>
      <c r="D1457" t="s">
        <v>35</v>
      </c>
      <c r="E1457" t="s">
        <v>27</v>
      </c>
      <c r="F1457" t="s">
        <v>28</v>
      </c>
      <c r="G1457" t="s">
        <v>14</v>
      </c>
      <c r="H1457">
        <v>199</v>
      </c>
      <c r="I1457">
        <v>7</v>
      </c>
      <c r="J1457">
        <v>1393</v>
      </c>
    </row>
    <row r="1458" spans="1:10" x14ac:dyDescent="0.35">
      <c r="A1458" s="3" t="s">
        <v>1503</v>
      </c>
      <c r="B1458" s="4">
        <v>43564</v>
      </c>
      <c r="C1458">
        <v>17</v>
      </c>
      <c r="D1458" t="s">
        <v>35</v>
      </c>
      <c r="E1458" t="s">
        <v>36</v>
      </c>
      <c r="F1458" t="s">
        <v>28</v>
      </c>
      <c r="G1458" t="s">
        <v>31</v>
      </c>
      <c r="H1458">
        <v>69</v>
      </c>
      <c r="I1458">
        <v>5</v>
      </c>
      <c r="J1458">
        <v>345</v>
      </c>
    </row>
    <row r="1459" spans="1:10" x14ac:dyDescent="0.35">
      <c r="A1459" s="3" t="s">
        <v>1504</v>
      </c>
      <c r="B1459" s="4">
        <v>43565</v>
      </c>
      <c r="C1459">
        <v>15</v>
      </c>
      <c r="D1459" t="s">
        <v>118</v>
      </c>
      <c r="E1459" t="s">
        <v>12</v>
      </c>
      <c r="F1459" t="s">
        <v>13</v>
      </c>
      <c r="G1459" t="s">
        <v>31</v>
      </c>
      <c r="H1459">
        <v>69</v>
      </c>
      <c r="I1459">
        <v>0</v>
      </c>
      <c r="J1459">
        <v>0</v>
      </c>
    </row>
    <row r="1460" spans="1:10" x14ac:dyDescent="0.35">
      <c r="A1460" s="3" t="s">
        <v>1505</v>
      </c>
      <c r="B1460" s="4">
        <v>43565</v>
      </c>
      <c r="C1460">
        <v>17</v>
      </c>
      <c r="D1460" t="s">
        <v>35</v>
      </c>
      <c r="E1460" t="s">
        <v>36</v>
      </c>
      <c r="F1460" t="s">
        <v>28</v>
      </c>
      <c r="G1460" t="s">
        <v>14</v>
      </c>
      <c r="H1460">
        <v>199</v>
      </c>
      <c r="I1460">
        <v>5</v>
      </c>
      <c r="J1460">
        <v>995</v>
      </c>
    </row>
    <row r="1461" spans="1:10" x14ac:dyDescent="0.35">
      <c r="A1461" s="3" t="s">
        <v>1506</v>
      </c>
      <c r="B1461" s="4">
        <v>43566</v>
      </c>
      <c r="C1461">
        <v>13</v>
      </c>
      <c r="D1461" t="s">
        <v>33</v>
      </c>
      <c r="E1461" t="s">
        <v>12</v>
      </c>
      <c r="F1461" t="s">
        <v>13</v>
      </c>
      <c r="G1461" t="s">
        <v>14</v>
      </c>
      <c r="H1461">
        <v>199</v>
      </c>
      <c r="I1461">
        <v>9</v>
      </c>
      <c r="J1461">
        <v>1791</v>
      </c>
    </row>
    <row r="1462" spans="1:10" x14ac:dyDescent="0.35">
      <c r="A1462" s="3" t="s">
        <v>1507</v>
      </c>
      <c r="B1462" s="4">
        <v>43566</v>
      </c>
      <c r="C1462">
        <v>16</v>
      </c>
      <c r="D1462" t="s">
        <v>30</v>
      </c>
      <c r="E1462" t="s">
        <v>27</v>
      </c>
      <c r="F1462" t="s">
        <v>28</v>
      </c>
      <c r="G1462" t="s">
        <v>24</v>
      </c>
      <c r="H1462">
        <v>159</v>
      </c>
      <c r="I1462">
        <v>8</v>
      </c>
      <c r="J1462">
        <v>1272</v>
      </c>
    </row>
    <row r="1463" spans="1:10" x14ac:dyDescent="0.35">
      <c r="A1463" s="3" t="s">
        <v>1508</v>
      </c>
      <c r="B1463" s="4">
        <v>43567</v>
      </c>
      <c r="C1463">
        <v>19</v>
      </c>
      <c r="D1463" t="s">
        <v>56</v>
      </c>
      <c r="E1463" t="s">
        <v>36</v>
      </c>
      <c r="F1463" t="s">
        <v>28</v>
      </c>
      <c r="G1463" t="s">
        <v>19</v>
      </c>
      <c r="H1463">
        <v>289</v>
      </c>
      <c r="I1463">
        <v>3</v>
      </c>
      <c r="J1463">
        <v>867</v>
      </c>
    </row>
    <row r="1464" spans="1:10" x14ac:dyDescent="0.35">
      <c r="A1464" s="3" t="s">
        <v>1509</v>
      </c>
      <c r="B1464" s="4">
        <v>43567</v>
      </c>
      <c r="C1464">
        <v>13</v>
      </c>
      <c r="D1464" t="s">
        <v>33</v>
      </c>
      <c r="E1464" t="s">
        <v>12</v>
      </c>
      <c r="F1464" t="s">
        <v>13</v>
      </c>
      <c r="G1464" t="s">
        <v>14</v>
      </c>
      <c r="H1464">
        <v>199</v>
      </c>
      <c r="I1464">
        <v>3</v>
      </c>
      <c r="J1464">
        <v>597</v>
      </c>
    </row>
    <row r="1465" spans="1:10" x14ac:dyDescent="0.35">
      <c r="A1465" s="3" t="s">
        <v>1510</v>
      </c>
      <c r="B1465" s="4">
        <v>43567</v>
      </c>
      <c r="C1465">
        <v>5</v>
      </c>
      <c r="D1465" t="s">
        <v>60</v>
      </c>
      <c r="E1465" t="s">
        <v>68</v>
      </c>
      <c r="F1465" t="s">
        <v>18</v>
      </c>
      <c r="G1465" t="s">
        <v>19</v>
      </c>
      <c r="H1465">
        <v>289</v>
      </c>
      <c r="I1465">
        <v>5</v>
      </c>
      <c r="J1465">
        <v>1445</v>
      </c>
    </row>
    <row r="1466" spans="1:10" x14ac:dyDescent="0.35">
      <c r="A1466" s="3" t="s">
        <v>1511</v>
      </c>
      <c r="B1466" s="4">
        <v>43568</v>
      </c>
      <c r="C1466">
        <v>13</v>
      </c>
      <c r="D1466" t="s">
        <v>33</v>
      </c>
      <c r="E1466" t="s">
        <v>63</v>
      </c>
      <c r="F1466" t="s">
        <v>13</v>
      </c>
      <c r="G1466" t="s">
        <v>41</v>
      </c>
      <c r="H1466">
        <v>399</v>
      </c>
      <c r="I1466">
        <v>0</v>
      </c>
      <c r="J1466">
        <v>0</v>
      </c>
    </row>
    <row r="1467" spans="1:10" x14ac:dyDescent="0.35">
      <c r="A1467" s="3" t="s">
        <v>1512</v>
      </c>
      <c r="B1467" s="4">
        <v>43569</v>
      </c>
      <c r="C1467">
        <v>9</v>
      </c>
      <c r="D1467" t="s">
        <v>21</v>
      </c>
      <c r="E1467" t="s">
        <v>22</v>
      </c>
      <c r="F1467" t="s">
        <v>23</v>
      </c>
      <c r="G1467" t="s">
        <v>41</v>
      </c>
      <c r="H1467">
        <v>399</v>
      </c>
      <c r="I1467">
        <v>7</v>
      </c>
      <c r="J1467">
        <v>2793</v>
      </c>
    </row>
    <row r="1468" spans="1:10" x14ac:dyDescent="0.35">
      <c r="A1468" s="3" t="s">
        <v>1513</v>
      </c>
      <c r="B1468" s="4">
        <v>43570</v>
      </c>
      <c r="C1468">
        <v>3</v>
      </c>
      <c r="D1468" t="s">
        <v>43</v>
      </c>
      <c r="E1468" t="s">
        <v>68</v>
      </c>
      <c r="F1468" t="s">
        <v>18</v>
      </c>
      <c r="G1468" t="s">
        <v>14</v>
      </c>
      <c r="H1468">
        <v>199</v>
      </c>
      <c r="I1468">
        <v>5</v>
      </c>
      <c r="J1468">
        <v>995</v>
      </c>
    </row>
    <row r="1469" spans="1:10" x14ac:dyDescent="0.35">
      <c r="A1469" s="3" t="s">
        <v>1514</v>
      </c>
      <c r="B1469" s="4">
        <v>43570</v>
      </c>
      <c r="C1469">
        <v>6</v>
      </c>
      <c r="D1469" t="s">
        <v>48</v>
      </c>
      <c r="E1469" t="s">
        <v>22</v>
      </c>
      <c r="F1469" t="s">
        <v>23</v>
      </c>
      <c r="G1469" t="s">
        <v>41</v>
      </c>
      <c r="H1469">
        <v>399</v>
      </c>
      <c r="I1469">
        <v>0</v>
      </c>
      <c r="J1469">
        <v>0</v>
      </c>
    </row>
    <row r="1470" spans="1:10" x14ac:dyDescent="0.35">
      <c r="A1470" s="3" t="s">
        <v>1515</v>
      </c>
      <c r="B1470" s="4">
        <v>43571</v>
      </c>
      <c r="C1470">
        <v>12</v>
      </c>
      <c r="D1470" t="s">
        <v>66</v>
      </c>
      <c r="E1470" t="s">
        <v>63</v>
      </c>
      <c r="F1470" t="s">
        <v>13</v>
      </c>
      <c r="G1470" t="s">
        <v>31</v>
      </c>
      <c r="H1470">
        <v>69</v>
      </c>
      <c r="I1470">
        <v>2</v>
      </c>
      <c r="J1470">
        <v>138</v>
      </c>
    </row>
    <row r="1471" spans="1:10" x14ac:dyDescent="0.35">
      <c r="A1471" s="3" t="s">
        <v>1516</v>
      </c>
      <c r="B1471" s="4">
        <v>43572</v>
      </c>
      <c r="C1471">
        <v>1</v>
      </c>
      <c r="D1471" t="s">
        <v>16</v>
      </c>
      <c r="E1471" t="s">
        <v>17</v>
      </c>
      <c r="F1471" t="s">
        <v>18</v>
      </c>
      <c r="G1471" t="s">
        <v>31</v>
      </c>
      <c r="H1471">
        <v>69</v>
      </c>
      <c r="I1471">
        <v>0</v>
      </c>
      <c r="J1471">
        <v>0</v>
      </c>
    </row>
    <row r="1472" spans="1:10" x14ac:dyDescent="0.35">
      <c r="A1472" s="3" t="s">
        <v>1517</v>
      </c>
      <c r="B1472" s="4">
        <v>43573</v>
      </c>
      <c r="C1472">
        <v>5</v>
      </c>
      <c r="D1472" t="s">
        <v>60</v>
      </c>
      <c r="E1472" t="s">
        <v>68</v>
      </c>
      <c r="F1472" t="s">
        <v>18</v>
      </c>
      <c r="G1472" t="s">
        <v>41</v>
      </c>
      <c r="H1472">
        <v>399</v>
      </c>
      <c r="I1472">
        <v>8</v>
      </c>
      <c r="J1472">
        <v>3192</v>
      </c>
    </row>
    <row r="1473" spans="1:10" x14ac:dyDescent="0.35">
      <c r="A1473" s="3" t="s">
        <v>1518</v>
      </c>
      <c r="B1473" s="4">
        <v>43573</v>
      </c>
      <c r="C1473">
        <v>19</v>
      </c>
      <c r="D1473" t="s">
        <v>56</v>
      </c>
      <c r="E1473" t="s">
        <v>36</v>
      </c>
      <c r="F1473" t="s">
        <v>28</v>
      </c>
      <c r="G1473" t="s">
        <v>31</v>
      </c>
      <c r="H1473">
        <v>69</v>
      </c>
      <c r="I1473">
        <v>0</v>
      </c>
      <c r="J1473">
        <v>0</v>
      </c>
    </row>
    <row r="1474" spans="1:10" x14ac:dyDescent="0.35">
      <c r="A1474" s="3" t="s">
        <v>1519</v>
      </c>
      <c r="B1474" s="4">
        <v>43573</v>
      </c>
      <c r="C1474">
        <v>12</v>
      </c>
      <c r="D1474" t="s">
        <v>66</v>
      </c>
      <c r="E1474" t="s">
        <v>12</v>
      </c>
      <c r="F1474" t="s">
        <v>13</v>
      </c>
      <c r="G1474" t="s">
        <v>19</v>
      </c>
      <c r="H1474">
        <v>289</v>
      </c>
      <c r="I1474">
        <v>5</v>
      </c>
      <c r="J1474">
        <v>1445</v>
      </c>
    </row>
    <row r="1475" spans="1:10" x14ac:dyDescent="0.35">
      <c r="A1475" s="3" t="s">
        <v>1520</v>
      </c>
      <c r="B1475" s="4">
        <v>43573</v>
      </c>
      <c r="C1475">
        <v>15</v>
      </c>
      <c r="D1475" t="s">
        <v>118</v>
      </c>
      <c r="E1475" t="s">
        <v>12</v>
      </c>
      <c r="F1475" t="s">
        <v>13</v>
      </c>
      <c r="G1475" t="s">
        <v>24</v>
      </c>
      <c r="H1475">
        <v>159</v>
      </c>
      <c r="I1475">
        <v>8</v>
      </c>
      <c r="J1475">
        <v>1272</v>
      </c>
    </row>
    <row r="1476" spans="1:10" x14ac:dyDescent="0.35">
      <c r="A1476" s="3" t="s">
        <v>1521</v>
      </c>
      <c r="B1476" s="4">
        <v>43573</v>
      </c>
      <c r="C1476">
        <v>13</v>
      </c>
      <c r="D1476" t="s">
        <v>33</v>
      </c>
      <c r="E1476" t="s">
        <v>12</v>
      </c>
      <c r="F1476" t="s">
        <v>13</v>
      </c>
      <c r="G1476" t="s">
        <v>41</v>
      </c>
      <c r="H1476">
        <v>399</v>
      </c>
      <c r="I1476">
        <v>5</v>
      </c>
      <c r="J1476">
        <v>1995</v>
      </c>
    </row>
    <row r="1477" spans="1:10" x14ac:dyDescent="0.35">
      <c r="A1477" s="3" t="s">
        <v>1522</v>
      </c>
      <c r="B1477" s="4">
        <v>43574</v>
      </c>
      <c r="C1477">
        <v>19</v>
      </c>
      <c r="D1477" t="s">
        <v>56</v>
      </c>
      <c r="E1477" t="s">
        <v>27</v>
      </c>
      <c r="F1477" t="s">
        <v>28</v>
      </c>
      <c r="G1477" t="s">
        <v>24</v>
      </c>
      <c r="H1477">
        <v>159</v>
      </c>
      <c r="I1477">
        <v>9</v>
      </c>
      <c r="J1477">
        <v>1431</v>
      </c>
    </row>
    <row r="1478" spans="1:10" x14ac:dyDescent="0.35">
      <c r="A1478" s="3" t="s">
        <v>1523</v>
      </c>
      <c r="B1478" s="4">
        <v>43574</v>
      </c>
      <c r="C1478">
        <v>4</v>
      </c>
      <c r="D1478" t="s">
        <v>51</v>
      </c>
      <c r="E1478" t="s">
        <v>17</v>
      </c>
      <c r="F1478" t="s">
        <v>18</v>
      </c>
      <c r="G1478" t="s">
        <v>41</v>
      </c>
      <c r="H1478">
        <v>399</v>
      </c>
      <c r="I1478">
        <v>7</v>
      </c>
      <c r="J1478">
        <v>2793</v>
      </c>
    </row>
    <row r="1479" spans="1:10" x14ac:dyDescent="0.35">
      <c r="A1479" s="3" t="s">
        <v>1524</v>
      </c>
      <c r="B1479" s="4">
        <v>43574</v>
      </c>
      <c r="C1479">
        <v>4</v>
      </c>
      <c r="D1479" t="s">
        <v>51</v>
      </c>
      <c r="E1479" t="s">
        <v>68</v>
      </c>
      <c r="F1479" t="s">
        <v>18</v>
      </c>
      <c r="G1479" t="s">
        <v>41</v>
      </c>
      <c r="H1479">
        <v>399</v>
      </c>
      <c r="I1479">
        <v>9</v>
      </c>
      <c r="J1479">
        <v>3591</v>
      </c>
    </row>
    <row r="1480" spans="1:10" x14ac:dyDescent="0.35">
      <c r="A1480" s="3" t="s">
        <v>1525</v>
      </c>
      <c r="B1480" s="4">
        <v>43574</v>
      </c>
      <c r="C1480">
        <v>10</v>
      </c>
      <c r="D1480" t="s">
        <v>58</v>
      </c>
      <c r="E1480" t="s">
        <v>22</v>
      </c>
      <c r="F1480" t="s">
        <v>23</v>
      </c>
      <c r="G1480" t="s">
        <v>41</v>
      </c>
      <c r="H1480">
        <v>399</v>
      </c>
      <c r="I1480">
        <v>4</v>
      </c>
      <c r="J1480">
        <v>1596</v>
      </c>
    </row>
    <row r="1481" spans="1:10" x14ac:dyDescent="0.35">
      <c r="A1481" s="3" t="s">
        <v>1526</v>
      </c>
      <c r="B1481" s="4">
        <v>43575</v>
      </c>
      <c r="C1481">
        <v>6</v>
      </c>
      <c r="D1481" t="s">
        <v>48</v>
      </c>
      <c r="E1481" t="s">
        <v>22</v>
      </c>
      <c r="F1481" t="s">
        <v>23</v>
      </c>
      <c r="G1481" t="s">
        <v>41</v>
      </c>
      <c r="H1481">
        <v>399</v>
      </c>
      <c r="I1481">
        <v>6</v>
      </c>
      <c r="J1481">
        <v>2394</v>
      </c>
    </row>
    <row r="1482" spans="1:10" x14ac:dyDescent="0.35">
      <c r="A1482" s="3" t="s">
        <v>1527</v>
      </c>
      <c r="B1482" s="4">
        <v>43575</v>
      </c>
      <c r="C1482">
        <v>18</v>
      </c>
      <c r="D1482" t="s">
        <v>26</v>
      </c>
      <c r="E1482" t="s">
        <v>36</v>
      </c>
      <c r="F1482" t="s">
        <v>28</v>
      </c>
      <c r="G1482" t="s">
        <v>24</v>
      </c>
      <c r="H1482">
        <v>159</v>
      </c>
      <c r="I1482">
        <v>8</v>
      </c>
      <c r="J1482">
        <v>1272</v>
      </c>
    </row>
    <row r="1483" spans="1:10" x14ac:dyDescent="0.35">
      <c r="A1483" s="3" t="s">
        <v>1528</v>
      </c>
      <c r="B1483" s="4">
        <v>43575</v>
      </c>
      <c r="C1483">
        <v>4</v>
      </c>
      <c r="D1483" t="s">
        <v>51</v>
      </c>
      <c r="E1483" t="s">
        <v>17</v>
      </c>
      <c r="F1483" t="s">
        <v>18</v>
      </c>
      <c r="G1483" t="s">
        <v>31</v>
      </c>
      <c r="H1483">
        <v>69</v>
      </c>
      <c r="I1483">
        <v>0</v>
      </c>
      <c r="J1483">
        <v>0</v>
      </c>
    </row>
    <row r="1484" spans="1:10" x14ac:dyDescent="0.35">
      <c r="A1484" s="3" t="s">
        <v>1529</v>
      </c>
      <c r="B1484" s="4">
        <v>43575</v>
      </c>
      <c r="C1484">
        <v>20</v>
      </c>
      <c r="D1484" t="s">
        <v>40</v>
      </c>
      <c r="E1484" t="s">
        <v>36</v>
      </c>
      <c r="F1484" t="s">
        <v>28</v>
      </c>
      <c r="G1484" t="s">
        <v>41</v>
      </c>
      <c r="H1484">
        <v>399</v>
      </c>
      <c r="I1484">
        <v>9</v>
      </c>
      <c r="J1484">
        <v>3591</v>
      </c>
    </row>
    <row r="1485" spans="1:10" x14ac:dyDescent="0.35">
      <c r="A1485" s="3" t="s">
        <v>1530</v>
      </c>
      <c r="B1485" s="4">
        <v>43576</v>
      </c>
      <c r="C1485">
        <v>18</v>
      </c>
      <c r="D1485" t="s">
        <v>26</v>
      </c>
      <c r="E1485" t="s">
        <v>36</v>
      </c>
      <c r="F1485" t="s">
        <v>28</v>
      </c>
      <c r="G1485" t="s">
        <v>31</v>
      </c>
      <c r="H1485">
        <v>69</v>
      </c>
      <c r="I1485">
        <v>2</v>
      </c>
      <c r="J1485">
        <v>138</v>
      </c>
    </row>
    <row r="1486" spans="1:10" x14ac:dyDescent="0.35">
      <c r="A1486" s="3" t="s">
        <v>1531</v>
      </c>
      <c r="B1486" s="4">
        <v>43576</v>
      </c>
      <c r="C1486">
        <v>6</v>
      </c>
      <c r="D1486" t="s">
        <v>48</v>
      </c>
      <c r="E1486" t="s">
        <v>46</v>
      </c>
      <c r="F1486" t="s">
        <v>23</v>
      </c>
      <c r="G1486" t="s">
        <v>19</v>
      </c>
      <c r="H1486">
        <v>289</v>
      </c>
      <c r="I1486">
        <v>5</v>
      </c>
      <c r="J1486">
        <v>1445</v>
      </c>
    </row>
    <row r="1487" spans="1:10" x14ac:dyDescent="0.35">
      <c r="A1487" s="3" t="s">
        <v>1532</v>
      </c>
      <c r="B1487" s="4">
        <v>43577</v>
      </c>
      <c r="C1487">
        <v>1</v>
      </c>
      <c r="D1487" t="s">
        <v>16</v>
      </c>
      <c r="E1487" t="s">
        <v>68</v>
      </c>
      <c r="F1487" t="s">
        <v>18</v>
      </c>
      <c r="G1487" t="s">
        <v>31</v>
      </c>
      <c r="H1487">
        <v>69</v>
      </c>
      <c r="I1487">
        <v>5</v>
      </c>
      <c r="J1487">
        <v>345</v>
      </c>
    </row>
    <row r="1488" spans="1:10" x14ac:dyDescent="0.35">
      <c r="A1488" s="3" t="s">
        <v>1533</v>
      </c>
      <c r="B1488" s="4">
        <v>43577</v>
      </c>
      <c r="C1488">
        <v>11</v>
      </c>
      <c r="D1488" t="s">
        <v>11</v>
      </c>
      <c r="E1488" t="s">
        <v>63</v>
      </c>
      <c r="F1488" t="s">
        <v>13</v>
      </c>
      <c r="G1488" t="s">
        <v>24</v>
      </c>
      <c r="H1488">
        <v>159</v>
      </c>
      <c r="I1488">
        <v>6</v>
      </c>
      <c r="J1488">
        <v>954</v>
      </c>
    </row>
    <row r="1489" spans="1:10" x14ac:dyDescent="0.35">
      <c r="A1489" s="3" t="s">
        <v>1534</v>
      </c>
      <c r="B1489" s="4">
        <v>43578</v>
      </c>
      <c r="C1489">
        <v>12</v>
      </c>
      <c r="D1489" t="s">
        <v>66</v>
      </c>
      <c r="E1489" t="s">
        <v>63</v>
      </c>
      <c r="F1489" t="s">
        <v>13</v>
      </c>
      <c r="G1489" t="s">
        <v>14</v>
      </c>
      <c r="H1489">
        <v>199</v>
      </c>
      <c r="I1489">
        <v>8</v>
      </c>
      <c r="J1489">
        <v>1592</v>
      </c>
    </row>
    <row r="1490" spans="1:10" x14ac:dyDescent="0.35">
      <c r="A1490" s="3" t="s">
        <v>1535</v>
      </c>
      <c r="B1490" s="4">
        <v>43578</v>
      </c>
      <c r="C1490">
        <v>6</v>
      </c>
      <c r="D1490" t="s">
        <v>48</v>
      </c>
      <c r="E1490" t="s">
        <v>46</v>
      </c>
      <c r="F1490" t="s">
        <v>23</v>
      </c>
      <c r="G1490" t="s">
        <v>31</v>
      </c>
      <c r="H1490">
        <v>69</v>
      </c>
      <c r="I1490">
        <v>4</v>
      </c>
      <c r="J1490">
        <v>276</v>
      </c>
    </row>
    <row r="1491" spans="1:10" x14ac:dyDescent="0.35">
      <c r="A1491" s="3" t="s">
        <v>1536</v>
      </c>
      <c r="B1491" s="4">
        <v>43578</v>
      </c>
      <c r="C1491">
        <v>19</v>
      </c>
      <c r="D1491" t="s">
        <v>56</v>
      </c>
      <c r="E1491" t="s">
        <v>27</v>
      </c>
      <c r="F1491" t="s">
        <v>28</v>
      </c>
      <c r="G1491" t="s">
        <v>41</v>
      </c>
      <c r="H1491">
        <v>399</v>
      </c>
      <c r="I1491">
        <v>1</v>
      </c>
      <c r="J1491">
        <v>399</v>
      </c>
    </row>
    <row r="1492" spans="1:10" x14ac:dyDescent="0.35">
      <c r="A1492" s="3" t="s">
        <v>1537</v>
      </c>
      <c r="B1492" s="4">
        <v>43578</v>
      </c>
      <c r="C1492">
        <v>5</v>
      </c>
      <c r="D1492" t="s">
        <v>60</v>
      </c>
      <c r="E1492" t="s">
        <v>17</v>
      </c>
      <c r="F1492" t="s">
        <v>18</v>
      </c>
      <c r="G1492" t="s">
        <v>41</v>
      </c>
      <c r="H1492">
        <v>399</v>
      </c>
      <c r="I1492">
        <v>8</v>
      </c>
      <c r="J1492">
        <v>3192</v>
      </c>
    </row>
    <row r="1493" spans="1:10" x14ac:dyDescent="0.35">
      <c r="A1493" s="3" t="s">
        <v>1538</v>
      </c>
      <c r="B1493" s="4">
        <v>43578</v>
      </c>
      <c r="C1493">
        <v>11</v>
      </c>
      <c r="D1493" t="s">
        <v>11</v>
      </c>
      <c r="E1493" t="s">
        <v>63</v>
      </c>
      <c r="F1493" t="s">
        <v>13</v>
      </c>
      <c r="G1493" t="s">
        <v>41</v>
      </c>
      <c r="H1493">
        <v>399</v>
      </c>
      <c r="I1493">
        <v>6</v>
      </c>
      <c r="J1493">
        <v>2394</v>
      </c>
    </row>
    <row r="1494" spans="1:10" x14ac:dyDescent="0.35">
      <c r="A1494" s="3" t="s">
        <v>1539</v>
      </c>
      <c r="B1494" s="4">
        <v>43578</v>
      </c>
      <c r="C1494">
        <v>8</v>
      </c>
      <c r="D1494" t="s">
        <v>45</v>
      </c>
      <c r="E1494" t="s">
        <v>46</v>
      </c>
      <c r="F1494" t="s">
        <v>23</v>
      </c>
      <c r="G1494" t="s">
        <v>41</v>
      </c>
      <c r="H1494">
        <v>399</v>
      </c>
      <c r="I1494">
        <v>2</v>
      </c>
      <c r="J1494">
        <v>798</v>
      </c>
    </row>
    <row r="1495" spans="1:10" x14ac:dyDescent="0.35">
      <c r="A1495" s="3" t="s">
        <v>1540</v>
      </c>
      <c r="B1495" s="4">
        <v>43579</v>
      </c>
      <c r="C1495">
        <v>3</v>
      </c>
      <c r="D1495" t="s">
        <v>43</v>
      </c>
      <c r="E1495" t="s">
        <v>68</v>
      </c>
      <c r="F1495" t="s">
        <v>18</v>
      </c>
      <c r="G1495" t="s">
        <v>19</v>
      </c>
      <c r="H1495">
        <v>289</v>
      </c>
      <c r="I1495">
        <v>6</v>
      </c>
      <c r="J1495">
        <v>1734</v>
      </c>
    </row>
    <row r="1496" spans="1:10" x14ac:dyDescent="0.35">
      <c r="A1496" s="3" t="s">
        <v>1541</v>
      </c>
      <c r="B1496" s="4">
        <v>43580</v>
      </c>
      <c r="C1496">
        <v>7</v>
      </c>
      <c r="D1496" t="s">
        <v>88</v>
      </c>
      <c r="E1496" t="s">
        <v>46</v>
      </c>
      <c r="F1496" t="s">
        <v>23</v>
      </c>
      <c r="G1496" t="s">
        <v>24</v>
      </c>
      <c r="H1496">
        <v>159</v>
      </c>
      <c r="I1496">
        <v>5</v>
      </c>
      <c r="J1496">
        <v>795</v>
      </c>
    </row>
    <row r="1497" spans="1:10" x14ac:dyDescent="0.35">
      <c r="A1497" s="3" t="s">
        <v>1542</v>
      </c>
      <c r="B1497" s="4">
        <v>43580</v>
      </c>
      <c r="C1497">
        <v>10</v>
      </c>
      <c r="D1497" t="s">
        <v>58</v>
      </c>
      <c r="E1497" t="s">
        <v>22</v>
      </c>
      <c r="F1497" t="s">
        <v>23</v>
      </c>
      <c r="G1497" t="s">
        <v>41</v>
      </c>
      <c r="H1497">
        <v>399</v>
      </c>
      <c r="I1497">
        <v>5</v>
      </c>
      <c r="J1497">
        <v>1995</v>
      </c>
    </row>
    <row r="1498" spans="1:10" x14ac:dyDescent="0.35">
      <c r="A1498" s="3" t="s">
        <v>1543</v>
      </c>
      <c r="B1498" s="4">
        <v>43581</v>
      </c>
      <c r="C1498">
        <v>13</v>
      </c>
      <c r="D1498" t="s">
        <v>33</v>
      </c>
      <c r="E1498" t="s">
        <v>63</v>
      </c>
      <c r="F1498" t="s">
        <v>13</v>
      </c>
      <c r="G1498" t="s">
        <v>14</v>
      </c>
      <c r="H1498">
        <v>199</v>
      </c>
      <c r="I1498">
        <v>5</v>
      </c>
      <c r="J1498">
        <v>995</v>
      </c>
    </row>
    <row r="1499" spans="1:10" x14ac:dyDescent="0.35">
      <c r="A1499" s="3" t="s">
        <v>1544</v>
      </c>
      <c r="B1499" s="4">
        <v>43581</v>
      </c>
      <c r="C1499">
        <v>1</v>
      </c>
      <c r="D1499" t="s">
        <v>16</v>
      </c>
      <c r="E1499" t="s">
        <v>68</v>
      </c>
      <c r="F1499" t="s">
        <v>18</v>
      </c>
      <c r="G1499" t="s">
        <v>19</v>
      </c>
      <c r="H1499">
        <v>289</v>
      </c>
      <c r="I1499">
        <v>4</v>
      </c>
      <c r="J1499">
        <v>1156</v>
      </c>
    </row>
    <row r="1500" spans="1:10" x14ac:dyDescent="0.35">
      <c r="A1500" s="3" t="s">
        <v>1545</v>
      </c>
      <c r="B1500" s="4">
        <v>43582</v>
      </c>
      <c r="C1500">
        <v>18</v>
      </c>
      <c r="D1500" t="s">
        <v>26</v>
      </c>
      <c r="E1500" t="s">
        <v>36</v>
      </c>
      <c r="F1500" t="s">
        <v>28</v>
      </c>
      <c r="G1500" t="s">
        <v>24</v>
      </c>
      <c r="H1500">
        <v>159</v>
      </c>
      <c r="I1500">
        <v>1</v>
      </c>
      <c r="J1500">
        <v>159</v>
      </c>
    </row>
    <row r="1501" spans="1:10" x14ac:dyDescent="0.35">
      <c r="A1501" s="3" t="s">
        <v>1546</v>
      </c>
      <c r="B1501" s="4">
        <v>43582</v>
      </c>
      <c r="C1501">
        <v>18</v>
      </c>
      <c r="D1501" t="s">
        <v>26</v>
      </c>
      <c r="E1501" t="s">
        <v>36</v>
      </c>
      <c r="F1501" t="s">
        <v>28</v>
      </c>
      <c r="G1501" t="s">
        <v>19</v>
      </c>
      <c r="H1501">
        <v>289</v>
      </c>
      <c r="I1501">
        <v>8</v>
      </c>
      <c r="J1501">
        <v>2312</v>
      </c>
    </row>
    <row r="1502" spans="1:10" x14ac:dyDescent="0.35">
      <c r="A1502" s="3" t="s">
        <v>1547</v>
      </c>
      <c r="B1502" s="4">
        <v>43583</v>
      </c>
      <c r="C1502">
        <v>8</v>
      </c>
      <c r="D1502" t="s">
        <v>45</v>
      </c>
      <c r="E1502" t="s">
        <v>22</v>
      </c>
      <c r="F1502" t="s">
        <v>23</v>
      </c>
      <c r="G1502" t="s">
        <v>31</v>
      </c>
      <c r="H1502">
        <v>69</v>
      </c>
      <c r="I1502">
        <v>8</v>
      </c>
      <c r="J1502">
        <v>552</v>
      </c>
    </row>
    <row r="1503" spans="1:10" x14ac:dyDescent="0.35">
      <c r="A1503" s="3" t="s">
        <v>1548</v>
      </c>
      <c r="B1503" s="4">
        <v>43584</v>
      </c>
      <c r="C1503">
        <v>7</v>
      </c>
      <c r="D1503" t="s">
        <v>88</v>
      </c>
      <c r="E1503" t="s">
        <v>22</v>
      </c>
      <c r="F1503" t="s">
        <v>23</v>
      </c>
      <c r="G1503" t="s">
        <v>24</v>
      </c>
      <c r="H1503">
        <v>159</v>
      </c>
      <c r="I1503">
        <v>7</v>
      </c>
      <c r="J1503">
        <v>1113</v>
      </c>
    </row>
    <row r="1504" spans="1:10" x14ac:dyDescent="0.35">
      <c r="A1504" s="3" t="s">
        <v>1549</v>
      </c>
      <c r="B1504" s="4">
        <v>43585</v>
      </c>
      <c r="C1504">
        <v>6</v>
      </c>
      <c r="D1504" t="s">
        <v>48</v>
      </c>
      <c r="E1504" t="s">
        <v>46</v>
      </c>
      <c r="F1504" t="s">
        <v>23</v>
      </c>
      <c r="G1504" t="s">
        <v>19</v>
      </c>
      <c r="H1504">
        <v>289</v>
      </c>
      <c r="I1504">
        <v>7</v>
      </c>
      <c r="J1504">
        <v>2023</v>
      </c>
    </row>
    <row r="1505" spans="1:10" x14ac:dyDescent="0.35">
      <c r="A1505" s="3" t="s">
        <v>1550</v>
      </c>
      <c r="B1505" s="4">
        <v>43585</v>
      </c>
      <c r="C1505">
        <v>11</v>
      </c>
      <c r="D1505" t="s">
        <v>11</v>
      </c>
      <c r="E1505" t="s">
        <v>12</v>
      </c>
      <c r="F1505" t="s">
        <v>13</v>
      </c>
      <c r="G1505" t="s">
        <v>41</v>
      </c>
      <c r="H1505">
        <v>399</v>
      </c>
      <c r="I1505">
        <v>5</v>
      </c>
      <c r="J1505">
        <v>1995</v>
      </c>
    </row>
    <row r="1506" spans="1:10" x14ac:dyDescent="0.35">
      <c r="A1506" s="3" t="s">
        <v>1551</v>
      </c>
      <c r="B1506" s="4">
        <v>43585</v>
      </c>
      <c r="C1506">
        <v>9</v>
      </c>
      <c r="D1506" t="s">
        <v>21</v>
      </c>
      <c r="E1506" t="s">
        <v>22</v>
      </c>
      <c r="F1506" t="s">
        <v>23</v>
      </c>
      <c r="G1506" t="s">
        <v>19</v>
      </c>
      <c r="H1506">
        <v>289</v>
      </c>
      <c r="I1506">
        <v>6</v>
      </c>
      <c r="J1506">
        <v>1734</v>
      </c>
    </row>
    <row r="1507" spans="1:10" x14ac:dyDescent="0.35">
      <c r="A1507" s="3" t="s">
        <v>1552</v>
      </c>
      <c r="B1507" s="4">
        <v>43585</v>
      </c>
      <c r="C1507">
        <v>20</v>
      </c>
      <c r="D1507" t="s">
        <v>40</v>
      </c>
      <c r="E1507" t="s">
        <v>27</v>
      </c>
      <c r="F1507" t="s">
        <v>28</v>
      </c>
      <c r="G1507" t="s">
        <v>31</v>
      </c>
      <c r="H1507">
        <v>69</v>
      </c>
      <c r="I1507">
        <v>4</v>
      </c>
      <c r="J1507">
        <v>276</v>
      </c>
    </row>
    <row r="1508" spans="1:10" x14ac:dyDescent="0.35">
      <c r="A1508" s="3" t="s">
        <v>1553</v>
      </c>
      <c r="B1508" s="4">
        <v>43586</v>
      </c>
      <c r="C1508">
        <v>1</v>
      </c>
      <c r="D1508" t="s">
        <v>16</v>
      </c>
      <c r="E1508" t="s">
        <v>68</v>
      </c>
      <c r="F1508" t="s">
        <v>18</v>
      </c>
      <c r="G1508" t="s">
        <v>19</v>
      </c>
      <c r="H1508">
        <v>289</v>
      </c>
      <c r="I1508">
        <v>6</v>
      </c>
      <c r="J1508">
        <v>1734</v>
      </c>
    </row>
    <row r="1509" spans="1:10" x14ac:dyDescent="0.35">
      <c r="A1509" s="3" t="s">
        <v>1554</v>
      </c>
      <c r="B1509" s="4">
        <v>43586</v>
      </c>
      <c r="C1509">
        <v>2</v>
      </c>
      <c r="D1509" t="s">
        <v>106</v>
      </c>
      <c r="E1509" t="s">
        <v>17</v>
      </c>
      <c r="F1509" t="s">
        <v>18</v>
      </c>
      <c r="G1509" t="s">
        <v>14</v>
      </c>
      <c r="H1509">
        <v>199</v>
      </c>
      <c r="I1509">
        <v>4</v>
      </c>
      <c r="J1509">
        <v>796</v>
      </c>
    </row>
    <row r="1510" spans="1:10" x14ac:dyDescent="0.35">
      <c r="A1510" s="3" t="s">
        <v>1555</v>
      </c>
      <c r="B1510" s="4">
        <v>43587</v>
      </c>
      <c r="C1510">
        <v>17</v>
      </c>
      <c r="D1510" t="s">
        <v>35</v>
      </c>
      <c r="E1510" t="s">
        <v>27</v>
      </c>
      <c r="F1510" t="s">
        <v>28</v>
      </c>
      <c r="G1510" t="s">
        <v>19</v>
      </c>
      <c r="H1510">
        <v>289</v>
      </c>
      <c r="I1510">
        <v>7</v>
      </c>
      <c r="J1510">
        <v>2023</v>
      </c>
    </row>
    <row r="1511" spans="1:10" x14ac:dyDescent="0.35">
      <c r="A1511" s="3" t="s">
        <v>1556</v>
      </c>
      <c r="B1511" s="4">
        <v>43587</v>
      </c>
      <c r="C1511">
        <v>1</v>
      </c>
      <c r="D1511" t="s">
        <v>16</v>
      </c>
      <c r="E1511" t="s">
        <v>17</v>
      </c>
      <c r="F1511" t="s">
        <v>18</v>
      </c>
      <c r="G1511" t="s">
        <v>31</v>
      </c>
      <c r="H1511">
        <v>69</v>
      </c>
      <c r="I1511">
        <v>9</v>
      </c>
      <c r="J1511">
        <v>621</v>
      </c>
    </row>
    <row r="1512" spans="1:10" x14ac:dyDescent="0.35">
      <c r="A1512" s="3" t="s">
        <v>1557</v>
      </c>
      <c r="B1512" s="4">
        <v>43588</v>
      </c>
      <c r="C1512">
        <v>16</v>
      </c>
      <c r="D1512" t="s">
        <v>30</v>
      </c>
      <c r="E1512" t="s">
        <v>36</v>
      </c>
      <c r="F1512" t="s">
        <v>28</v>
      </c>
      <c r="G1512" t="s">
        <v>41</v>
      </c>
      <c r="H1512">
        <v>399</v>
      </c>
      <c r="I1512">
        <v>3</v>
      </c>
      <c r="J1512">
        <v>1197</v>
      </c>
    </row>
    <row r="1513" spans="1:10" x14ac:dyDescent="0.35">
      <c r="A1513" s="3" t="s">
        <v>1558</v>
      </c>
      <c r="B1513" s="4">
        <v>43588</v>
      </c>
      <c r="C1513">
        <v>12</v>
      </c>
      <c r="D1513" t="s">
        <v>66</v>
      </c>
      <c r="E1513" t="s">
        <v>63</v>
      </c>
      <c r="F1513" t="s">
        <v>13</v>
      </c>
      <c r="G1513" t="s">
        <v>19</v>
      </c>
      <c r="H1513">
        <v>289</v>
      </c>
      <c r="I1513">
        <v>1</v>
      </c>
      <c r="J1513">
        <v>289</v>
      </c>
    </row>
    <row r="1514" spans="1:10" x14ac:dyDescent="0.35">
      <c r="A1514" s="3" t="s">
        <v>1559</v>
      </c>
      <c r="B1514" s="4">
        <v>43588</v>
      </c>
      <c r="C1514">
        <v>4</v>
      </c>
      <c r="D1514" t="s">
        <v>51</v>
      </c>
      <c r="E1514" t="s">
        <v>17</v>
      </c>
      <c r="F1514" t="s">
        <v>18</v>
      </c>
      <c r="G1514" t="s">
        <v>24</v>
      </c>
      <c r="H1514">
        <v>159</v>
      </c>
      <c r="I1514">
        <v>3</v>
      </c>
      <c r="J1514">
        <v>477</v>
      </c>
    </row>
    <row r="1515" spans="1:10" x14ac:dyDescent="0.35">
      <c r="A1515" s="3" t="s">
        <v>1560</v>
      </c>
      <c r="B1515" s="4">
        <v>43588</v>
      </c>
      <c r="C1515">
        <v>11</v>
      </c>
      <c r="D1515" t="s">
        <v>11</v>
      </c>
      <c r="E1515" t="s">
        <v>12</v>
      </c>
      <c r="F1515" t="s">
        <v>13</v>
      </c>
      <c r="G1515" t="s">
        <v>14</v>
      </c>
      <c r="H1515">
        <v>199</v>
      </c>
      <c r="I1515">
        <v>2</v>
      </c>
      <c r="J1515">
        <v>398</v>
      </c>
    </row>
    <row r="1516" spans="1:10" x14ac:dyDescent="0.35">
      <c r="A1516" s="3" t="s">
        <v>1561</v>
      </c>
      <c r="B1516" s="4">
        <v>43588</v>
      </c>
      <c r="C1516">
        <v>18</v>
      </c>
      <c r="D1516" t="s">
        <v>26</v>
      </c>
      <c r="E1516" t="s">
        <v>27</v>
      </c>
      <c r="F1516" t="s">
        <v>28</v>
      </c>
      <c r="G1516" t="s">
        <v>41</v>
      </c>
      <c r="H1516">
        <v>399</v>
      </c>
      <c r="I1516">
        <v>6</v>
      </c>
      <c r="J1516">
        <v>2394</v>
      </c>
    </row>
    <row r="1517" spans="1:10" x14ac:dyDescent="0.35">
      <c r="A1517" s="3" t="s">
        <v>1562</v>
      </c>
      <c r="B1517" s="4">
        <v>43588</v>
      </c>
      <c r="C1517">
        <v>1</v>
      </c>
      <c r="D1517" t="s">
        <v>16</v>
      </c>
      <c r="E1517" t="s">
        <v>17</v>
      </c>
      <c r="F1517" t="s">
        <v>18</v>
      </c>
      <c r="G1517" t="s">
        <v>24</v>
      </c>
      <c r="H1517">
        <v>159</v>
      </c>
      <c r="I1517">
        <v>0</v>
      </c>
      <c r="J1517">
        <v>0</v>
      </c>
    </row>
    <row r="1518" spans="1:10" x14ac:dyDescent="0.35">
      <c r="A1518" s="3" t="s">
        <v>1563</v>
      </c>
      <c r="B1518" s="4">
        <v>43588</v>
      </c>
      <c r="C1518">
        <v>17</v>
      </c>
      <c r="D1518" t="s">
        <v>35</v>
      </c>
      <c r="E1518" t="s">
        <v>36</v>
      </c>
      <c r="F1518" t="s">
        <v>28</v>
      </c>
      <c r="G1518" t="s">
        <v>31</v>
      </c>
      <c r="H1518">
        <v>69</v>
      </c>
      <c r="I1518">
        <v>5</v>
      </c>
      <c r="J1518">
        <v>345</v>
      </c>
    </row>
    <row r="1519" spans="1:10" x14ac:dyDescent="0.35">
      <c r="A1519" s="3" t="s">
        <v>1564</v>
      </c>
      <c r="B1519" s="4">
        <v>43588</v>
      </c>
      <c r="C1519">
        <v>3</v>
      </c>
      <c r="D1519" t="s">
        <v>43</v>
      </c>
      <c r="E1519" t="s">
        <v>17</v>
      </c>
      <c r="F1519" t="s">
        <v>18</v>
      </c>
      <c r="G1519" t="s">
        <v>31</v>
      </c>
      <c r="H1519">
        <v>69</v>
      </c>
      <c r="I1519">
        <v>8</v>
      </c>
      <c r="J1519">
        <v>552</v>
      </c>
    </row>
    <row r="1520" spans="1:10" x14ac:dyDescent="0.35">
      <c r="A1520" s="3" t="s">
        <v>1565</v>
      </c>
      <c r="B1520" s="4">
        <v>43589</v>
      </c>
      <c r="C1520">
        <v>14</v>
      </c>
      <c r="D1520" t="s">
        <v>38</v>
      </c>
      <c r="E1520" t="s">
        <v>63</v>
      </c>
      <c r="F1520" t="s">
        <v>13</v>
      </c>
      <c r="G1520" t="s">
        <v>31</v>
      </c>
      <c r="H1520">
        <v>69</v>
      </c>
      <c r="I1520">
        <v>9</v>
      </c>
      <c r="J1520">
        <v>621</v>
      </c>
    </row>
    <row r="1521" spans="1:10" x14ac:dyDescent="0.35">
      <c r="A1521" s="3" t="s">
        <v>1566</v>
      </c>
      <c r="B1521" s="4">
        <v>43590</v>
      </c>
      <c r="C1521">
        <v>12</v>
      </c>
      <c r="D1521" t="s">
        <v>66</v>
      </c>
      <c r="E1521" t="s">
        <v>63</v>
      </c>
      <c r="F1521" t="s">
        <v>13</v>
      </c>
      <c r="G1521" t="s">
        <v>24</v>
      </c>
      <c r="H1521">
        <v>159</v>
      </c>
      <c r="I1521">
        <v>4</v>
      </c>
      <c r="J1521">
        <v>636</v>
      </c>
    </row>
    <row r="1522" spans="1:10" x14ac:dyDescent="0.35">
      <c r="A1522" s="3" t="s">
        <v>1567</v>
      </c>
      <c r="B1522" s="4">
        <v>43590</v>
      </c>
      <c r="C1522">
        <v>19</v>
      </c>
      <c r="D1522" t="s">
        <v>56</v>
      </c>
      <c r="E1522" t="s">
        <v>27</v>
      </c>
      <c r="F1522" t="s">
        <v>28</v>
      </c>
      <c r="G1522" t="s">
        <v>41</v>
      </c>
      <c r="H1522">
        <v>399</v>
      </c>
      <c r="I1522">
        <v>5</v>
      </c>
      <c r="J1522">
        <v>1995</v>
      </c>
    </row>
    <row r="1523" spans="1:10" x14ac:dyDescent="0.35">
      <c r="A1523" s="3" t="s">
        <v>1568</v>
      </c>
      <c r="B1523" s="4">
        <v>43591</v>
      </c>
      <c r="C1523">
        <v>15</v>
      </c>
      <c r="D1523" t="s">
        <v>118</v>
      </c>
      <c r="E1523" t="s">
        <v>63</v>
      </c>
      <c r="F1523" t="s">
        <v>13</v>
      </c>
      <c r="G1523" t="s">
        <v>31</v>
      </c>
      <c r="H1523">
        <v>69</v>
      </c>
      <c r="I1523">
        <v>9</v>
      </c>
      <c r="J1523">
        <v>621</v>
      </c>
    </row>
    <row r="1524" spans="1:10" x14ac:dyDescent="0.35">
      <c r="A1524" s="3" t="s">
        <v>1569</v>
      </c>
      <c r="B1524" s="4">
        <v>43592</v>
      </c>
      <c r="C1524">
        <v>11</v>
      </c>
      <c r="D1524" t="s">
        <v>11</v>
      </c>
      <c r="E1524" t="s">
        <v>12</v>
      </c>
      <c r="F1524" t="s">
        <v>13</v>
      </c>
      <c r="G1524" t="s">
        <v>24</v>
      </c>
      <c r="H1524">
        <v>159</v>
      </c>
      <c r="I1524">
        <v>3</v>
      </c>
      <c r="J1524">
        <v>477</v>
      </c>
    </row>
    <row r="1525" spans="1:10" x14ac:dyDescent="0.35">
      <c r="A1525" s="3" t="s">
        <v>1570</v>
      </c>
      <c r="B1525" s="4">
        <v>43592</v>
      </c>
      <c r="C1525">
        <v>14</v>
      </c>
      <c r="D1525" t="s">
        <v>38</v>
      </c>
      <c r="E1525" t="s">
        <v>63</v>
      </c>
      <c r="F1525" t="s">
        <v>13</v>
      </c>
      <c r="G1525" t="s">
        <v>24</v>
      </c>
      <c r="H1525">
        <v>159</v>
      </c>
      <c r="I1525">
        <v>1</v>
      </c>
      <c r="J1525">
        <v>159</v>
      </c>
    </row>
    <row r="1526" spans="1:10" x14ac:dyDescent="0.35">
      <c r="A1526" s="3" t="s">
        <v>1571</v>
      </c>
      <c r="B1526" s="4">
        <v>43592</v>
      </c>
      <c r="C1526">
        <v>3</v>
      </c>
      <c r="D1526" t="s">
        <v>43</v>
      </c>
      <c r="E1526" t="s">
        <v>68</v>
      </c>
      <c r="F1526" t="s">
        <v>18</v>
      </c>
      <c r="G1526" t="s">
        <v>31</v>
      </c>
      <c r="H1526">
        <v>69</v>
      </c>
      <c r="I1526">
        <v>6</v>
      </c>
      <c r="J1526">
        <v>414</v>
      </c>
    </row>
    <row r="1527" spans="1:10" x14ac:dyDescent="0.35">
      <c r="A1527" s="3" t="s">
        <v>1572</v>
      </c>
      <c r="B1527" s="4">
        <v>43592</v>
      </c>
      <c r="C1527">
        <v>4</v>
      </c>
      <c r="D1527" t="s">
        <v>51</v>
      </c>
      <c r="E1527" t="s">
        <v>68</v>
      </c>
      <c r="F1527" t="s">
        <v>18</v>
      </c>
      <c r="G1527" t="s">
        <v>19</v>
      </c>
      <c r="H1527">
        <v>289</v>
      </c>
      <c r="I1527">
        <v>5</v>
      </c>
      <c r="J1527">
        <v>1445</v>
      </c>
    </row>
    <row r="1528" spans="1:10" x14ac:dyDescent="0.35">
      <c r="A1528" s="3" t="s">
        <v>1573</v>
      </c>
      <c r="B1528" s="4">
        <v>43592</v>
      </c>
      <c r="C1528">
        <v>16</v>
      </c>
      <c r="D1528" t="s">
        <v>30</v>
      </c>
      <c r="E1528" t="s">
        <v>27</v>
      </c>
      <c r="F1528" t="s">
        <v>28</v>
      </c>
      <c r="G1528" t="s">
        <v>24</v>
      </c>
      <c r="H1528">
        <v>159</v>
      </c>
      <c r="I1528">
        <v>7</v>
      </c>
      <c r="J1528">
        <v>1113</v>
      </c>
    </row>
    <row r="1529" spans="1:10" x14ac:dyDescent="0.35">
      <c r="A1529" s="3" t="s">
        <v>1574</v>
      </c>
      <c r="B1529" s="4">
        <v>43592</v>
      </c>
      <c r="C1529">
        <v>13</v>
      </c>
      <c r="D1529" t="s">
        <v>33</v>
      </c>
      <c r="E1529" t="s">
        <v>63</v>
      </c>
      <c r="F1529" t="s">
        <v>13</v>
      </c>
      <c r="G1529" t="s">
        <v>24</v>
      </c>
      <c r="H1529">
        <v>159</v>
      </c>
      <c r="I1529">
        <v>3</v>
      </c>
      <c r="J1529">
        <v>477</v>
      </c>
    </row>
    <row r="1530" spans="1:10" x14ac:dyDescent="0.35">
      <c r="A1530" s="3" t="s">
        <v>1575</v>
      </c>
      <c r="B1530" s="4">
        <v>43592</v>
      </c>
      <c r="C1530">
        <v>18</v>
      </c>
      <c r="D1530" t="s">
        <v>26</v>
      </c>
      <c r="E1530" t="s">
        <v>36</v>
      </c>
      <c r="F1530" t="s">
        <v>28</v>
      </c>
      <c r="G1530" t="s">
        <v>14</v>
      </c>
      <c r="H1530">
        <v>199</v>
      </c>
      <c r="I1530">
        <v>1</v>
      </c>
      <c r="J1530">
        <v>199</v>
      </c>
    </row>
    <row r="1531" spans="1:10" x14ac:dyDescent="0.35">
      <c r="A1531" s="3" t="s">
        <v>1576</v>
      </c>
      <c r="B1531" s="4">
        <v>43592</v>
      </c>
      <c r="C1531">
        <v>15</v>
      </c>
      <c r="D1531" t="s">
        <v>118</v>
      </c>
      <c r="E1531" t="s">
        <v>12</v>
      </c>
      <c r="F1531" t="s">
        <v>13</v>
      </c>
      <c r="G1531" t="s">
        <v>41</v>
      </c>
      <c r="H1531">
        <v>399</v>
      </c>
      <c r="I1531">
        <v>0</v>
      </c>
      <c r="J1531">
        <v>0</v>
      </c>
    </row>
    <row r="1532" spans="1:10" x14ac:dyDescent="0.35">
      <c r="A1532" s="3" t="s">
        <v>1577</v>
      </c>
      <c r="B1532" s="4">
        <v>43593</v>
      </c>
      <c r="C1532">
        <v>4</v>
      </c>
      <c r="D1532" t="s">
        <v>51</v>
      </c>
      <c r="E1532" t="s">
        <v>17</v>
      </c>
      <c r="F1532" t="s">
        <v>18</v>
      </c>
      <c r="G1532" t="s">
        <v>14</v>
      </c>
      <c r="H1532">
        <v>199</v>
      </c>
      <c r="I1532">
        <v>7</v>
      </c>
      <c r="J1532">
        <v>1393</v>
      </c>
    </row>
    <row r="1533" spans="1:10" x14ac:dyDescent="0.35">
      <c r="A1533" s="3" t="s">
        <v>1578</v>
      </c>
      <c r="B1533" s="4">
        <v>43594</v>
      </c>
      <c r="C1533">
        <v>11</v>
      </c>
      <c r="D1533" t="s">
        <v>11</v>
      </c>
      <c r="E1533" t="s">
        <v>63</v>
      </c>
      <c r="F1533" t="s">
        <v>13</v>
      </c>
      <c r="G1533" t="s">
        <v>19</v>
      </c>
      <c r="H1533">
        <v>289</v>
      </c>
      <c r="I1533">
        <v>1</v>
      </c>
      <c r="J1533">
        <v>289</v>
      </c>
    </row>
    <row r="1534" spans="1:10" x14ac:dyDescent="0.35">
      <c r="A1534" s="3" t="s">
        <v>1579</v>
      </c>
      <c r="B1534" s="4">
        <v>43594</v>
      </c>
      <c r="C1534">
        <v>18</v>
      </c>
      <c r="D1534" t="s">
        <v>26</v>
      </c>
      <c r="E1534" t="s">
        <v>36</v>
      </c>
      <c r="F1534" t="s">
        <v>28</v>
      </c>
      <c r="G1534" t="s">
        <v>31</v>
      </c>
      <c r="H1534">
        <v>69</v>
      </c>
      <c r="I1534">
        <v>4</v>
      </c>
      <c r="J1534">
        <v>276</v>
      </c>
    </row>
    <row r="1535" spans="1:10" x14ac:dyDescent="0.35">
      <c r="A1535" s="3" t="s">
        <v>1580</v>
      </c>
      <c r="B1535" s="4">
        <v>43594</v>
      </c>
      <c r="C1535">
        <v>1</v>
      </c>
      <c r="D1535" t="s">
        <v>16</v>
      </c>
      <c r="E1535" t="s">
        <v>17</v>
      </c>
      <c r="F1535" t="s">
        <v>18</v>
      </c>
      <c r="G1535" t="s">
        <v>31</v>
      </c>
      <c r="H1535">
        <v>69</v>
      </c>
      <c r="I1535">
        <v>1</v>
      </c>
      <c r="J1535">
        <v>69</v>
      </c>
    </row>
    <row r="1536" spans="1:10" x14ac:dyDescent="0.35">
      <c r="A1536" s="3" t="s">
        <v>1581</v>
      </c>
      <c r="B1536" s="4">
        <v>43594</v>
      </c>
      <c r="C1536">
        <v>7</v>
      </c>
      <c r="D1536" t="s">
        <v>88</v>
      </c>
      <c r="E1536" t="s">
        <v>22</v>
      </c>
      <c r="F1536" t="s">
        <v>23</v>
      </c>
      <c r="G1536" t="s">
        <v>31</v>
      </c>
      <c r="H1536">
        <v>69</v>
      </c>
      <c r="I1536">
        <v>5</v>
      </c>
      <c r="J1536">
        <v>345</v>
      </c>
    </row>
    <row r="1537" spans="1:10" x14ac:dyDescent="0.35">
      <c r="A1537" s="3" t="s">
        <v>1582</v>
      </c>
      <c r="B1537" s="4">
        <v>43595</v>
      </c>
      <c r="C1537">
        <v>19</v>
      </c>
      <c r="D1537" t="s">
        <v>56</v>
      </c>
      <c r="E1537" t="s">
        <v>27</v>
      </c>
      <c r="F1537" t="s">
        <v>28</v>
      </c>
      <c r="G1537" t="s">
        <v>24</v>
      </c>
      <c r="H1537">
        <v>159</v>
      </c>
      <c r="I1537">
        <v>3</v>
      </c>
      <c r="J1537">
        <v>477</v>
      </c>
    </row>
    <row r="1538" spans="1:10" x14ac:dyDescent="0.35">
      <c r="A1538" s="3" t="s">
        <v>1583</v>
      </c>
      <c r="B1538" s="4">
        <v>43595</v>
      </c>
      <c r="C1538">
        <v>17</v>
      </c>
      <c r="D1538" t="s">
        <v>35</v>
      </c>
      <c r="E1538" t="s">
        <v>27</v>
      </c>
      <c r="F1538" t="s">
        <v>28</v>
      </c>
      <c r="G1538" t="s">
        <v>41</v>
      </c>
      <c r="H1538">
        <v>399</v>
      </c>
      <c r="I1538">
        <v>1</v>
      </c>
      <c r="J1538">
        <v>399</v>
      </c>
    </row>
    <row r="1539" spans="1:10" x14ac:dyDescent="0.35">
      <c r="A1539" s="3" t="s">
        <v>1584</v>
      </c>
      <c r="B1539" s="4">
        <v>43595</v>
      </c>
      <c r="C1539">
        <v>3</v>
      </c>
      <c r="D1539" t="s">
        <v>43</v>
      </c>
      <c r="E1539" t="s">
        <v>68</v>
      </c>
      <c r="F1539" t="s">
        <v>18</v>
      </c>
      <c r="G1539" t="s">
        <v>31</v>
      </c>
      <c r="H1539">
        <v>69</v>
      </c>
      <c r="I1539">
        <v>6</v>
      </c>
      <c r="J1539">
        <v>414</v>
      </c>
    </row>
    <row r="1540" spans="1:10" x14ac:dyDescent="0.35">
      <c r="A1540" s="3" t="s">
        <v>1585</v>
      </c>
      <c r="B1540" s="4">
        <v>43596</v>
      </c>
      <c r="C1540">
        <v>15</v>
      </c>
      <c r="D1540" t="s">
        <v>118</v>
      </c>
      <c r="E1540" t="s">
        <v>63</v>
      </c>
      <c r="F1540" t="s">
        <v>13</v>
      </c>
      <c r="G1540" t="s">
        <v>14</v>
      </c>
      <c r="H1540">
        <v>199</v>
      </c>
      <c r="I1540">
        <v>7</v>
      </c>
      <c r="J1540">
        <v>1393</v>
      </c>
    </row>
    <row r="1541" spans="1:10" x14ac:dyDescent="0.35">
      <c r="A1541" s="3" t="s">
        <v>1586</v>
      </c>
      <c r="B1541" s="4">
        <v>43597</v>
      </c>
      <c r="C1541">
        <v>9</v>
      </c>
      <c r="D1541" t="s">
        <v>21</v>
      </c>
      <c r="E1541" t="s">
        <v>46</v>
      </c>
      <c r="F1541" t="s">
        <v>23</v>
      </c>
      <c r="G1541" t="s">
        <v>24</v>
      </c>
      <c r="H1541">
        <v>159</v>
      </c>
      <c r="I1541">
        <v>6</v>
      </c>
      <c r="J1541">
        <v>954</v>
      </c>
    </row>
    <row r="1542" spans="1:10" x14ac:dyDescent="0.35">
      <c r="A1542" s="3" t="s">
        <v>1587</v>
      </c>
      <c r="B1542" s="4">
        <v>43597</v>
      </c>
      <c r="C1542">
        <v>3</v>
      </c>
      <c r="D1542" t="s">
        <v>43</v>
      </c>
      <c r="E1542" t="s">
        <v>17</v>
      </c>
      <c r="F1542" t="s">
        <v>18</v>
      </c>
      <c r="G1542" t="s">
        <v>19</v>
      </c>
      <c r="H1542">
        <v>289</v>
      </c>
      <c r="I1542">
        <v>9</v>
      </c>
      <c r="J1542">
        <v>2601</v>
      </c>
    </row>
    <row r="1543" spans="1:10" x14ac:dyDescent="0.35">
      <c r="A1543" s="3" t="s">
        <v>1588</v>
      </c>
      <c r="B1543" s="4">
        <v>43598</v>
      </c>
      <c r="C1543">
        <v>5</v>
      </c>
      <c r="D1543" t="s">
        <v>60</v>
      </c>
      <c r="E1543" t="s">
        <v>68</v>
      </c>
      <c r="F1543" t="s">
        <v>18</v>
      </c>
      <c r="G1543" t="s">
        <v>14</v>
      </c>
      <c r="H1543">
        <v>199</v>
      </c>
      <c r="I1543">
        <v>6</v>
      </c>
      <c r="J1543">
        <v>1194</v>
      </c>
    </row>
    <row r="1544" spans="1:10" x14ac:dyDescent="0.35">
      <c r="A1544" s="3" t="s">
        <v>1589</v>
      </c>
      <c r="B1544" s="4">
        <v>43598</v>
      </c>
      <c r="C1544">
        <v>11</v>
      </c>
      <c r="D1544" t="s">
        <v>11</v>
      </c>
      <c r="E1544" t="s">
        <v>63</v>
      </c>
      <c r="F1544" t="s">
        <v>13</v>
      </c>
      <c r="G1544" t="s">
        <v>41</v>
      </c>
      <c r="H1544">
        <v>399</v>
      </c>
      <c r="I1544">
        <v>2</v>
      </c>
      <c r="J1544">
        <v>798</v>
      </c>
    </row>
    <row r="1545" spans="1:10" x14ac:dyDescent="0.35">
      <c r="A1545" s="3" t="s">
        <v>1590</v>
      </c>
      <c r="B1545" s="4">
        <v>43598</v>
      </c>
      <c r="C1545">
        <v>19</v>
      </c>
      <c r="D1545" t="s">
        <v>56</v>
      </c>
      <c r="E1545" t="s">
        <v>36</v>
      </c>
      <c r="F1545" t="s">
        <v>28</v>
      </c>
      <c r="G1545" t="s">
        <v>14</v>
      </c>
      <c r="H1545">
        <v>199</v>
      </c>
      <c r="I1545">
        <v>5</v>
      </c>
      <c r="J1545">
        <v>995</v>
      </c>
    </row>
    <row r="1546" spans="1:10" x14ac:dyDescent="0.35">
      <c r="A1546" s="3" t="s">
        <v>1591</v>
      </c>
      <c r="B1546" s="4">
        <v>43599</v>
      </c>
      <c r="C1546">
        <v>11</v>
      </c>
      <c r="D1546" t="s">
        <v>11</v>
      </c>
      <c r="E1546" t="s">
        <v>12</v>
      </c>
      <c r="F1546" t="s">
        <v>13</v>
      </c>
      <c r="G1546" t="s">
        <v>41</v>
      </c>
      <c r="H1546">
        <v>399</v>
      </c>
      <c r="I1546">
        <v>6</v>
      </c>
      <c r="J1546">
        <v>2394</v>
      </c>
    </row>
    <row r="1547" spans="1:10" x14ac:dyDescent="0.35">
      <c r="A1547" s="3" t="s">
        <v>1592</v>
      </c>
      <c r="B1547" s="4">
        <v>43600</v>
      </c>
      <c r="C1547">
        <v>15</v>
      </c>
      <c r="D1547" t="s">
        <v>118</v>
      </c>
      <c r="E1547" t="s">
        <v>63</v>
      </c>
      <c r="F1547" t="s">
        <v>13</v>
      </c>
      <c r="G1547" t="s">
        <v>14</v>
      </c>
      <c r="H1547">
        <v>199</v>
      </c>
      <c r="I1547">
        <v>7</v>
      </c>
      <c r="J1547">
        <v>1393</v>
      </c>
    </row>
    <row r="1548" spans="1:10" x14ac:dyDescent="0.35">
      <c r="A1548" s="3" t="s">
        <v>1593</v>
      </c>
      <c r="B1548" s="4">
        <v>43600</v>
      </c>
      <c r="C1548">
        <v>6</v>
      </c>
      <c r="D1548" t="s">
        <v>48</v>
      </c>
      <c r="E1548" t="s">
        <v>22</v>
      </c>
      <c r="F1548" t="s">
        <v>23</v>
      </c>
      <c r="G1548" t="s">
        <v>24</v>
      </c>
      <c r="H1548">
        <v>159</v>
      </c>
      <c r="I1548">
        <v>5</v>
      </c>
      <c r="J1548">
        <v>795</v>
      </c>
    </row>
    <row r="1549" spans="1:10" x14ac:dyDescent="0.35">
      <c r="A1549" s="3" t="s">
        <v>1594</v>
      </c>
      <c r="B1549" s="4">
        <v>43600</v>
      </c>
      <c r="C1549">
        <v>14</v>
      </c>
      <c r="D1549" t="s">
        <v>38</v>
      </c>
      <c r="E1549" t="s">
        <v>12</v>
      </c>
      <c r="F1549" t="s">
        <v>13</v>
      </c>
      <c r="G1549" t="s">
        <v>24</v>
      </c>
      <c r="H1549">
        <v>159</v>
      </c>
      <c r="I1549">
        <v>8</v>
      </c>
      <c r="J1549">
        <v>1272</v>
      </c>
    </row>
    <row r="1550" spans="1:10" x14ac:dyDescent="0.35">
      <c r="A1550" s="3" t="s">
        <v>1595</v>
      </c>
      <c r="B1550" s="4">
        <v>43601</v>
      </c>
      <c r="C1550">
        <v>3</v>
      </c>
      <c r="D1550" t="s">
        <v>43</v>
      </c>
      <c r="E1550" t="s">
        <v>17</v>
      </c>
      <c r="F1550" t="s">
        <v>18</v>
      </c>
      <c r="G1550" t="s">
        <v>19</v>
      </c>
      <c r="H1550">
        <v>289</v>
      </c>
      <c r="I1550">
        <v>4</v>
      </c>
      <c r="J1550">
        <v>1156</v>
      </c>
    </row>
    <row r="1551" spans="1:10" x14ac:dyDescent="0.35">
      <c r="A1551" s="3" t="s">
        <v>1596</v>
      </c>
      <c r="B1551" s="4">
        <v>43602</v>
      </c>
      <c r="C1551">
        <v>15</v>
      </c>
      <c r="D1551" t="s">
        <v>118</v>
      </c>
      <c r="E1551" t="s">
        <v>12</v>
      </c>
      <c r="F1551" t="s">
        <v>13</v>
      </c>
      <c r="G1551" t="s">
        <v>14</v>
      </c>
      <c r="H1551">
        <v>199</v>
      </c>
      <c r="I1551">
        <v>3</v>
      </c>
      <c r="J1551">
        <v>597</v>
      </c>
    </row>
    <row r="1552" spans="1:10" x14ac:dyDescent="0.35">
      <c r="A1552" s="3" t="s">
        <v>1597</v>
      </c>
      <c r="B1552" s="4">
        <v>43602</v>
      </c>
      <c r="C1552">
        <v>1</v>
      </c>
      <c r="D1552" t="s">
        <v>16</v>
      </c>
      <c r="E1552" t="s">
        <v>68</v>
      </c>
      <c r="F1552" t="s">
        <v>18</v>
      </c>
      <c r="G1552" t="s">
        <v>41</v>
      </c>
      <c r="H1552">
        <v>399</v>
      </c>
      <c r="I1552">
        <v>7</v>
      </c>
      <c r="J1552">
        <v>2793</v>
      </c>
    </row>
    <row r="1553" spans="1:10" x14ac:dyDescent="0.35">
      <c r="A1553" s="3" t="s">
        <v>1598</v>
      </c>
      <c r="B1553" s="4">
        <v>43602</v>
      </c>
      <c r="C1553">
        <v>1</v>
      </c>
      <c r="D1553" t="s">
        <v>16</v>
      </c>
      <c r="E1553" t="s">
        <v>17</v>
      </c>
      <c r="F1553" t="s">
        <v>18</v>
      </c>
      <c r="G1553" t="s">
        <v>19</v>
      </c>
      <c r="H1553">
        <v>289</v>
      </c>
      <c r="I1553">
        <v>9</v>
      </c>
      <c r="J1553">
        <v>2601</v>
      </c>
    </row>
    <row r="1554" spans="1:10" x14ac:dyDescent="0.35">
      <c r="A1554" s="3" t="s">
        <v>1599</v>
      </c>
      <c r="B1554" s="4">
        <v>43602</v>
      </c>
      <c r="C1554">
        <v>10</v>
      </c>
      <c r="D1554" t="s">
        <v>58</v>
      </c>
      <c r="E1554" t="s">
        <v>46</v>
      </c>
      <c r="F1554" t="s">
        <v>23</v>
      </c>
      <c r="G1554" t="s">
        <v>19</v>
      </c>
      <c r="H1554">
        <v>289</v>
      </c>
      <c r="I1554">
        <v>2</v>
      </c>
      <c r="J1554">
        <v>578</v>
      </c>
    </row>
    <row r="1555" spans="1:10" x14ac:dyDescent="0.35">
      <c r="A1555" s="3" t="s">
        <v>1600</v>
      </c>
      <c r="B1555" s="4">
        <v>43602</v>
      </c>
      <c r="C1555">
        <v>13</v>
      </c>
      <c r="D1555" t="s">
        <v>33</v>
      </c>
      <c r="E1555" t="s">
        <v>63</v>
      </c>
      <c r="F1555" t="s">
        <v>13</v>
      </c>
      <c r="G1555" t="s">
        <v>31</v>
      </c>
      <c r="H1555">
        <v>69</v>
      </c>
      <c r="I1555">
        <v>0</v>
      </c>
      <c r="J1555">
        <v>0</v>
      </c>
    </row>
    <row r="1556" spans="1:10" x14ac:dyDescent="0.35">
      <c r="A1556" s="3" t="s">
        <v>1601</v>
      </c>
      <c r="B1556" s="4">
        <v>43602</v>
      </c>
      <c r="C1556">
        <v>14</v>
      </c>
      <c r="D1556" t="s">
        <v>38</v>
      </c>
      <c r="E1556" t="s">
        <v>12</v>
      </c>
      <c r="F1556" t="s">
        <v>13</v>
      </c>
      <c r="G1556" t="s">
        <v>19</v>
      </c>
      <c r="H1556">
        <v>289</v>
      </c>
      <c r="I1556">
        <v>6</v>
      </c>
      <c r="J1556">
        <v>1734</v>
      </c>
    </row>
    <row r="1557" spans="1:10" x14ac:dyDescent="0.35">
      <c r="A1557" s="3" t="s">
        <v>1602</v>
      </c>
      <c r="B1557" s="4">
        <v>43602</v>
      </c>
      <c r="C1557">
        <v>17</v>
      </c>
      <c r="D1557" t="s">
        <v>35</v>
      </c>
      <c r="E1557" t="s">
        <v>27</v>
      </c>
      <c r="F1557" t="s">
        <v>28</v>
      </c>
      <c r="G1557" t="s">
        <v>14</v>
      </c>
      <c r="H1557">
        <v>199</v>
      </c>
      <c r="I1557">
        <v>2</v>
      </c>
      <c r="J1557">
        <v>398</v>
      </c>
    </row>
    <row r="1558" spans="1:10" x14ac:dyDescent="0.35">
      <c r="A1558" s="3" t="s">
        <v>1603</v>
      </c>
      <c r="B1558" s="4">
        <v>43602</v>
      </c>
      <c r="C1558">
        <v>1</v>
      </c>
      <c r="D1558" t="s">
        <v>16</v>
      </c>
      <c r="E1558" t="s">
        <v>68</v>
      </c>
      <c r="F1558" t="s">
        <v>18</v>
      </c>
      <c r="G1558" t="s">
        <v>31</v>
      </c>
      <c r="H1558">
        <v>69</v>
      </c>
      <c r="I1558">
        <v>7</v>
      </c>
      <c r="J1558">
        <v>483</v>
      </c>
    </row>
    <row r="1559" spans="1:10" x14ac:dyDescent="0.35">
      <c r="A1559" s="3" t="s">
        <v>1604</v>
      </c>
      <c r="B1559" s="4">
        <v>43603</v>
      </c>
      <c r="C1559">
        <v>2</v>
      </c>
      <c r="D1559" t="s">
        <v>106</v>
      </c>
      <c r="E1559" t="s">
        <v>68</v>
      </c>
      <c r="F1559" t="s">
        <v>18</v>
      </c>
      <c r="G1559" t="s">
        <v>41</v>
      </c>
      <c r="H1559">
        <v>399</v>
      </c>
      <c r="I1559">
        <v>4</v>
      </c>
      <c r="J1559">
        <v>1596</v>
      </c>
    </row>
    <row r="1560" spans="1:10" x14ac:dyDescent="0.35">
      <c r="A1560" s="3" t="s">
        <v>1605</v>
      </c>
      <c r="B1560" s="4">
        <v>43604</v>
      </c>
      <c r="C1560">
        <v>10</v>
      </c>
      <c r="D1560" t="s">
        <v>58</v>
      </c>
      <c r="E1560" t="s">
        <v>22</v>
      </c>
      <c r="F1560" t="s">
        <v>23</v>
      </c>
      <c r="G1560" t="s">
        <v>41</v>
      </c>
      <c r="H1560">
        <v>399</v>
      </c>
      <c r="I1560">
        <v>1</v>
      </c>
      <c r="J1560">
        <v>399</v>
      </c>
    </row>
    <row r="1561" spans="1:10" x14ac:dyDescent="0.35">
      <c r="A1561" s="3" t="s">
        <v>1606</v>
      </c>
      <c r="B1561" s="4">
        <v>43604</v>
      </c>
      <c r="C1561">
        <v>20</v>
      </c>
      <c r="D1561" t="s">
        <v>40</v>
      </c>
      <c r="E1561" t="s">
        <v>27</v>
      </c>
      <c r="F1561" t="s">
        <v>28</v>
      </c>
      <c r="G1561" t="s">
        <v>14</v>
      </c>
      <c r="H1561">
        <v>199</v>
      </c>
      <c r="I1561">
        <v>2</v>
      </c>
      <c r="J1561">
        <v>398</v>
      </c>
    </row>
    <row r="1562" spans="1:10" x14ac:dyDescent="0.35">
      <c r="A1562" s="3" t="s">
        <v>1607</v>
      </c>
      <c r="B1562" s="4">
        <v>43604</v>
      </c>
      <c r="C1562">
        <v>1</v>
      </c>
      <c r="D1562" t="s">
        <v>16</v>
      </c>
      <c r="E1562" t="s">
        <v>17</v>
      </c>
      <c r="F1562" t="s">
        <v>18</v>
      </c>
      <c r="G1562" t="s">
        <v>19</v>
      </c>
      <c r="H1562">
        <v>289</v>
      </c>
      <c r="I1562">
        <v>1</v>
      </c>
      <c r="J1562">
        <v>289</v>
      </c>
    </row>
    <row r="1563" spans="1:10" x14ac:dyDescent="0.35">
      <c r="A1563" s="3" t="s">
        <v>1608</v>
      </c>
      <c r="B1563" s="4">
        <v>43605</v>
      </c>
      <c r="C1563">
        <v>1</v>
      </c>
      <c r="D1563" t="s">
        <v>16</v>
      </c>
      <c r="E1563" t="s">
        <v>17</v>
      </c>
      <c r="F1563" t="s">
        <v>18</v>
      </c>
      <c r="G1563" t="s">
        <v>24</v>
      </c>
      <c r="H1563">
        <v>159</v>
      </c>
      <c r="I1563">
        <v>4</v>
      </c>
      <c r="J1563">
        <v>636</v>
      </c>
    </row>
    <row r="1564" spans="1:10" x14ac:dyDescent="0.35">
      <c r="A1564" s="3" t="s">
        <v>1609</v>
      </c>
      <c r="B1564" s="4">
        <v>43605</v>
      </c>
      <c r="C1564">
        <v>19</v>
      </c>
      <c r="D1564" t="s">
        <v>56</v>
      </c>
      <c r="E1564" t="s">
        <v>36</v>
      </c>
      <c r="F1564" t="s">
        <v>28</v>
      </c>
      <c r="G1564" t="s">
        <v>41</v>
      </c>
      <c r="H1564">
        <v>399</v>
      </c>
      <c r="I1564">
        <v>8</v>
      </c>
      <c r="J1564">
        <v>3192</v>
      </c>
    </row>
    <row r="1565" spans="1:10" x14ac:dyDescent="0.35">
      <c r="A1565" s="3" t="s">
        <v>1610</v>
      </c>
      <c r="B1565" s="4">
        <v>43605</v>
      </c>
      <c r="C1565">
        <v>2</v>
      </c>
      <c r="D1565" t="s">
        <v>106</v>
      </c>
      <c r="E1565" t="s">
        <v>17</v>
      </c>
      <c r="F1565" t="s">
        <v>18</v>
      </c>
      <c r="G1565" t="s">
        <v>14</v>
      </c>
      <c r="H1565">
        <v>199</v>
      </c>
      <c r="I1565">
        <v>9</v>
      </c>
      <c r="J1565">
        <v>1791</v>
      </c>
    </row>
    <row r="1566" spans="1:10" x14ac:dyDescent="0.35">
      <c r="A1566" s="3" t="s">
        <v>1611</v>
      </c>
      <c r="B1566" s="4">
        <v>43605</v>
      </c>
      <c r="C1566">
        <v>7</v>
      </c>
      <c r="D1566" t="s">
        <v>88</v>
      </c>
      <c r="E1566" t="s">
        <v>22</v>
      </c>
      <c r="F1566" t="s">
        <v>23</v>
      </c>
      <c r="G1566" t="s">
        <v>19</v>
      </c>
      <c r="H1566">
        <v>289</v>
      </c>
      <c r="I1566">
        <v>8</v>
      </c>
      <c r="J1566">
        <v>2312</v>
      </c>
    </row>
    <row r="1567" spans="1:10" x14ac:dyDescent="0.35">
      <c r="A1567" s="3" t="s">
        <v>1612</v>
      </c>
      <c r="B1567" s="4">
        <v>43606</v>
      </c>
      <c r="C1567">
        <v>5</v>
      </c>
      <c r="D1567" t="s">
        <v>60</v>
      </c>
      <c r="E1567" t="s">
        <v>17</v>
      </c>
      <c r="F1567" t="s">
        <v>18</v>
      </c>
      <c r="G1567" t="s">
        <v>19</v>
      </c>
      <c r="H1567">
        <v>289</v>
      </c>
      <c r="I1567">
        <v>2</v>
      </c>
      <c r="J1567">
        <v>578</v>
      </c>
    </row>
    <row r="1568" spans="1:10" x14ac:dyDescent="0.35">
      <c r="A1568" s="3" t="s">
        <v>1613</v>
      </c>
      <c r="B1568" s="4">
        <v>43606</v>
      </c>
      <c r="C1568">
        <v>17</v>
      </c>
      <c r="D1568" t="s">
        <v>35</v>
      </c>
      <c r="E1568" t="s">
        <v>36</v>
      </c>
      <c r="F1568" t="s">
        <v>28</v>
      </c>
      <c r="G1568" t="s">
        <v>31</v>
      </c>
      <c r="H1568">
        <v>69</v>
      </c>
      <c r="I1568">
        <v>2</v>
      </c>
      <c r="J1568">
        <v>138</v>
      </c>
    </row>
    <row r="1569" spans="1:10" x14ac:dyDescent="0.35">
      <c r="A1569" s="3" t="s">
        <v>1614</v>
      </c>
      <c r="B1569" s="4">
        <v>43607</v>
      </c>
      <c r="C1569">
        <v>10</v>
      </c>
      <c r="D1569" t="s">
        <v>58</v>
      </c>
      <c r="E1569" t="s">
        <v>22</v>
      </c>
      <c r="F1569" t="s">
        <v>23</v>
      </c>
      <c r="G1569" t="s">
        <v>19</v>
      </c>
      <c r="H1569">
        <v>289</v>
      </c>
      <c r="I1569">
        <v>7</v>
      </c>
      <c r="J1569">
        <v>2023</v>
      </c>
    </row>
    <row r="1570" spans="1:10" x14ac:dyDescent="0.35">
      <c r="A1570" s="3" t="s">
        <v>1615</v>
      </c>
      <c r="B1570" s="4">
        <v>43607</v>
      </c>
      <c r="C1570">
        <v>8</v>
      </c>
      <c r="D1570" t="s">
        <v>45</v>
      </c>
      <c r="E1570" t="s">
        <v>46</v>
      </c>
      <c r="F1570" t="s">
        <v>23</v>
      </c>
      <c r="G1570" t="s">
        <v>31</v>
      </c>
      <c r="H1570">
        <v>69</v>
      </c>
      <c r="I1570">
        <v>2</v>
      </c>
      <c r="J1570">
        <v>138</v>
      </c>
    </row>
    <row r="1571" spans="1:10" x14ac:dyDescent="0.35">
      <c r="A1571" s="3" t="s">
        <v>1616</v>
      </c>
      <c r="B1571" s="4">
        <v>43607</v>
      </c>
      <c r="C1571">
        <v>14</v>
      </c>
      <c r="D1571" t="s">
        <v>38</v>
      </c>
      <c r="E1571" t="s">
        <v>12</v>
      </c>
      <c r="F1571" t="s">
        <v>13</v>
      </c>
      <c r="G1571" t="s">
        <v>31</v>
      </c>
      <c r="H1571">
        <v>69</v>
      </c>
      <c r="I1571">
        <v>9</v>
      </c>
      <c r="J1571">
        <v>621</v>
      </c>
    </row>
    <row r="1572" spans="1:10" x14ac:dyDescent="0.35">
      <c r="A1572" s="3" t="s">
        <v>1617</v>
      </c>
      <c r="B1572" s="4">
        <v>43608</v>
      </c>
      <c r="C1572">
        <v>15</v>
      </c>
      <c r="D1572" t="s">
        <v>118</v>
      </c>
      <c r="E1572" t="s">
        <v>63</v>
      </c>
      <c r="F1572" t="s">
        <v>13</v>
      </c>
      <c r="G1572" t="s">
        <v>24</v>
      </c>
      <c r="H1572">
        <v>159</v>
      </c>
      <c r="I1572">
        <v>2</v>
      </c>
      <c r="J1572">
        <v>318</v>
      </c>
    </row>
    <row r="1573" spans="1:10" x14ac:dyDescent="0.35">
      <c r="A1573" s="3" t="s">
        <v>1618</v>
      </c>
      <c r="B1573" s="4">
        <v>43609</v>
      </c>
      <c r="C1573">
        <v>14</v>
      </c>
      <c r="D1573" t="s">
        <v>38</v>
      </c>
      <c r="E1573" t="s">
        <v>63</v>
      </c>
      <c r="F1573" t="s">
        <v>13</v>
      </c>
      <c r="G1573" t="s">
        <v>41</v>
      </c>
      <c r="H1573">
        <v>399</v>
      </c>
      <c r="I1573">
        <v>4</v>
      </c>
      <c r="J1573">
        <v>1596</v>
      </c>
    </row>
    <row r="1574" spans="1:10" x14ac:dyDescent="0.35">
      <c r="A1574" s="3" t="s">
        <v>1619</v>
      </c>
      <c r="B1574" s="4">
        <v>43610</v>
      </c>
      <c r="C1574">
        <v>5</v>
      </c>
      <c r="D1574" t="s">
        <v>60</v>
      </c>
      <c r="E1574" t="s">
        <v>17</v>
      </c>
      <c r="F1574" t="s">
        <v>18</v>
      </c>
      <c r="G1574" t="s">
        <v>24</v>
      </c>
      <c r="H1574">
        <v>159</v>
      </c>
      <c r="I1574">
        <v>3</v>
      </c>
      <c r="J1574">
        <v>477</v>
      </c>
    </row>
    <row r="1575" spans="1:10" x14ac:dyDescent="0.35">
      <c r="A1575" s="3" t="s">
        <v>1620</v>
      </c>
      <c r="B1575" s="4">
        <v>43610</v>
      </c>
      <c r="C1575">
        <v>17</v>
      </c>
      <c r="D1575" t="s">
        <v>35</v>
      </c>
      <c r="E1575" t="s">
        <v>27</v>
      </c>
      <c r="F1575" t="s">
        <v>28</v>
      </c>
      <c r="G1575" t="s">
        <v>19</v>
      </c>
      <c r="H1575">
        <v>289</v>
      </c>
      <c r="I1575">
        <v>3</v>
      </c>
      <c r="J1575">
        <v>867</v>
      </c>
    </row>
    <row r="1576" spans="1:10" x14ac:dyDescent="0.35">
      <c r="A1576" s="3" t="s">
        <v>1621</v>
      </c>
      <c r="B1576" s="4">
        <v>43610</v>
      </c>
      <c r="C1576">
        <v>5</v>
      </c>
      <c r="D1576" t="s">
        <v>60</v>
      </c>
      <c r="E1576" t="s">
        <v>68</v>
      </c>
      <c r="F1576" t="s">
        <v>18</v>
      </c>
      <c r="G1576" t="s">
        <v>24</v>
      </c>
      <c r="H1576">
        <v>159</v>
      </c>
      <c r="I1576">
        <v>2</v>
      </c>
      <c r="J1576">
        <v>318</v>
      </c>
    </row>
    <row r="1577" spans="1:10" x14ac:dyDescent="0.35">
      <c r="A1577" s="3" t="s">
        <v>1622</v>
      </c>
      <c r="B1577" s="4">
        <v>43610</v>
      </c>
      <c r="C1577">
        <v>12</v>
      </c>
      <c r="D1577" t="s">
        <v>66</v>
      </c>
      <c r="E1577" t="s">
        <v>63</v>
      </c>
      <c r="F1577" t="s">
        <v>13</v>
      </c>
      <c r="G1577" t="s">
        <v>41</v>
      </c>
      <c r="H1577">
        <v>399</v>
      </c>
      <c r="I1577">
        <v>2</v>
      </c>
      <c r="J1577">
        <v>798</v>
      </c>
    </row>
    <row r="1578" spans="1:10" x14ac:dyDescent="0.35">
      <c r="A1578" s="3" t="s">
        <v>1623</v>
      </c>
      <c r="B1578" s="4">
        <v>43610</v>
      </c>
      <c r="C1578">
        <v>13</v>
      </c>
      <c r="D1578" t="s">
        <v>33</v>
      </c>
      <c r="E1578" t="s">
        <v>63</v>
      </c>
      <c r="F1578" t="s">
        <v>13</v>
      </c>
      <c r="G1578" t="s">
        <v>14</v>
      </c>
      <c r="H1578">
        <v>199</v>
      </c>
      <c r="I1578">
        <v>0</v>
      </c>
      <c r="J1578">
        <v>0</v>
      </c>
    </row>
    <row r="1579" spans="1:10" x14ac:dyDescent="0.35">
      <c r="A1579" s="3" t="s">
        <v>1624</v>
      </c>
      <c r="B1579" s="4">
        <v>43610</v>
      </c>
      <c r="C1579">
        <v>7</v>
      </c>
      <c r="D1579" t="s">
        <v>88</v>
      </c>
      <c r="E1579" t="s">
        <v>46</v>
      </c>
      <c r="F1579" t="s">
        <v>23</v>
      </c>
      <c r="G1579" t="s">
        <v>31</v>
      </c>
      <c r="H1579">
        <v>69</v>
      </c>
      <c r="I1579">
        <v>3</v>
      </c>
      <c r="J1579">
        <v>207</v>
      </c>
    </row>
    <row r="1580" spans="1:10" x14ac:dyDescent="0.35">
      <c r="A1580" s="3" t="s">
        <v>1625</v>
      </c>
      <c r="B1580" s="4">
        <v>43610</v>
      </c>
      <c r="C1580">
        <v>1</v>
      </c>
      <c r="D1580" t="s">
        <v>16</v>
      </c>
      <c r="E1580" t="s">
        <v>68</v>
      </c>
      <c r="F1580" t="s">
        <v>18</v>
      </c>
      <c r="G1580" t="s">
        <v>14</v>
      </c>
      <c r="H1580">
        <v>199</v>
      </c>
      <c r="I1580">
        <v>1</v>
      </c>
      <c r="J1580">
        <v>199</v>
      </c>
    </row>
    <row r="1581" spans="1:10" x14ac:dyDescent="0.35">
      <c r="A1581" s="3" t="s">
        <v>1626</v>
      </c>
      <c r="B1581" s="4">
        <v>43610</v>
      </c>
      <c r="C1581">
        <v>11</v>
      </c>
      <c r="D1581" t="s">
        <v>11</v>
      </c>
      <c r="E1581" t="s">
        <v>63</v>
      </c>
      <c r="F1581" t="s">
        <v>13</v>
      </c>
      <c r="G1581" t="s">
        <v>14</v>
      </c>
      <c r="H1581">
        <v>199</v>
      </c>
      <c r="I1581">
        <v>6</v>
      </c>
      <c r="J1581">
        <v>1194</v>
      </c>
    </row>
    <row r="1582" spans="1:10" x14ac:dyDescent="0.35">
      <c r="A1582" s="3" t="s">
        <v>1627</v>
      </c>
      <c r="B1582" s="4">
        <v>43610</v>
      </c>
      <c r="C1582">
        <v>9</v>
      </c>
      <c r="D1582" t="s">
        <v>21</v>
      </c>
      <c r="E1582" t="s">
        <v>22</v>
      </c>
      <c r="F1582" t="s">
        <v>23</v>
      </c>
      <c r="G1582" t="s">
        <v>31</v>
      </c>
      <c r="H1582">
        <v>69</v>
      </c>
      <c r="I1582">
        <v>0</v>
      </c>
      <c r="J1582">
        <v>0</v>
      </c>
    </row>
    <row r="1583" spans="1:10" x14ac:dyDescent="0.35">
      <c r="A1583" s="3" t="s">
        <v>1628</v>
      </c>
      <c r="B1583" s="4">
        <v>43610</v>
      </c>
      <c r="C1583">
        <v>16</v>
      </c>
      <c r="D1583" t="s">
        <v>30</v>
      </c>
      <c r="E1583" t="s">
        <v>27</v>
      </c>
      <c r="F1583" t="s">
        <v>28</v>
      </c>
      <c r="G1583" t="s">
        <v>19</v>
      </c>
      <c r="H1583">
        <v>289</v>
      </c>
      <c r="I1583">
        <v>1</v>
      </c>
      <c r="J1583">
        <v>289</v>
      </c>
    </row>
    <row r="1584" spans="1:10" x14ac:dyDescent="0.35">
      <c r="A1584" s="3" t="s">
        <v>1629</v>
      </c>
      <c r="B1584" s="4">
        <v>43610</v>
      </c>
      <c r="C1584">
        <v>1</v>
      </c>
      <c r="D1584" t="s">
        <v>16</v>
      </c>
      <c r="E1584" t="s">
        <v>68</v>
      </c>
      <c r="F1584" t="s">
        <v>18</v>
      </c>
      <c r="G1584" t="s">
        <v>19</v>
      </c>
      <c r="H1584">
        <v>289</v>
      </c>
      <c r="I1584">
        <v>9</v>
      </c>
      <c r="J1584">
        <v>2601</v>
      </c>
    </row>
    <row r="1585" spans="1:10" x14ac:dyDescent="0.35">
      <c r="A1585" s="3" t="s">
        <v>1630</v>
      </c>
      <c r="B1585" s="4">
        <v>43610</v>
      </c>
      <c r="C1585">
        <v>5</v>
      </c>
      <c r="D1585" t="s">
        <v>60</v>
      </c>
      <c r="E1585" t="s">
        <v>68</v>
      </c>
      <c r="F1585" t="s">
        <v>18</v>
      </c>
      <c r="G1585" t="s">
        <v>14</v>
      </c>
      <c r="H1585">
        <v>199</v>
      </c>
      <c r="I1585">
        <v>8</v>
      </c>
      <c r="J1585">
        <v>1592</v>
      </c>
    </row>
    <row r="1586" spans="1:10" x14ac:dyDescent="0.35">
      <c r="A1586" s="3" t="s">
        <v>1631</v>
      </c>
      <c r="B1586" s="4">
        <v>43611</v>
      </c>
      <c r="C1586">
        <v>10</v>
      </c>
      <c r="D1586" t="s">
        <v>58</v>
      </c>
      <c r="E1586" t="s">
        <v>22</v>
      </c>
      <c r="F1586" t="s">
        <v>23</v>
      </c>
      <c r="G1586" t="s">
        <v>24</v>
      </c>
      <c r="H1586">
        <v>159</v>
      </c>
      <c r="I1586">
        <v>6</v>
      </c>
      <c r="J1586">
        <v>954</v>
      </c>
    </row>
    <row r="1587" spans="1:10" x14ac:dyDescent="0.35">
      <c r="A1587" s="3" t="s">
        <v>1632</v>
      </c>
      <c r="B1587" s="4">
        <v>43611</v>
      </c>
      <c r="C1587">
        <v>4</v>
      </c>
      <c r="D1587" t="s">
        <v>51</v>
      </c>
      <c r="E1587" t="s">
        <v>17</v>
      </c>
      <c r="F1587" t="s">
        <v>18</v>
      </c>
      <c r="G1587" t="s">
        <v>19</v>
      </c>
      <c r="H1587">
        <v>289</v>
      </c>
      <c r="I1587">
        <v>2</v>
      </c>
      <c r="J1587">
        <v>578</v>
      </c>
    </row>
    <row r="1588" spans="1:10" x14ac:dyDescent="0.35">
      <c r="A1588" s="3" t="s">
        <v>1633</v>
      </c>
      <c r="B1588" s="4">
        <v>43611</v>
      </c>
      <c r="C1588">
        <v>11</v>
      </c>
      <c r="D1588" t="s">
        <v>11</v>
      </c>
      <c r="E1588" t="s">
        <v>63</v>
      </c>
      <c r="F1588" t="s">
        <v>13</v>
      </c>
      <c r="G1588" t="s">
        <v>14</v>
      </c>
      <c r="H1588">
        <v>199</v>
      </c>
      <c r="I1588">
        <v>1</v>
      </c>
      <c r="J1588">
        <v>199</v>
      </c>
    </row>
    <row r="1589" spans="1:10" x14ac:dyDescent="0.35">
      <c r="A1589" s="3" t="s">
        <v>1634</v>
      </c>
      <c r="B1589" s="4">
        <v>43611</v>
      </c>
      <c r="C1589">
        <v>17</v>
      </c>
      <c r="D1589" t="s">
        <v>35</v>
      </c>
      <c r="E1589" t="s">
        <v>36</v>
      </c>
      <c r="F1589" t="s">
        <v>28</v>
      </c>
      <c r="G1589" t="s">
        <v>24</v>
      </c>
      <c r="H1589">
        <v>159</v>
      </c>
      <c r="I1589">
        <v>9</v>
      </c>
      <c r="J1589">
        <v>1431</v>
      </c>
    </row>
    <row r="1590" spans="1:10" x14ac:dyDescent="0.35">
      <c r="A1590" s="3" t="s">
        <v>1635</v>
      </c>
      <c r="B1590" s="4">
        <v>43611</v>
      </c>
      <c r="C1590">
        <v>7</v>
      </c>
      <c r="D1590" t="s">
        <v>88</v>
      </c>
      <c r="E1590" t="s">
        <v>46</v>
      </c>
      <c r="F1590" t="s">
        <v>23</v>
      </c>
      <c r="G1590" t="s">
        <v>31</v>
      </c>
      <c r="H1590">
        <v>69</v>
      </c>
      <c r="I1590">
        <v>3</v>
      </c>
      <c r="J1590">
        <v>207</v>
      </c>
    </row>
    <row r="1591" spans="1:10" x14ac:dyDescent="0.35">
      <c r="A1591" s="3" t="s">
        <v>1636</v>
      </c>
      <c r="B1591" s="4">
        <v>43611</v>
      </c>
      <c r="C1591">
        <v>17</v>
      </c>
      <c r="D1591" t="s">
        <v>35</v>
      </c>
      <c r="E1591" t="s">
        <v>36</v>
      </c>
      <c r="F1591" t="s">
        <v>28</v>
      </c>
      <c r="G1591" t="s">
        <v>24</v>
      </c>
      <c r="H1591">
        <v>159</v>
      </c>
      <c r="I1591">
        <v>2</v>
      </c>
      <c r="J1591">
        <v>318</v>
      </c>
    </row>
    <row r="1592" spans="1:10" x14ac:dyDescent="0.35">
      <c r="A1592" s="3" t="s">
        <v>1637</v>
      </c>
      <c r="B1592" s="4">
        <v>43611</v>
      </c>
      <c r="C1592">
        <v>16</v>
      </c>
      <c r="D1592" t="s">
        <v>30</v>
      </c>
      <c r="E1592" t="s">
        <v>36</v>
      </c>
      <c r="F1592" t="s">
        <v>28</v>
      </c>
      <c r="G1592" t="s">
        <v>31</v>
      </c>
      <c r="H1592">
        <v>69</v>
      </c>
      <c r="I1592">
        <v>5</v>
      </c>
      <c r="J1592">
        <v>345</v>
      </c>
    </row>
    <row r="1593" spans="1:10" x14ac:dyDescent="0.35">
      <c r="A1593" s="3" t="s">
        <v>1638</v>
      </c>
      <c r="B1593" s="4">
        <v>43611</v>
      </c>
      <c r="C1593">
        <v>16</v>
      </c>
      <c r="D1593" t="s">
        <v>30</v>
      </c>
      <c r="E1593" t="s">
        <v>27</v>
      </c>
      <c r="F1593" t="s">
        <v>28</v>
      </c>
      <c r="G1593" t="s">
        <v>24</v>
      </c>
      <c r="H1593">
        <v>159</v>
      </c>
      <c r="I1593">
        <v>7</v>
      </c>
      <c r="J1593">
        <v>1113</v>
      </c>
    </row>
    <row r="1594" spans="1:10" x14ac:dyDescent="0.35">
      <c r="A1594" s="3" t="s">
        <v>1639</v>
      </c>
      <c r="B1594" s="4">
        <v>43611</v>
      </c>
      <c r="C1594">
        <v>16</v>
      </c>
      <c r="D1594" t="s">
        <v>30</v>
      </c>
      <c r="E1594" t="s">
        <v>36</v>
      </c>
      <c r="F1594" t="s">
        <v>28</v>
      </c>
      <c r="G1594" t="s">
        <v>19</v>
      </c>
      <c r="H1594">
        <v>289</v>
      </c>
      <c r="I1594">
        <v>9</v>
      </c>
      <c r="J1594">
        <v>2601</v>
      </c>
    </row>
    <row r="1595" spans="1:10" x14ac:dyDescent="0.35">
      <c r="A1595" s="3" t="s">
        <v>1640</v>
      </c>
      <c r="B1595" s="4">
        <v>43612</v>
      </c>
      <c r="C1595">
        <v>11</v>
      </c>
      <c r="D1595" t="s">
        <v>11</v>
      </c>
      <c r="E1595" t="s">
        <v>63</v>
      </c>
      <c r="F1595" t="s">
        <v>13</v>
      </c>
      <c r="G1595" t="s">
        <v>41</v>
      </c>
      <c r="H1595">
        <v>399</v>
      </c>
      <c r="I1595">
        <v>0</v>
      </c>
      <c r="J1595">
        <v>0</v>
      </c>
    </row>
    <row r="1596" spans="1:10" x14ac:dyDescent="0.35">
      <c r="A1596" s="3" t="s">
        <v>1641</v>
      </c>
      <c r="B1596" s="4">
        <v>43612</v>
      </c>
      <c r="C1596">
        <v>19</v>
      </c>
      <c r="D1596" t="s">
        <v>56</v>
      </c>
      <c r="E1596" t="s">
        <v>27</v>
      </c>
      <c r="F1596" t="s">
        <v>28</v>
      </c>
      <c r="G1596" t="s">
        <v>14</v>
      </c>
      <c r="H1596">
        <v>199</v>
      </c>
      <c r="I1596">
        <v>0</v>
      </c>
      <c r="J1596">
        <v>0</v>
      </c>
    </row>
    <row r="1597" spans="1:10" x14ac:dyDescent="0.35">
      <c r="A1597" s="3" t="s">
        <v>1642</v>
      </c>
      <c r="B1597" s="4">
        <v>43613</v>
      </c>
      <c r="C1597">
        <v>5</v>
      </c>
      <c r="D1597" t="s">
        <v>60</v>
      </c>
      <c r="E1597" t="s">
        <v>17</v>
      </c>
      <c r="F1597" t="s">
        <v>18</v>
      </c>
      <c r="G1597" t="s">
        <v>24</v>
      </c>
      <c r="H1597">
        <v>159</v>
      </c>
      <c r="I1597">
        <v>2</v>
      </c>
      <c r="J1597">
        <v>318</v>
      </c>
    </row>
    <row r="1598" spans="1:10" x14ac:dyDescent="0.35">
      <c r="A1598" s="3" t="s">
        <v>1643</v>
      </c>
      <c r="B1598" s="4">
        <v>43613</v>
      </c>
      <c r="C1598">
        <v>16</v>
      </c>
      <c r="D1598" t="s">
        <v>30</v>
      </c>
      <c r="E1598" t="s">
        <v>27</v>
      </c>
      <c r="F1598" t="s">
        <v>28</v>
      </c>
      <c r="G1598" t="s">
        <v>14</v>
      </c>
      <c r="H1598">
        <v>199</v>
      </c>
      <c r="I1598">
        <v>8</v>
      </c>
      <c r="J1598">
        <v>1592</v>
      </c>
    </row>
    <row r="1599" spans="1:10" x14ac:dyDescent="0.35">
      <c r="A1599" s="3" t="s">
        <v>1644</v>
      </c>
      <c r="B1599" s="4">
        <v>43613</v>
      </c>
      <c r="C1599">
        <v>19</v>
      </c>
      <c r="D1599" t="s">
        <v>56</v>
      </c>
      <c r="E1599" t="s">
        <v>36</v>
      </c>
      <c r="F1599" t="s">
        <v>28</v>
      </c>
      <c r="G1599" t="s">
        <v>24</v>
      </c>
      <c r="H1599">
        <v>159</v>
      </c>
      <c r="I1599">
        <v>3</v>
      </c>
      <c r="J1599">
        <v>477</v>
      </c>
    </row>
    <row r="1600" spans="1:10" x14ac:dyDescent="0.35">
      <c r="A1600" s="3" t="s">
        <v>1645</v>
      </c>
      <c r="B1600" s="4">
        <v>43613</v>
      </c>
      <c r="C1600">
        <v>5</v>
      </c>
      <c r="D1600" t="s">
        <v>60</v>
      </c>
      <c r="E1600" t="s">
        <v>68</v>
      </c>
      <c r="F1600" t="s">
        <v>18</v>
      </c>
      <c r="G1600" t="s">
        <v>24</v>
      </c>
      <c r="H1600">
        <v>159</v>
      </c>
      <c r="I1600">
        <v>9</v>
      </c>
      <c r="J1600">
        <v>1431</v>
      </c>
    </row>
    <row r="1601" spans="1:10" x14ac:dyDescent="0.35">
      <c r="A1601" s="3" t="s">
        <v>1646</v>
      </c>
      <c r="B1601" s="4">
        <v>43613</v>
      </c>
      <c r="C1601">
        <v>9</v>
      </c>
      <c r="D1601" t="s">
        <v>21</v>
      </c>
      <c r="E1601" t="s">
        <v>46</v>
      </c>
      <c r="F1601" t="s">
        <v>23</v>
      </c>
      <c r="G1601" t="s">
        <v>14</v>
      </c>
      <c r="H1601">
        <v>199</v>
      </c>
      <c r="I1601">
        <v>1</v>
      </c>
      <c r="J1601">
        <v>199</v>
      </c>
    </row>
    <row r="1602" spans="1:10" x14ac:dyDescent="0.35">
      <c r="A1602" s="3" t="s">
        <v>1647</v>
      </c>
      <c r="B1602" s="4">
        <v>43614</v>
      </c>
      <c r="C1602">
        <v>17</v>
      </c>
      <c r="D1602" t="s">
        <v>35</v>
      </c>
      <c r="E1602" t="s">
        <v>27</v>
      </c>
      <c r="F1602" t="s">
        <v>28</v>
      </c>
      <c r="G1602" t="s">
        <v>41</v>
      </c>
      <c r="H1602">
        <v>399</v>
      </c>
      <c r="I1602">
        <v>2</v>
      </c>
      <c r="J1602">
        <v>798</v>
      </c>
    </row>
    <row r="1603" spans="1:10" x14ac:dyDescent="0.35">
      <c r="A1603" s="3" t="s">
        <v>1648</v>
      </c>
      <c r="B1603" s="4">
        <v>43614</v>
      </c>
      <c r="C1603">
        <v>4</v>
      </c>
      <c r="D1603" t="s">
        <v>51</v>
      </c>
      <c r="E1603" t="s">
        <v>68</v>
      </c>
      <c r="F1603" t="s">
        <v>18</v>
      </c>
      <c r="G1603" t="s">
        <v>14</v>
      </c>
      <c r="H1603">
        <v>199</v>
      </c>
      <c r="I1603">
        <v>1</v>
      </c>
      <c r="J1603">
        <v>199</v>
      </c>
    </row>
    <row r="1604" spans="1:10" x14ac:dyDescent="0.35">
      <c r="A1604" s="3" t="s">
        <v>1649</v>
      </c>
      <c r="B1604" s="4">
        <v>43614</v>
      </c>
      <c r="C1604">
        <v>18</v>
      </c>
      <c r="D1604" t="s">
        <v>26</v>
      </c>
      <c r="E1604" t="s">
        <v>27</v>
      </c>
      <c r="F1604" t="s">
        <v>28</v>
      </c>
      <c r="G1604" t="s">
        <v>14</v>
      </c>
      <c r="H1604">
        <v>199</v>
      </c>
      <c r="I1604">
        <v>8</v>
      </c>
      <c r="J1604">
        <v>1592</v>
      </c>
    </row>
    <row r="1605" spans="1:10" x14ac:dyDescent="0.35">
      <c r="A1605" s="3" t="s">
        <v>1650</v>
      </c>
      <c r="B1605" s="4">
        <v>43614</v>
      </c>
      <c r="C1605">
        <v>13</v>
      </c>
      <c r="D1605" t="s">
        <v>33</v>
      </c>
      <c r="E1605" t="s">
        <v>63</v>
      </c>
      <c r="F1605" t="s">
        <v>13</v>
      </c>
      <c r="G1605" t="s">
        <v>14</v>
      </c>
      <c r="H1605">
        <v>199</v>
      </c>
      <c r="I1605">
        <v>7</v>
      </c>
      <c r="J1605">
        <v>1393</v>
      </c>
    </row>
    <row r="1606" spans="1:10" x14ac:dyDescent="0.35">
      <c r="A1606" s="3" t="s">
        <v>1651</v>
      </c>
      <c r="B1606" s="4">
        <v>43614</v>
      </c>
      <c r="C1606">
        <v>6</v>
      </c>
      <c r="D1606" t="s">
        <v>48</v>
      </c>
      <c r="E1606" t="s">
        <v>46</v>
      </c>
      <c r="F1606" t="s">
        <v>23</v>
      </c>
      <c r="G1606" t="s">
        <v>24</v>
      </c>
      <c r="H1606">
        <v>159</v>
      </c>
      <c r="I1606">
        <v>5</v>
      </c>
      <c r="J1606">
        <v>795</v>
      </c>
    </row>
    <row r="1607" spans="1:10" x14ac:dyDescent="0.35">
      <c r="A1607" s="3" t="s">
        <v>1652</v>
      </c>
      <c r="B1607" s="4">
        <v>43614</v>
      </c>
      <c r="C1607">
        <v>16</v>
      </c>
      <c r="D1607" t="s">
        <v>30</v>
      </c>
      <c r="E1607" t="s">
        <v>27</v>
      </c>
      <c r="F1607" t="s">
        <v>28</v>
      </c>
      <c r="G1607" t="s">
        <v>31</v>
      </c>
      <c r="H1607">
        <v>69</v>
      </c>
      <c r="I1607">
        <v>1</v>
      </c>
      <c r="J1607">
        <v>69</v>
      </c>
    </row>
    <row r="1608" spans="1:10" x14ac:dyDescent="0.35">
      <c r="A1608" s="3" t="s">
        <v>1653</v>
      </c>
      <c r="B1608" s="4">
        <v>43615</v>
      </c>
      <c r="C1608">
        <v>5</v>
      </c>
      <c r="D1608" t="s">
        <v>60</v>
      </c>
      <c r="E1608" t="s">
        <v>17</v>
      </c>
      <c r="F1608" t="s">
        <v>18</v>
      </c>
      <c r="G1608" t="s">
        <v>19</v>
      </c>
      <c r="H1608">
        <v>289</v>
      </c>
      <c r="I1608">
        <v>3</v>
      </c>
      <c r="J1608">
        <v>867</v>
      </c>
    </row>
    <row r="1609" spans="1:10" x14ac:dyDescent="0.35">
      <c r="A1609" s="3" t="s">
        <v>1654</v>
      </c>
      <c r="B1609" s="4">
        <v>43615</v>
      </c>
      <c r="C1609">
        <v>17</v>
      </c>
      <c r="D1609" t="s">
        <v>35</v>
      </c>
      <c r="E1609" t="s">
        <v>36</v>
      </c>
      <c r="F1609" t="s">
        <v>28</v>
      </c>
      <c r="G1609" t="s">
        <v>24</v>
      </c>
      <c r="H1609">
        <v>159</v>
      </c>
      <c r="I1609">
        <v>8</v>
      </c>
      <c r="J1609">
        <v>1272</v>
      </c>
    </row>
    <row r="1610" spans="1:10" x14ac:dyDescent="0.35">
      <c r="A1610" s="3" t="s">
        <v>1655</v>
      </c>
      <c r="B1610" s="4">
        <v>43615</v>
      </c>
      <c r="C1610">
        <v>3</v>
      </c>
      <c r="D1610" t="s">
        <v>43</v>
      </c>
      <c r="E1610" t="s">
        <v>17</v>
      </c>
      <c r="F1610" t="s">
        <v>18</v>
      </c>
      <c r="G1610" t="s">
        <v>24</v>
      </c>
      <c r="H1610">
        <v>159</v>
      </c>
      <c r="I1610">
        <v>8</v>
      </c>
      <c r="J1610">
        <v>1272</v>
      </c>
    </row>
    <row r="1611" spans="1:10" x14ac:dyDescent="0.35">
      <c r="A1611" s="3" t="s">
        <v>1656</v>
      </c>
      <c r="B1611" s="4">
        <v>43616</v>
      </c>
      <c r="C1611">
        <v>18</v>
      </c>
      <c r="D1611" t="s">
        <v>26</v>
      </c>
      <c r="E1611" t="s">
        <v>36</v>
      </c>
      <c r="F1611" t="s">
        <v>28</v>
      </c>
      <c r="G1611" t="s">
        <v>31</v>
      </c>
      <c r="H1611">
        <v>69</v>
      </c>
      <c r="I1611">
        <v>4</v>
      </c>
      <c r="J1611">
        <v>276</v>
      </c>
    </row>
    <row r="1612" spans="1:10" x14ac:dyDescent="0.35">
      <c r="A1612" s="3" t="s">
        <v>1657</v>
      </c>
      <c r="B1612" s="4">
        <v>43617</v>
      </c>
      <c r="C1612">
        <v>2</v>
      </c>
      <c r="D1612" t="s">
        <v>106</v>
      </c>
      <c r="E1612" t="s">
        <v>68</v>
      </c>
      <c r="F1612" t="s">
        <v>18</v>
      </c>
      <c r="G1612" t="s">
        <v>24</v>
      </c>
      <c r="H1612">
        <v>159</v>
      </c>
      <c r="I1612">
        <v>1</v>
      </c>
      <c r="J1612">
        <v>159</v>
      </c>
    </row>
    <row r="1613" spans="1:10" x14ac:dyDescent="0.35">
      <c r="A1613" s="3" t="s">
        <v>1658</v>
      </c>
      <c r="B1613" s="4">
        <v>43617</v>
      </c>
      <c r="C1613">
        <v>10</v>
      </c>
      <c r="D1613" t="s">
        <v>58</v>
      </c>
      <c r="E1613" t="s">
        <v>46</v>
      </c>
      <c r="F1613" t="s">
        <v>23</v>
      </c>
      <c r="G1613" t="s">
        <v>24</v>
      </c>
      <c r="H1613">
        <v>159</v>
      </c>
      <c r="I1613">
        <v>2</v>
      </c>
      <c r="J1613">
        <v>318</v>
      </c>
    </row>
    <row r="1614" spans="1:10" x14ac:dyDescent="0.35">
      <c r="A1614" s="3" t="s">
        <v>1659</v>
      </c>
      <c r="B1614" s="4">
        <v>43617</v>
      </c>
      <c r="C1614">
        <v>17</v>
      </c>
      <c r="D1614" t="s">
        <v>35</v>
      </c>
      <c r="E1614" t="s">
        <v>36</v>
      </c>
      <c r="F1614" t="s">
        <v>28</v>
      </c>
      <c r="G1614" t="s">
        <v>19</v>
      </c>
      <c r="H1614">
        <v>289</v>
      </c>
      <c r="I1614">
        <v>0</v>
      </c>
      <c r="J1614">
        <v>0</v>
      </c>
    </row>
    <row r="1615" spans="1:10" x14ac:dyDescent="0.35">
      <c r="A1615" s="3" t="s">
        <v>1660</v>
      </c>
      <c r="B1615" s="4">
        <v>43618</v>
      </c>
      <c r="C1615">
        <v>8</v>
      </c>
      <c r="D1615" t="s">
        <v>45</v>
      </c>
      <c r="E1615" t="s">
        <v>46</v>
      </c>
      <c r="F1615" t="s">
        <v>23</v>
      </c>
      <c r="G1615" t="s">
        <v>19</v>
      </c>
      <c r="H1615">
        <v>289</v>
      </c>
      <c r="I1615">
        <v>4</v>
      </c>
      <c r="J1615">
        <v>1156</v>
      </c>
    </row>
    <row r="1616" spans="1:10" x14ac:dyDescent="0.35">
      <c r="A1616" s="3" t="s">
        <v>1661</v>
      </c>
      <c r="B1616" s="4">
        <v>43618</v>
      </c>
      <c r="C1616">
        <v>3</v>
      </c>
      <c r="D1616" t="s">
        <v>43</v>
      </c>
      <c r="E1616" t="s">
        <v>68</v>
      </c>
      <c r="F1616" t="s">
        <v>18</v>
      </c>
      <c r="G1616" t="s">
        <v>31</v>
      </c>
      <c r="H1616">
        <v>69</v>
      </c>
      <c r="I1616">
        <v>6</v>
      </c>
      <c r="J1616">
        <v>414</v>
      </c>
    </row>
    <row r="1617" spans="1:10" x14ac:dyDescent="0.35">
      <c r="A1617" s="3" t="s">
        <v>1662</v>
      </c>
      <c r="B1617" s="4">
        <v>43618</v>
      </c>
      <c r="C1617">
        <v>10</v>
      </c>
      <c r="D1617" t="s">
        <v>58</v>
      </c>
      <c r="E1617" t="s">
        <v>46</v>
      </c>
      <c r="F1617" t="s">
        <v>23</v>
      </c>
      <c r="G1617" t="s">
        <v>31</v>
      </c>
      <c r="H1617">
        <v>69</v>
      </c>
      <c r="I1617">
        <v>4</v>
      </c>
      <c r="J1617">
        <v>276</v>
      </c>
    </row>
    <row r="1618" spans="1:10" x14ac:dyDescent="0.35">
      <c r="A1618" s="3" t="s">
        <v>1663</v>
      </c>
      <c r="B1618" s="4">
        <v>43618</v>
      </c>
      <c r="C1618">
        <v>15</v>
      </c>
      <c r="D1618" t="s">
        <v>118</v>
      </c>
      <c r="E1618" t="s">
        <v>12</v>
      </c>
      <c r="F1618" t="s">
        <v>13</v>
      </c>
      <c r="G1618" t="s">
        <v>24</v>
      </c>
      <c r="H1618">
        <v>159</v>
      </c>
      <c r="I1618">
        <v>1</v>
      </c>
      <c r="J1618">
        <v>159</v>
      </c>
    </row>
    <row r="1619" spans="1:10" x14ac:dyDescent="0.35">
      <c r="A1619" s="3" t="s">
        <v>1664</v>
      </c>
      <c r="B1619" s="4">
        <v>43619</v>
      </c>
      <c r="C1619">
        <v>19</v>
      </c>
      <c r="D1619" t="s">
        <v>56</v>
      </c>
      <c r="E1619" t="s">
        <v>36</v>
      </c>
      <c r="F1619" t="s">
        <v>28</v>
      </c>
      <c r="G1619" t="s">
        <v>31</v>
      </c>
      <c r="H1619">
        <v>69</v>
      </c>
      <c r="I1619">
        <v>1</v>
      </c>
      <c r="J1619">
        <v>69</v>
      </c>
    </row>
    <row r="1620" spans="1:10" x14ac:dyDescent="0.35">
      <c r="A1620" s="3" t="s">
        <v>1665</v>
      </c>
      <c r="B1620" s="4">
        <v>43620</v>
      </c>
      <c r="C1620">
        <v>20</v>
      </c>
      <c r="D1620" t="s">
        <v>40</v>
      </c>
      <c r="E1620" t="s">
        <v>36</v>
      </c>
      <c r="F1620" t="s">
        <v>28</v>
      </c>
      <c r="G1620" t="s">
        <v>24</v>
      </c>
      <c r="H1620">
        <v>159</v>
      </c>
      <c r="I1620">
        <v>4</v>
      </c>
      <c r="J1620">
        <v>636</v>
      </c>
    </row>
    <row r="1621" spans="1:10" x14ac:dyDescent="0.35">
      <c r="A1621" s="3" t="s">
        <v>1666</v>
      </c>
      <c r="B1621" s="4">
        <v>43621</v>
      </c>
      <c r="C1621">
        <v>9</v>
      </c>
      <c r="D1621" t="s">
        <v>21</v>
      </c>
      <c r="E1621" t="s">
        <v>46</v>
      </c>
      <c r="F1621" t="s">
        <v>23</v>
      </c>
      <c r="G1621" t="s">
        <v>41</v>
      </c>
      <c r="H1621">
        <v>399</v>
      </c>
      <c r="I1621">
        <v>0</v>
      </c>
      <c r="J1621">
        <v>0</v>
      </c>
    </row>
    <row r="1622" spans="1:10" x14ac:dyDescent="0.35">
      <c r="A1622" s="3" t="s">
        <v>1667</v>
      </c>
      <c r="B1622" s="4">
        <v>43621</v>
      </c>
      <c r="C1622">
        <v>4</v>
      </c>
      <c r="D1622" t="s">
        <v>51</v>
      </c>
      <c r="E1622" t="s">
        <v>68</v>
      </c>
      <c r="F1622" t="s">
        <v>18</v>
      </c>
      <c r="G1622" t="s">
        <v>24</v>
      </c>
      <c r="H1622">
        <v>159</v>
      </c>
      <c r="I1622">
        <v>2</v>
      </c>
      <c r="J1622">
        <v>318</v>
      </c>
    </row>
    <row r="1623" spans="1:10" x14ac:dyDescent="0.35">
      <c r="A1623" s="3" t="s">
        <v>1668</v>
      </c>
      <c r="B1623" s="4">
        <v>43621</v>
      </c>
      <c r="C1623">
        <v>11</v>
      </c>
      <c r="D1623" t="s">
        <v>11</v>
      </c>
      <c r="E1623" t="s">
        <v>12</v>
      </c>
      <c r="F1623" t="s">
        <v>13</v>
      </c>
      <c r="G1623" t="s">
        <v>19</v>
      </c>
      <c r="H1623">
        <v>289</v>
      </c>
      <c r="I1623">
        <v>2</v>
      </c>
      <c r="J1623">
        <v>578</v>
      </c>
    </row>
    <row r="1624" spans="1:10" x14ac:dyDescent="0.35">
      <c r="A1624" s="3" t="s">
        <v>1669</v>
      </c>
      <c r="B1624" s="4">
        <v>43621</v>
      </c>
      <c r="C1624">
        <v>2</v>
      </c>
      <c r="D1624" t="s">
        <v>106</v>
      </c>
      <c r="E1624" t="s">
        <v>17</v>
      </c>
      <c r="F1624" t="s">
        <v>18</v>
      </c>
      <c r="G1624" t="s">
        <v>24</v>
      </c>
      <c r="H1624">
        <v>159</v>
      </c>
      <c r="I1624">
        <v>1</v>
      </c>
      <c r="J1624">
        <v>159</v>
      </c>
    </row>
    <row r="1625" spans="1:10" x14ac:dyDescent="0.35">
      <c r="A1625" s="3" t="s">
        <v>1670</v>
      </c>
      <c r="B1625" s="4">
        <v>43622</v>
      </c>
      <c r="C1625">
        <v>6</v>
      </c>
      <c r="D1625" t="s">
        <v>48</v>
      </c>
      <c r="E1625" t="s">
        <v>46</v>
      </c>
      <c r="F1625" t="s">
        <v>23</v>
      </c>
      <c r="G1625" t="s">
        <v>19</v>
      </c>
      <c r="H1625">
        <v>289</v>
      </c>
      <c r="I1625">
        <v>1</v>
      </c>
      <c r="J1625">
        <v>289</v>
      </c>
    </row>
    <row r="1626" spans="1:10" x14ac:dyDescent="0.35">
      <c r="A1626" s="3" t="s">
        <v>1671</v>
      </c>
      <c r="B1626" s="4">
        <v>43622</v>
      </c>
      <c r="C1626">
        <v>14</v>
      </c>
      <c r="D1626" t="s">
        <v>38</v>
      </c>
      <c r="E1626" t="s">
        <v>63</v>
      </c>
      <c r="F1626" t="s">
        <v>13</v>
      </c>
      <c r="G1626" t="s">
        <v>14</v>
      </c>
      <c r="H1626">
        <v>199</v>
      </c>
      <c r="I1626">
        <v>7</v>
      </c>
      <c r="J1626">
        <v>1393</v>
      </c>
    </row>
    <row r="1627" spans="1:10" x14ac:dyDescent="0.35">
      <c r="A1627" s="3" t="s">
        <v>1672</v>
      </c>
      <c r="B1627" s="4">
        <v>43622</v>
      </c>
      <c r="C1627">
        <v>15</v>
      </c>
      <c r="D1627" t="s">
        <v>118</v>
      </c>
      <c r="E1627" t="s">
        <v>12</v>
      </c>
      <c r="F1627" t="s">
        <v>13</v>
      </c>
      <c r="G1627" t="s">
        <v>14</v>
      </c>
      <c r="H1627">
        <v>199</v>
      </c>
      <c r="I1627">
        <v>6</v>
      </c>
      <c r="J1627">
        <v>1194</v>
      </c>
    </row>
    <row r="1628" spans="1:10" x14ac:dyDescent="0.35">
      <c r="A1628" s="3" t="s">
        <v>1673</v>
      </c>
      <c r="B1628" s="4">
        <v>43622</v>
      </c>
      <c r="C1628">
        <v>5</v>
      </c>
      <c r="D1628" t="s">
        <v>60</v>
      </c>
      <c r="E1628" t="s">
        <v>68</v>
      </c>
      <c r="F1628" t="s">
        <v>18</v>
      </c>
      <c r="G1628" t="s">
        <v>41</v>
      </c>
      <c r="H1628">
        <v>399</v>
      </c>
      <c r="I1628">
        <v>6</v>
      </c>
      <c r="J1628">
        <v>2394</v>
      </c>
    </row>
    <row r="1629" spans="1:10" x14ac:dyDescent="0.35">
      <c r="A1629" s="3" t="s">
        <v>1674</v>
      </c>
      <c r="B1629" s="4">
        <v>43622</v>
      </c>
      <c r="C1629">
        <v>17</v>
      </c>
      <c r="D1629" t="s">
        <v>35</v>
      </c>
      <c r="E1629" t="s">
        <v>36</v>
      </c>
      <c r="F1629" t="s">
        <v>28</v>
      </c>
      <c r="G1629" t="s">
        <v>24</v>
      </c>
      <c r="H1629">
        <v>159</v>
      </c>
      <c r="I1629">
        <v>7</v>
      </c>
      <c r="J1629">
        <v>1113</v>
      </c>
    </row>
    <row r="1630" spans="1:10" x14ac:dyDescent="0.35">
      <c r="A1630" s="3" t="s">
        <v>1675</v>
      </c>
      <c r="B1630" s="4">
        <v>43622</v>
      </c>
      <c r="C1630">
        <v>9</v>
      </c>
      <c r="D1630" t="s">
        <v>21</v>
      </c>
      <c r="E1630" t="s">
        <v>46</v>
      </c>
      <c r="F1630" t="s">
        <v>23</v>
      </c>
      <c r="G1630" t="s">
        <v>41</v>
      </c>
      <c r="H1630">
        <v>399</v>
      </c>
      <c r="I1630">
        <v>0</v>
      </c>
      <c r="J1630">
        <v>0</v>
      </c>
    </row>
    <row r="1631" spans="1:10" x14ac:dyDescent="0.35">
      <c r="A1631" s="3" t="s">
        <v>1676</v>
      </c>
      <c r="B1631" s="4">
        <v>43622</v>
      </c>
      <c r="C1631">
        <v>4</v>
      </c>
      <c r="D1631" t="s">
        <v>51</v>
      </c>
      <c r="E1631" t="s">
        <v>17</v>
      </c>
      <c r="F1631" t="s">
        <v>18</v>
      </c>
      <c r="G1631" t="s">
        <v>24</v>
      </c>
      <c r="H1631">
        <v>159</v>
      </c>
      <c r="I1631">
        <v>4</v>
      </c>
      <c r="J1631">
        <v>636</v>
      </c>
    </row>
    <row r="1632" spans="1:10" x14ac:dyDescent="0.35">
      <c r="A1632" s="3" t="s">
        <v>1677</v>
      </c>
      <c r="B1632" s="4">
        <v>43622</v>
      </c>
      <c r="C1632">
        <v>17</v>
      </c>
      <c r="D1632" t="s">
        <v>35</v>
      </c>
      <c r="E1632" t="s">
        <v>36</v>
      </c>
      <c r="F1632" t="s">
        <v>28</v>
      </c>
      <c r="G1632" t="s">
        <v>31</v>
      </c>
      <c r="H1632">
        <v>69</v>
      </c>
      <c r="I1632">
        <v>7</v>
      </c>
      <c r="J1632">
        <v>483</v>
      </c>
    </row>
    <row r="1633" spans="1:10" x14ac:dyDescent="0.35">
      <c r="A1633" s="3" t="s">
        <v>1678</v>
      </c>
      <c r="B1633" s="4">
        <v>43622</v>
      </c>
      <c r="C1633">
        <v>1</v>
      </c>
      <c r="D1633" t="s">
        <v>16</v>
      </c>
      <c r="E1633" t="s">
        <v>68</v>
      </c>
      <c r="F1633" t="s">
        <v>18</v>
      </c>
      <c r="G1633" t="s">
        <v>41</v>
      </c>
      <c r="H1633">
        <v>399</v>
      </c>
      <c r="I1633">
        <v>0</v>
      </c>
      <c r="J1633">
        <v>0</v>
      </c>
    </row>
    <row r="1634" spans="1:10" x14ac:dyDescent="0.35">
      <c r="A1634" s="3" t="s">
        <v>1679</v>
      </c>
      <c r="B1634" s="4">
        <v>43622</v>
      </c>
      <c r="C1634">
        <v>15</v>
      </c>
      <c r="D1634" t="s">
        <v>118</v>
      </c>
      <c r="E1634" t="s">
        <v>63</v>
      </c>
      <c r="F1634" t="s">
        <v>13</v>
      </c>
      <c r="G1634" t="s">
        <v>24</v>
      </c>
      <c r="H1634">
        <v>159</v>
      </c>
      <c r="I1634">
        <v>5</v>
      </c>
      <c r="J1634">
        <v>795</v>
      </c>
    </row>
    <row r="1635" spans="1:10" x14ac:dyDescent="0.35">
      <c r="A1635" s="3" t="s">
        <v>1680</v>
      </c>
      <c r="B1635" s="4">
        <v>43622</v>
      </c>
      <c r="C1635">
        <v>2</v>
      </c>
      <c r="D1635" t="s">
        <v>106</v>
      </c>
      <c r="E1635" t="s">
        <v>17</v>
      </c>
      <c r="F1635" t="s">
        <v>18</v>
      </c>
      <c r="G1635" t="s">
        <v>24</v>
      </c>
      <c r="H1635">
        <v>159</v>
      </c>
      <c r="I1635">
        <v>8</v>
      </c>
      <c r="J1635">
        <v>1272</v>
      </c>
    </row>
    <row r="1636" spans="1:10" x14ac:dyDescent="0.35">
      <c r="A1636" s="3" t="s">
        <v>1681</v>
      </c>
      <c r="B1636" s="4">
        <v>43622</v>
      </c>
      <c r="C1636">
        <v>3</v>
      </c>
      <c r="D1636" t="s">
        <v>43</v>
      </c>
      <c r="E1636" t="s">
        <v>17</v>
      </c>
      <c r="F1636" t="s">
        <v>18</v>
      </c>
      <c r="G1636" t="s">
        <v>19</v>
      </c>
      <c r="H1636">
        <v>289</v>
      </c>
      <c r="I1636">
        <v>9</v>
      </c>
      <c r="J1636">
        <v>2601</v>
      </c>
    </row>
    <row r="1637" spans="1:10" x14ac:dyDescent="0.35">
      <c r="A1637" s="3" t="s">
        <v>1682</v>
      </c>
      <c r="B1637" s="4">
        <v>43623</v>
      </c>
      <c r="C1637">
        <v>2</v>
      </c>
      <c r="D1637" t="s">
        <v>106</v>
      </c>
      <c r="E1637" t="s">
        <v>68</v>
      </c>
      <c r="F1637" t="s">
        <v>18</v>
      </c>
      <c r="G1637" t="s">
        <v>31</v>
      </c>
      <c r="H1637">
        <v>69</v>
      </c>
      <c r="I1637">
        <v>3</v>
      </c>
      <c r="J1637">
        <v>207</v>
      </c>
    </row>
    <row r="1638" spans="1:10" x14ac:dyDescent="0.35">
      <c r="A1638" s="3" t="s">
        <v>1683</v>
      </c>
      <c r="B1638" s="4">
        <v>43624</v>
      </c>
      <c r="C1638">
        <v>10</v>
      </c>
      <c r="D1638" t="s">
        <v>58</v>
      </c>
      <c r="E1638" t="s">
        <v>46</v>
      </c>
      <c r="F1638" t="s">
        <v>23</v>
      </c>
      <c r="G1638" t="s">
        <v>41</v>
      </c>
      <c r="H1638">
        <v>399</v>
      </c>
      <c r="I1638">
        <v>5</v>
      </c>
      <c r="J1638">
        <v>1995</v>
      </c>
    </row>
    <row r="1639" spans="1:10" x14ac:dyDescent="0.35">
      <c r="A1639" s="3" t="s">
        <v>1684</v>
      </c>
      <c r="B1639" s="4">
        <v>43624</v>
      </c>
      <c r="C1639">
        <v>4</v>
      </c>
      <c r="D1639" t="s">
        <v>51</v>
      </c>
      <c r="E1639" t="s">
        <v>68</v>
      </c>
      <c r="F1639" t="s">
        <v>18</v>
      </c>
      <c r="G1639" t="s">
        <v>14</v>
      </c>
      <c r="H1639">
        <v>199</v>
      </c>
      <c r="I1639">
        <v>1</v>
      </c>
      <c r="J1639">
        <v>199</v>
      </c>
    </row>
    <row r="1640" spans="1:10" x14ac:dyDescent="0.35">
      <c r="A1640" s="3" t="s">
        <v>1685</v>
      </c>
      <c r="B1640" s="4">
        <v>43624</v>
      </c>
      <c r="C1640">
        <v>20</v>
      </c>
      <c r="D1640" t="s">
        <v>40</v>
      </c>
      <c r="E1640" t="s">
        <v>27</v>
      </c>
      <c r="F1640" t="s">
        <v>28</v>
      </c>
      <c r="G1640" t="s">
        <v>41</v>
      </c>
      <c r="H1640">
        <v>399</v>
      </c>
      <c r="I1640">
        <v>6</v>
      </c>
      <c r="J1640">
        <v>2394</v>
      </c>
    </row>
    <row r="1641" spans="1:10" x14ac:dyDescent="0.35">
      <c r="A1641" s="3" t="s">
        <v>1686</v>
      </c>
      <c r="B1641" s="4">
        <v>43624</v>
      </c>
      <c r="C1641">
        <v>19</v>
      </c>
      <c r="D1641" t="s">
        <v>56</v>
      </c>
      <c r="E1641" t="s">
        <v>27</v>
      </c>
      <c r="F1641" t="s">
        <v>28</v>
      </c>
      <c r="G1641" t="s">
        <v>31</v>
      </c>
      <c r="H1641">
        <v>69</v>
      </c>
      <c r="I1641">
        <v>5</v>
      </c>
      <c r="J1641">
        <v>345</v>
      </c>
    </row>
    <row r="1642" spans="1:10" x14ac:dyDescent="0.35">
      <c r="A1642" s="3" t="s">
        <v>1687</v>
      </c>
      <c r="B1642" s="4">
        <v>43624</v>
      </c>
      <c r="C1642">
        <v>13</v>
      </c>
      <c r="D1642" t="s">
        <v>33</v>
      </c>
      <c r="E1642" t="s">
        <v>12</v>
      </c>
      <c r="F1642" t="s">
        <v>13</v>
      </c>
      <c r="G1642" t="s">
        <v>24</v>
      </c>
      <c r="H1642">
        <v>159</v>
      </c>
      <c r="I1642">
        <v>2</v>
      </c>
      <c r="J1642">
        <v>318</v>
      </c>
    </row>
    <row r="1643" spans="1:10" x14ac:dyDescent="0.35">
      <c r="A1643" s="3" t="s">
        <v>1688</v>
      </c>
      <c r="B1643" s="4">
        <v>43624</v>
      </c>
      <c r="C1643">
        <v>17</v>
      </c>
      <c r="D1643" t="s">
        <v>35</v>
      </c>
      <c r="E1643" t="s">
        <v>27</v>
      </c>
      <c r="F1643" t="s">
        <v>28</v>
      </c>
      <c r="G1643" t="s">
        <v>41</v>
      </c>
      <c r="H1643">
        <v>399</v>
      </c>
      <c r="I1643">
        <v>9</v>
      </c>
      <c r="J1643">
        <v>3591</v>
      </c>
    </row>
    <row r="1644" spans="1:10" x14ac:dyDescent="0.35">
      <c r="A1644" s="3" t="s">
        <v>1689</v>
      </c>
      <c r="B1644" s="4">
        <v>43624</v>
      </c>
      <c r="C1644">
        <v>7</v>
      </c>
      <c r="D1644" t="s">
        <v>88</v>
      </c>
      <c r="E1644" t="s">
        <v>46</v>
      </c>
      <c r="F1644" t="s">
        <v>23</v>
      </c>
      <c r="G1644" t="s">
        <v>14</v>
      </c>
      <c r="H1644">
        <v>199</v>
      </c>
      <c r="I1644">
        <v>9</v>
      </c>
      <c r="J1644">
        <v>1791</v>
      </c>
    </row>
    <row r="1645" spans="1:10" x14ac:dyDescent="0.35">
      <c r="A1645" s="3" t="s">
        <v>1690</v>
      </c>
      <c r="B1645" s="4">
        <v>43625</v>
      </c>
      <c r="C1645">
        <v>4</v>
      </c>
      <c r="D1645" t="s">
        <v>51</v>
      </c>
      <c r="E1645" t="s">
        <v>17</v>
      </c>
      <c r="F1645" t="s">
        <v>18</v>
      </c>
      <c r="G1645" t="s">
        <v>41</v>
      </c>
      <c r="H1645">
        <v>399</v>
      </c>
      <c r="I1645">
        <v>6</v>
      </c>
      <c r="J1645">
        <v>2394</v>
      </c>
    </row>
    <row r="1646" spans="1:10" x14ac:dyDescent="0.35">
      <c r="A1646" s="3" t="s">
        <v>1691</v>
      </c>
      <c r="B1646" s="4">
        <v>43625</v>
      </c>
      <c r="C1646">
        <v>11</v>
      </c>
      <c r="D1646" t="s">
        <v>11</v>
      </c>
      <c r="E1646" t="s">
        <v>12</v>
      </c>
      <c r="F1646" t="s">
        <v>13</v>
      </c>
      <c r="G1646" t="s">
        <v>41</v>
      </c>
      <c r="H1646">
        <v>399</v>
      </c>
      <c r="I1646">
        <v>3</v>
      </c>
      <c r="J1646">
        <v>1197</v>
      </c>
    </row>
    <row r="1647" spans="1:10" x14ac:dyDescent="0.35">
      <c r="A1647" s="3" t="s">
        <v>1692</v>
      </c>
      <c r="B1647" s="4">
        <v>43626</v>
      </c>
      <c r="C1647">
        <v>11</v>
      </c>
      <c r="D1647" t="s">
        <v>11</v>
      </c>
      <c r="E1647" t="s">
        <v>12</v>
      </c>
      <c r="F1647" t="s">
        <v>13</v>
      </c>
      <c r="G1647" t="s">
        <v>14</v>
      </c>
      <c r="H1647">
        <v>199</v>
      </c>
      <c r="I1647">
        <v>4</v>
      </c>
      <c r="J1647">
        <v>796</v>
      </c>
    </row>
    <row r="1648" spans="1:10" x14ac:dyDescent="0.35">
      <c r="A1648" s="3" t="s">
        <v>1693</v>
      </c>
      <c r="B1648" s="4">
        <v>43626</v>
      </c>
      <c r="C1648">
        <v>13</v>
      </c>
      <c r="D1648" t="s">
        <v>33</v>
      </c>
      <c r="E1648" t="s">
        <v>63</v>
      </c>
      <c r="F1648" t="s">
        <v>13</v>
      </c>
      <c r="G1648" t="s">
        <v>24</v>
      </c>
      <c r="H1648">
        <v>159</v>
      </c>
      <c r="I1648">
        <v>9</v>
      </c>
      <c r="J1648">
        <v>1431</v>
      </c>
    </row>
    <row r="1649" spans="1:10" x14ac:dyDescent="0.35">
      <c r="A1649" s="3" t="s">
        <v>1694</v>
      </c>
      <c r="B1649" s="4">
        <v>43626</v>
      </c>
      <c r="C1649">
        <v>1</v>
      </c>
      <c r="D1649" t="s">
        <v>16</v>
      </c>
      <c r="E1649" t="s">
        <v>68</v>
      </c>
      <c r="F1649" t="s">
        <v>18</v>
      </c>
      <c r="G1649" t="s">
        <v>41</v>
      </c>
      <c r="H1649">
        <v>399</v>
      </c>
      <c r="I1649">
        <v>2</v>
      </c>
      <c r="J1649">
        <v>798</v>
      </c>
    </row>
    <row r="1650" spans="1:10" x14ac:dyDescent="0.35">
      <c r="A1650" s="3" t="s">
        <v>1695</v>
      </c>
      <c r="B1650" s="4">
        <v>43627</v>
      </c>
      <c r="C1650">
        <v>15</v>
      </c>
      <c r="D1650" t="s">
        <v>118</v>
      </c>
      <c r="E1650" t="s">
        <v>12</v>
      </c>
      <c r="F1650" t="s">
        <v>13</v>
      </c>
      <c r="G1650" t="s">
        <v>24</v>
      </c>
      <c r="H1650">
        <v>159</v>
      </c>
      <c r="I1650">
        <v>0</v>
      </c>
      <c r="J1650">
        <v>0</v>
      </c>
    </row>
    <row r="1651" spans="1:10" x14ac:dyDescent="0.35">
      <c r="A1651" s="3" t="s">
        <v>1696</v>
      </c>
      <c r="B1651" s="4">
        <v>43627</v>
      </c>
      <c r="C1651">
        <v>9</v>
      </c>
      <c r="D1651" t="s">
        <v>21</v>
      </c>
      <c r="E1651" t="s">
        <v>22</v>
      </c>
      <c r="F1651" t="s">
        <v>23</v>
      </c>
      <c r="G1651" t="s">
        <v>41</v>
      </c>
      <c r="H1651">
        <v>399</v>
      </c>
      <c r="I1651">
        <v>3</v>
      </c>
      <c r="J1651">
        <v>1197</v>
      </c>
    </row>
    <row r="1652" spans="1:10" x14ac:dyDescent="0.35">
      <c r="A1652" s="3" t="s">
        <v>1697</v>
      </c>
      <c r="B1652" s="4">
        <v>43627</v>
      </c>
      <c r="C1652">
        <v>20</v>
      </c>
      <c r="D1652" t="s">
        <v>40</v>
      </c>
      <c r="E1652" t="s">
        <v>36</v>
      </c>
      <c r="F1652" t="s">
        <v>28</v>
      </c>
      <c r="G1652" t="s">
        <v>31</v>
      </c>
      <c r="H1652">
        <v>69</v>
      </c>
      <c r="I1652">
        <v>0</v>
      </c>
      <c r="J1652">
        <v>0</v>
      </c>
    </row>
    <row r="1653" spans="1:10" x14ac:dyDescent="0.35">
      <c r="A1653" s="3" t="s">
        <v>1698</v>
      </c>
      <c r="B1653" s="4">
        <v>43627</v>
      </c>
      <c r="C1653">
        <v>9</v>
      </c>
      <c r="D1653" t="s">
        <v>21</v>
      </c>
      <c r="E1653" t="s">
        <v>46</v>
      </c>
      <c r="F1653" t="s">
        <v>23</v>
      </c>
      <c r="G1653" t="s">
        <v>14</v>
      </c>
      <c r="H1653">
        <v>199</v>
      </c>
      <c r="I1653">
        <v>5</v>
      </c>
      <c r="J1653">
        <v>995</v>
      </c>
    </row>
    <row r="1654" spans="1:10" x14ac:dyDescent="0.35">
      <c r="A1654" s="3" t="s">
        <v>1699</v>
      </c>
      <c r="B1654" s="4">
        <v>43628</v>
      </c>
      <c r="C1654">
        <v>15</v>
      </c>
      <c r="D1654" t="s">
        <v>118</v>
      </c>
      <c r="E1654" t="s">
        <v>12</v>
      </c>
      <c r="F1654" t="s">
        <v>13</v>
      </c>
      <c r="G1654" t="s">
        <v>24</v>
      </c>
      <c r="H1654">
        <v>159</v>
      </c>
      <c r="I1654">
        <v>1</v>
      </c>
      <c r="J1654">
        <v>159</v>
      </c>
    </row>
    <row r="1655" spans="1:10" x14ac:dyDescent="0.35">
      <c r="A1655" s="3" t="s">
        <v>1700</v>
      </c>
      <c r="B1655" s="4">
        <v>43629</v>
      </c>
      <c r="C1655">
        <v>3</v>
      </c>
      <c r="D1655" t="s">
        <v>43</v>
      </c>
      <c r="E1655" t="s">
        <v>17</v>
      </c>
      <c r="F1655" t="s">
        <v>18</v>
      </c>
      <c r="G1655" t="s">
        <v>41</v>
      </c>
      <c r="H1655">
        <v>399</v>
      </c>
      <c r="I1655">
        <v>5</v>
      </c>
      <c r="J1655">
        <v>1995</v>
      </c>
    </row>
    <row r="1656" spans="1:10" x14ac:dyDescent="0.35">
      <c r="A1656" s="3" t="s">
        <v>1701</v>
      </c>
      <c r="B1656" s="4">
        <v>43630</v>
      </c>
      <c r="C1656">
        <v>17</v>
      </c>
      <c r="D1656" t="s">
        <v>35</v>
      </c>
      <c r="E1656" t="s">
        <v>36</v>
      </c>
      <c r="F1656" t="s">
        <v>28</v>
      </c>
      <c r="G1656" t="s">
        <v>14</v>
      </c>
      <c r="H1656">
        <v>199</v>
      </c>
      <c r="I1656">
        <v>8</v>
      </c>
      <c r="J1656">
        <v>1592</v>
      </c>
    </row>
    <row r="1657" spans="1:10" x14ac:dyDescent="0.35">
      <c r="A1657" s="3" t="s">
        <v>1702</v>
      </c>
      <c r="B1657" s="4">
        <v>43630</v>
      </c>
      <c r="C1657">
        <v>16</v>
      </c>
      <c r="D1657" t="s">
        <v>30</v>
      </c>
      <c r="E1657" t="s">
        <v>36</v>
      </c>
      <c r="F1657" t="s">
        <v>28</v>
      </c>
      <c r="G1657" t="s">
        <v>19</v>
      </c>
      <c r="H1657">
        <v>289</v>
      </c>
      <c r="I1657">
        <v>9</v>
      </c>
      <c r="J1657">
        <v>2601</v>
      </c>
    </row>
    <row r="1658" spans="1:10" x14ac:dyDescent="0.35">
      <c r="A1658" s="3" t="s">
        <v>1703</v>
      </c>
      <c r="B1658" s="4">
        <v>43630</v>
      </c>
      <c r="C1658">
        <v>10</v>
      </c>
      <c r="D1658" t="s">
        <v>58</v>
      </c>
      <c r="E1658" t="s">
        <v>46</v>
      </c>
      <c r="F1658" t="s">
        <v>23</v>
      </c>
      <c r="G1658" t="s">
        <v>41</v>
      </c>
      <c r="H1658">
        <v>399</v>
      </c>
      <c r="I1658">
        <v>8</v>
      </c>
      <c r="J1658">
        <v>3192</v>
      </c>
    </row>
    <row r="1659" spans="1:10" x14ac:dyDescent="0.35">
      <c r="A1659" s="3" t="s">
        <v>1704</v>
      </c>
      <c r="B1659" s="4">
        <v>43630</v>
      </c>
      <c r="C1659">
        <v>3</v>
      </c>
      <c r="D1659" t="s">
        <v>43</v>
      </c>
      <c r="E1659" t="s">
        <v>17</v>
      </c>
      <c r="F1659" t="s">
        <v>18</v>
      </c>
      <c r="G1659" t="s">
        <v>41</v>
      </c>
      <c r="H1659">
        <v>399</v>
      </c>
      <c r="I1659">
        <v>8</v>
      </c>
      <c r="J1659">
        <v>3192</v>
      </c>
    </row>
    <row r="1660" spans="1:10" x14ac:dyDescent="0.35">
      <c r="A1660" s="3" t="s">
        <v>1705</v>
      </c>
      <c r="B1660" s="4">
        <v>43630</v>
      </c>
      <c r="C1660">
        <v>13</v>
      </c>
      <c r="D1660" t="s">
        <v>33</v>
      </c>
      <c r="E1660" t="s">
        <v>63</v>
      </c>
      <c r="F1660" t="s">
        <v>13</v>
      </c>
      <c r="G1660" t="s">
        <v>31</v>
      </c>
      <c r="H1660">
        <v>69</v>
      </c>
      <c r="I1660">
        <v>4</v>
      </c>
      <c r="J1660">
        <v>276</v>
      </c>
    </row>
    <row r="1661" spans="1:10" x14ac:dyDescent="0.35">
      <c r="A1661" s="3" t="s">
        <v>1706</v>
      </c>
      <c r="B1661" s="4">
        <v>43631</v>
      </c>
      <c r="C1661">
        <v>13</v>
      </c>
      <c r="D1661" t="s">
        <v>33</v>
      </c>
      <c r="E1661" t="s">
        <v>12</v>
      </c>
      <c r="F1661" t="s">
        <v>13</v>
      </c>
      <c r="G1661" t="s">
        <v>19</v>
      </c>
      <c r="H1661">
        <v>289</v>
      </c>
      <c r="I1661">
        <v>4</v>
      </c>
      <c r="J1661">
        <v>1156</v>
      </c>
    </row>
    <row r="1662" spans="1:10" x14ac:dyDescent="0.35">
      <c r="A1662" s="3" t="s">
        <v>1707</v>
      </c>
      <c r="B1662" s="4">
        <v>43631</v>
      </c>
      <c r="C1662">
        <v>9</v>
      </c>
      <c r="D1662" t="s">
        <v>21</v>
      </c>
      <c r="E1662" t="s">
        <v>22</v>
      </c>
      <c r="F1662" t="s">
        <v>23</v>
      </c>
      <c r="G1662" t="s">
        <v>31</v>
      </c>
      <c r="H1662">
        <v>69</v>
      </c>
      <c r="I1662">
        <v>5</v>
      </c>
      <c r="J1662">
        <v>345</v>
      </c>
    </row>
    <row r="1663" spans="1:10" x14ac:dyDescent="0.35">
      <c r="A1663" s="3" t="s">
        <v>1708</v>
      </c>
      <c r="B1663" s="4">
        <v>43631</v>
      </c>
      <c r="C1663">
        <v>20</v>
      </c>
      <c r="D1663" t="s">
        <v>40</v>
      </c>
      <c r="E1663" t="s">
        <v>36</v>
      </c>
      <c r="F1663" t="s">
        <v>28</v>
      </c>
      <c r="G1663" t="s">
        <v>31</v>
      </c>
      <c r="H1663">
        <v>69</v>
      </c>
      <c r="I1663">
        <v>8</v>
      </c>
      <c r="J1663">
        <v>552</v>
      </c>
    </row>
    <row r="1664" spans="1:10" x14ac:dyDescent="0.35">
      <c r="A1664" s="3" t="s">
        <v>1709</v>
      </c>
      <c r="B1664" s="4">
        <v>43631</v>
      </c>
      <c r="C1664">
        <v>2</v>
      </c>
      <c r="D1664" t="s">
        <v>106</v>
      </c>
      <c r="E1664" t="s">
        <v>17</v>
      </c>
      <c r="F1664" t="s">
        <v>18</v>
      </c>
      <c r="G1664" t="s">
        <v>19</v>
      </c>
      <c r="H1664">
        <v>289</v>
      </c>
      <c r="I1664">
        <v>5</v>
      </c>
      <c r="J1664">
        <v>1445</v>
      </c>
    </row>
    <row r="1665" spans="1:10" x14ac:dyDescent="0.35">
      <c r="A1665" s="3" t="s">
        <v>1710</v>
      </c>
      <c r="B1665" s="4">
        <v>43631</v>
      </c>
      <c r="C1665">
        <v>13</v>
      </c>
      <c r="D1665" t="s">
        <v>33</v>
      </c>
      <c r="E1665" t="s">
        <v>63</v>
      </c>
      <c r="F1665" t="s">
        <v>13</v>
      </c>
      <c r="G1665" t="s">
        <v>41</v>
      </c>
      <c r="H1665">
        <v>399</v>
      </c>
      <c r="I1665">
        <v>7</v>
      </c>
      <c r="J1665">
        <v>2793</v>
      </c>
    </row>
    <row r="1666" spans="1:10" x14ac:dyDescent="0.35">
      <c r="A1666" s="3" t="s">
        <v>1711</v>
      </c>
      <c r="B1666" s="4">
        <v>43631</v>
      </c>
      <c r="C1666">
        <v>17</v>
      </c>
      <c r="D1666" t="s">
        <v>35</v>
      </c>
      <c r="E1666" t="s">
        <v>36</v>
      </c>
      <c r="F1666" t="s">
        <v>28</v>
      </c>
      <c r="G1666" t="s">
        <v>14</v>
      </c>
      <c r="H1666">
        <v>199</v>
      </c>
      <c r="I1666">
        <v>3</v>
      </c>
      <c r="J1666">
        <v>597</v>
      </c>
    </row>
    <row r="1667" spans="1:10" x14ac:dyDescent="0.35">
      <c r="A1667" s="3" t="s">
        <v>1712</v>
      </c>
      <c r="B1667" s="4">
        <v>43632</v>
      </c>
      <c r="C1667">
        <v>20</v>
      </c>
      <c r="D1667" t="s">
        <v>40</v>
      </c>
      <c r="E1667" t="s">
        <v>36</v>
      </c>
      <c r="F1667" t="s">
        <v>28</v>
      </c>
      <c r="G1667" t="s">
        <v>14</v>
      </c>
      <c r="H1667">
        <v>199</v>
      </c>
      <c r="I1667">
        <v>7</v>
      </c>
      <c r="J1667">
        <v>1393</v>
      </c>
    </row>
    <row r="1668" spans="1:10" x14ac:dyDescent="0.35">
      <c r="A1668" s="3" t="s">
        <v>1713</v>
      </c>
      <c r="B1668" s="4">
        <v>43632</v>
      </c>
      <c r="C1668">
        <v>8</v>
      </c>
      <c r="D1668" t="s">
        <v>45</v>
      </c>
      <c r="E1668" t="s">
        <v>46</v>
      </c>
      <c r="F1668" t="s">
        <v>23</v>
      </c>
      <c r="G1668" t="s">
        <v>41</v>
      </c>
      <c r="H1668">
        <v>399</v>
      </c>
      <c r="I1668">
        <v>2</v>
      </c>
      <c r="J1668">
        <v>798</v>
      </c>
    </row>
    <row r="1669" spans="1:10" x14ac:dyDescent="0.35">
      <c r="A1669" s="3" t="s">
        <v>1714</v>
      </c>
      <c r="B1669" s="4">
        <v>43632</v>
      </c>
      <c r="C1669">
        <v>16</v>
      </c>
      <c r="D1669" t="s">
        <v>30</v>
      </c>
      <c r="E1669" t="s">
        <v>27</v>
      </c>
      <c r="F1669" t="s">
        <v>28</v>
      </c>
      <c r="G1669" t="s">
        <v>24</v>
      </c>
      <c r="H1669">
        <v>159</v>
      </c>
      <c r="I1669">
        <v>3</v>
      </c>
      <c r="J1669">
        <v>477</v>
      </c>
    </row>
    <row r="1670" spans="1:10" x14ac:dyDescent="0.35">
      <c r="A1670" s="3" t="s">
        <v>1715</v>
      </c>
      <c r="B1670" s="4">
        <v>43632</v>
      </c>
      <c r="C1670">
        <v>18</v>
      </c>
      <c r="D1670" t="s">
        <v>26</v>
      </c>
      <c r="E1670" t="s">
        <v>36</v>
      </c>
      <c r="F1670" t="s">
        <v>28</v>
      </c>
      <c r="G1670" t="s">
        <v>31</v>
      </c>
      <c r="H1670">
        <v>69</v>
      </c>
      <c r="I1670">
        <v>8</v>
      </c>
      <c r="J1670">
        <v>552</v>
      </c>
    </row>
    <row r="1671" spans="1:10" x14ac:dyDescent="0.35">
      <c r="A1671" s="3" t="s">
        <v>1716</v>
      </c>
      <c r="B1671" s="4">
        <v>43633</v>
      </c>
      <c r="C1671">
        <v>1</v>
      </c>
      <c r="D1671" t="s">
        <v>16</v>
      </c>
      <c r="E1671" t="s">
        <v>17</v>
      </c>
      <c r="F1671" t="s">
        <v>18</v>
      </c>
      <c r="G1671" t="s">
        <v>19</v>
      </c>
      <c r="H1671">
        <v>289</v>
      </c>
      <c r="I1671">
        <v>5</v>
      </c>
      <c r="J1671">
        <v>1445</v>
      </c>
    </row>
    <row r="1672" spans="1:10" x14ac:dyDescent="0.35">
      <c r="A1672" s="3" t="s">
        <v>1717</v>
      </c>
      <c r="B1672" s="4">
        <v>43633</v>
      </c>
      <c r="C1672">
        <v>17</v>
      </c>
      <c r="D1672" t="s">
        <v>35</v>
      </c>
      <c r="E1672" t="s">
        <v>36</v>
      </c>
      <c r="F1672" t="s">
        <v>28</v>
      </c>
      <c r="G1672" t="s">
        <v>19</v>
      </c>
      <c r="H1672">
        <v>289</v>
      </c>
      <c r="I1672">
        <v>1</v>
      </c>
      <c r="J1672">
        <v>289</v>
      </c>
    </row>
    <row r="1673" spans="1:10" x14ac:dyDescent="0.35">
      <c r="A1673" s="3" t="s">
        <v>1718</v>
      </c>
      <c r="B1673" s="4">
        <v>43633</v>
      </c>
      <c r="C1673">
        <v>4</v>
      </c>
      <c r="D1673" t="s">
        <v>51</v>
      </c>
      <c r="E1673" t="s">
        <v>68</v>
      </c>
      <c r="F1673" t="s">
        <v>18</v>
      </c>
      <c r="G1673" t="s">
        <v>31</v>
      </c>
      <c r="H1673">
        <v>69</v>
      </c>
      <c r="I1673">
        <v>8</v>
      </c>
      <c r="J1673">
        <v>552</v>
      </c>
    </row>
    <row r="1674" spans="1:10" x14ac:dyDescent="0.35">
      <c r="A1674" s="3" t="s">
        <v>1719</v>
      </c>
      <c r="B1674" s="4">
        <v>43633</v>
      </c>
      <c r="C1674">
        <v>18</v>
      </c>
      <c r="D1674" t="s">
        <v>26</v>
      </c>
      <c r="E1674" t="s">
        <v>27</v>
      </c>
      <c r="F1674" t="s">
        <v>28</v>
      </c>
      <c r="G1674" t="s">
        <v>24</v>
      </c>
      <c r="H1674">
        <v>159</v>
      </c>
      <c r="I1674">
        <v>6</v>
      </c>
      <c r="J1674">
        <v>954</v>
      </c>
    </row>
    <row r="1675" spans="1:10" x14ac:dyDescent="0.35">
      <c r="A1675" s="3" t="s">
        <v>1720</v>
      </c>
      <c r="B1675" s="4">
        <v>43634</v>
      </c>
      <c r="C1675">
        <v>17</v>
      </c>
      <c r="D1675" t="s">
        <v>35</v>
      </c>
      <c r="E1675" t="s">
        <v>36</v>
      </c>
      <c r="F1675" t="s">
        <v>28</v>
      </c>
      <c r="G1675" t="s">
        <v>41</v>
      </c>
      <c r="H1675">
        <v>399</v>
      </c>
      <c r="I1675">
        <v>3</v>
      </c>
      <c r="J1675">
        <v>1197</v>
      </c>
    </row>
    <row r="1676" spans="1:10" x14ac:dyDescent="0.35">
      <c r="A1676" s="3" t="s">
        <v>1721</v>
      </c>
      <c r="B1676" s="4">
        <v>43635</v>
      </c>
      <c r="C1676">
        <v>13</v>
      </c>
      <c r="D1676" t="s">
        <v>33</v>
      </c>
      <c r="E1676" t="s">
        <v>12</v>
      </c>
      <c r="F1676" t="s">
        <v>13</v>
      </c>
      <c r="G1676" t="s">
        <v>14</v>
      </c>
      <c r="H1676">
        <v>199</v>
      </c>
      <c r="I1676">
        <v>0</v>
      </c>
      <c r="J1676">
        <v>0</v>
      </c>
    </row>
    <row r="1677" spans="1:10" x14ac:dyDescent="0.35">
      <c r="A1677" s="3" t="s">
        <v>1722</v>
      </c>
      <c r="B1677" s="4">
        <v>43635</v>
      </c>
      <c r="C1677">
        <v>11</v>
      </c>
      <c r="D1677" t="s">
        <v>11</v>
      </c>
      <c r="E1677" t="s">
        <v>12</v>
      </c>
      <c r="F1677" t="s">
        <v>13</v>
      </c>
      <c r="G1677" t="s">
        <v>14</v>
      </c>
      <c r="H1677">
        <v>199</v>
      </c>
      <c r="I1677">
        <v>7</v>
      </c>
      <c r="J1677">
        <v>1393</v>
      </c>
    </row>
    <row r="1678" spans="1:10" x14ac:dyDescent="0.35">
      <c r="A1678" s="3" t="s">
        <v>1723</v>
      </c>
      <c r="B1678" s="4">
        <v>43635</v>
      </c>
      <c r="C1678">
        <v>14</v>
      </c>
      <c r="D1678" t="s">
        <v>38</v>
      </c>
      <c r="E1678" t="s">
        <v>63</v>
      </c>
      <c r="F1678" t="s">
        <v>13</v>
      </c>
      <c r="G1678" t="s">
        <v>24</v>
      </c>
      <c r="H1678">
        <v>159</v>
      </c>
      <c r="I1678">
        <v>5</v>
      </c>
      <c r="J1678">
        <v>795</v>
      </c>
    </row>
    <row r="1679" spans="1:10" x14ac:dyDescent="0.35">
      <c r="A1679" s="3" t="s">
        <v>1724</v>
      </c>
      <c r="B1679" s="4">
        <v>43636</v>
      </c>
      <c r="C1679">
        <v>6</v>
      </c>
      <c r="D1679" t="s">
        <v>48</v>
      </c>
      <c r="E1679" t="s">
        <v>22</v>
      </c>
      <c r="F1679" t="s">
        <v>23</v>
      </c>
      <c r="G1679" t="s">
        <v>24</v>
      </c>
      <c r="H1679">
        <v>159</v>
      </c>
      <c r="I1679">
        <v>2</v>
      </c>
      <c r="J1679">
        <v>318</v>
      </c>
    </row>
    <row r="1680" spans="1:10" x14ac:dyDescent="0.35">
      <c r="A1680" s="3" t="s">
        <v>1725</v>
      </c>
      <c r="B1680" s="4">
        <v>43637</v>
      </c>
      <c r="C1680">
        <v>20</v>
      </c>
      <c r="D1680" t="s">
        <v>40</v>
      </c>
      <c r="E1680" t="s">
        <v>27</v>
      </c>
      <c r="F1680" t="s">
        <v>28</v>
      </c>
      <c r="G1680" t="s">
        <v>14</v>
      </c>
      <c r="H1680">
        <v>199</v>
      </c>
      <c r="I1680">
        <v>7</v>
      </c>
      <c r="J1680">
        <v>1393</v>
      </c>
    </row>
    <row r="1681" spans="1:10" x14ac:dyDescent="0.35">
      <c r="A1681" s="3" t="s">
        <v>1726</v>
      </c>
      <c r="B1681" s="4">
        <v>43638</v>
      </c>
      <c r="C1681">
        <v>4</v>
      </c>
      <c r="D1681" t="s">
        <v>51</v>
      </c>
      <c r="E1681" t="s">
        <v>17</v>
      </c>
      <c r="F1681" t="s">
        <v>18</v>
      </c>
      <c r="G1681" t="s">
        <v>24</v>
      </c>
      <c r="H1681">
        <v>159</v>
      </c>
      <c r="I1681">
        <v>5</v>
      </c>
      <c r="J1681">
        <v>795</v>
      </c>
    </row>
    <row r="1682" spans="1:10" x14ac:dyDescent="0.35">
      <c r="A1682" s="3" t="s">
        <v>1727</v>
      </c>
      <c r="B1682" s="4">
        <v>43638</v>
      </c>
      <c r="C1682">
        <v>6</v>
      </c>
      <c r="D1682" t="s">
        <v>48</v>
      </c>
      <c r="E1682" t="s">
        <v>46</v>
      </c>
      <c r="F1682" t="s">
        <v>23</v>
      </c>
      <c r="G1682" t="s">
        <v>31</v>
      </c>
      <c r="H1682">
        <v>69</v>
      </c>
      <c r="I1682">
        <v>5</v>
      </c>
      <c r="J1682">
        <v>345</v>
      </c>
    </row>
    <row r="1683" spans="1:10" x14ac:dyDescent="0.35">
      <c r="A1683" s="3" t="s">
        <v>1728</v>
      </c>
      <c r="B1683" s="4">
        <v>43638</v>
      </c>
      <c r="C1683">
        <v>3</v>
      </c>
      <c r="D1683" t="s">
        <v>43</v>
      </c>
      <c r="E1683" t="s">
        <v>68</v>
      </c>
      <c r="F1683" t="s">
        <v>18</v>
      </c>
      <c r="G1683" t="s">
        <v>14</v>
      </c>
      <c r="H1683">
        <v>199</v>
      </c>
      <c r="I1683">
        <v>5</v>
      </c>
      <c r="J1683">
        <v>995</v>
      </c>
    </row>
    <row r="1684" spans="1:10" x14ac:dyDescent="0.35">
      <c r="A1684" s="3" t="s">
        <v>1729</v>
      </c>
      <c r="B1684" s="4">
        <v>43638</v>
      </c>
      <c r="C1684">
        <v>9</v>
      </c>
      <c r="D1684" t="s">
        <v>21</v>
      </c>
      <c r="E1684" t="s">
        <v>46</v>
      </c>
      <c r="F1684" t="s">
        <v>23</v>
      </c>
      <c r="G1684" t="s">
        <v>24</v>
      </c>
      <c r="H1684">
        <v>159</v>
      </c>
      <c r="I1684">
        <v>4</v>
      </c>
      <c r="J1684">
        <v>636</v>
      </c>
    </row>
    <row r="1685" spans="1:10" x14ac:dyDescent="0.35">
      <c r="A1685" s="3" t="s">
        <v>1730</v>
      </c>
      <c r="B1685" s="4">
        <v>43638</v>
      </c>
      <c r="C1685">
        <v>12</v>
      </c>
      <c r="D1685" t="s">
        <v>66</v>
      </c>
      <c r="E1685" t="s">
        <v>63</v>
      </c>
      <c r="F1685" t="s">
        <v>13</v>
      </c>
      <c r="G1685" t="s">
        <v>24</v>
      </c>
      <c r="H1685">
        <v>159</v>
      </c>
      <c r="I1685">
        <v>2</v>
      </c>
      <c r="J1685">
        <v>318</v>
      </c>
    </row>
    <row r="1686" spans="1:10" x14ac:dyDescent="0.35">
      <c r="A1686" s="3" t="s">
        <v>1731</v>
      </c>
      <c r="B1686" s="4">
        <v>43638</v>
      </c>
      <c r="C1686">
        <v>3</v>
      </c>
      <c r="D1686" t="s">
        <v>43</v>
      </c>
      <c r="E1686" t="s">
        <v>17</v>
      </c>
      <c r="F1686" t="s">
        <v>18</v>
      </c>
      <c r="G1686" t="s">
        <v>24</v>
      </c>
      <c r="H1686">
        <v>159</v>
      </c>
      <c r="I1686">
        <v>8</v>
      </c>
      <c r="J1686">
        <v>1272</v>
      </c>
    </row>
    <row r="1687" spans="1:10" x14ac:dyDescent="0.35">
      <c r="A1687" s="3" t="s">
        <v>1732</v>
      </c>
      <c r="B1687" s="4">
        <v>43639</v>
      </c>
      <c r="C1687">
        <v>15</v>
      </c>
      <c r="D1687" t="s">
        <v>118</v>
      </c>
      <c r="E1687" t="s">
        <v>12</v>
      </c>
      <c r="F1687" t="s">
        <v>13</v>
      </c>
      <c r="G1687" t="s">
        <v>24</v>
      </c>
      <c r="H1687">
        <v>159</v>
      </c>
      <c r="I1687">
        <v>4</v>
      </c>
      <c r="J1687">
        <v>636</v>
      </c>
    </row>
    <row r="1688" spans="1:10" x14ac:dyDescent="0.35">
      <c r="A1688" s="3" t="s">
        <v>1733</v>
      </c>
      <c r="B1688" s="4">
        <v>43639</v>
      </c>
      <c r="C1688">
        <v>9</v>
      </c>
      <c r="D1688" t="s">
        <v>21</v>
      </c>
      <c r="E1688" t="s">
        <v>22</v>
      </c>
      <c r="F1688" t="s">
        <v>23</v>
      </c>
      <c r="G1688" t="s">
        <v>24</v>
      </c>
      <c r="H1688">
        <v>159</v>
      </c>
      <c r="I1688">
        <v>8</v>
      </c>
      <c r="J1688">
        <v>1272</v>
      </c>
    </row>
    <row r="1689" spans="1:10" x14ac:dyDescent="0.35">
      <c r="A1689" s="3" t="s">
        <v>1734</v>
      </c>
      <c r="B1689" s="4">
        <v>43640</v>
      </c>
      <c r="C1689">
        <v>13</v>
      </c>
      <c r="D1689" t="s">
        <v>33</v>
      </c>
      <c r="E1689" t="s">
        <v>12</v>
      </c>
      <c r="F1689" t="s">
        <v>13</v>
      </c>
      <c r="G1689" t="s">
        <v>41</v>
      </c>
      <c r="H1689">
        <v>399</v>
      </c>
      <c r="I1689">
        <v>5</v>
      </c>
      <c r="J1689">
        <v>1995</v>
      </c>
    </row>
    <row r="1690" spans="1:10" x14ac:dyDescent="0.35">
      <c r="A1690" s="3" t="s">
        <v>1735</v>
      </c>
      <c r="B1690" s="4">
        <v>43641</v>
      </c>
      <c r="C1690">
        <v>16</v>
      </c>
      <c r="D1690" t="s">
        <v>30</v>
      </c>
      <c r="E1690" t="s">
        <v>36</v>
      </c>
      <c r="F1690" t="s">
        <v>28</v>
      </c>
      <c r="G1690" t="s">
        <v>41</v>
      </c>
      <c r="H1690">
        <v>399</v>
      </c>
      <c r="I1690">
        <v>6</v>
      </c>
      <c r="J1690">
        <v>2394</v>
      </c>
    </row>
    <row r="1691" spans="1:10" x14ac:dyDescent="0.35">
      <c r="A1691" s="3" t="s">
        <v>1736</v>
      </c>
      <c r="B1691" s="4">
        <v>43642</v>
      </c>
      <c r="C1691">
        <v>7</v>
      </c>
      <c r="D1691" t="s">
        <v>88</v>
      </c>
      <c r="E1691" t="s">
        <v>46</v>
      </c>
      <c r="F1691" t="s">
        <v>23</v>
      </c>
      <c r="G1691" t="s">
        <v>41</v>
      </c>
      <c r="H1691">
        <v>399</v>
      </c>
      <c r="I1691">
        <v>4</v>
      </c>
      <c r="J1691">
        <v>1596</v>
      </c>
    </row>
    <row r="1692" spans="1:10" x14ac:dyDescent="0.35">
      <c r="A1692" s="3" t="s">
        <v>1737</v>
      </c>
      <c r="B1692" s="4">
        <v>43642</v>
      </c>
      <c r="C1692">
        <v>2</v>
      </c>
      <c r="D1692" t="s">
        <v>106</v>
      </c>
      <c r="E1692" t="s">
        <v>68</v>
      </c>
      <c r="F1692" t="s">
        <v>18</v>
      </c>
      <c r="G1692" t="s">
        <v>19</v>
      </c>
      <c r="H1692">
        <v>289</v>
      </c>
      <c r="I1692">
        <v>7</v>
      </c>
      <c r="J1692">
        <v>2023</v>
      </c>
    </row>
    <row r="1693" spans="1:10" x14ac:dyDescent="0.35">
      <c r="A1693" s="3" t="s">
        <v>1738</v>
      </c>
      <c r="B1693" s="4">
        <v>43643</v>
      </c>
      <c r="C1693">
        <v>9</v>
      </c>
      <c r="D1693" t="s">
        <v>21</v>
      </c>
      <c r="E1693" t="s">
        <v>22</v>
      </c>
      <c r="F1693" t="s">
        <v>23</v>
      </c>
      <c r="G1693" t="s">
        <v>31</v>
      </c>
      <c r="H1693">
        <v>69</v>
      </c>
      <c r="I1693">
        <v>3</v>
      </c>
      <c r="J1693">
        <v>207</v>
      </c>
    </row>
    <row r="1694" spans="1:10" x14ac:dyDescent="0.35">
      <c r="A1694" s="3" t="s">
        <v>1739</v>
      </c>
      <c r="B1694" s="4">
        <v>43644</v>
      </c>
      <c r="C1694">
        <v>20</v>
      </c>
      <c r="D1694" t="s">
        <v>40</v>
      </c>
      <c r="E1694" t="s">
        <v>36</v>
      </c>
      <c r="F1694" t="s">
        <v>28</v>
      </c>
      <c r="G1694" t="s">
        <v>19</v>
      </c>
      <c r="H1694">
        <v>289</v>
      </c>
      <c r="I1694">
        <v>8</v>
      </c>
      <c r="J1694">
        <v>2312</v>
      </c>
    </row>
    <row r="1695" spans="1:10" x14ac:dyDescent="0.35">
      <c r="A1695" s="3" t="s">
        <v>1740</v>
      </c>
      <c r="B1695" s="4">
        <v>43645</v>
      </c>
      <c r="C1695">
        <v>9</v>
      </c>
      <c r="D1695" t="s">
        <v>21</v>
      </c>
      <c r="E1695" t="s">
        <v>22</v>
      </c>
      <c r="F1695" t="s">
        <v>23</v>
      </c>
      <c r="G1695" t="s">
        <v>41</v>
      </c>
      <c r="H1695">
        <v>399</v>
      </c>
      <c r="I1695">
        <v>5</v>
      </c>
      <c r="J1695">
        <v>1995</v>
      </c>
    </row>
    <row r="1696" spans="1:10" x14ac:dyDescent="0.35">
      <c r="A1696" s="3" t="s">
        <v>1741</v>
      </c>
      <c r="B1696" s="4">
        <v>43645</v>
      </c>
      <c r="C1696">
        <v>8</v>
      </c>
      <c r="D1696" t="s">
        <v>45</v>
      </c>
      <c r="E1696" t="s">
        <v>46</v>
      </c>
      <c r="F1696" t="s">
        <v>23</v>
      </c>
      <c r="G1696" t="s">
        <v>14</v>
      </c>
      <c r="H1696">
        <v>199</v>
      </c>
      <c r="I1696">
        <v>3</v>
      </c>
      <c r="J1696">
        <v>597</v>
      </c>
    </row>
    <row r="1697" spans="1:10" x14ac:dyDescent="0.35">
      <c r="A1697" s="3" t="s">
        <v>1742</v>
      </c>
      <c r="B1697" s="4">
        <v>43646</v>
      </c>
      <c r="C1697">
        <v>9</v>
      </c>
      <c r="D1697" t="s">
        <v>21</v>
      </c>
      <c r="E1697" t="s">
        <v>22</v>
      </c>
      <c r="F1697" t="s">
        <v>23</v>
      </c>
      <c r="G1697" t="s">
        <v>24</v>
      </c>
      <c r="H1697">
        <v>159</v>
      </c>
      <c r="I1697">
        <v>7</v>
      </c>
      <c r="J1697">
        <v>1113</v>
      </c>
    </row>
    <row r="1698" spans="1:10" x14ac:dyDescent="0.35">
      <c r="A1698" s="3" t="s">
        <v>1743</v>
      </c>
      <c r="B1698" s="4">
        <v>43647</v>
      </c>
      <c r="C1698">
        <v>14</v>
      </c>
      <c r="D1698" t="s">
        <v>38</v>
      </c>
      <c r="E1698" t="s">
        <v>12</v>
      </c>
      <c r="F1698" t="s">
        <v>13</v>
      </c>
      <c r="G1698" t="s">
        <v>31</v>
      </c>
      <c r="H1698">
        <v>69</v>
      </c>
      <c r="I1698">
        <v>8</v>
      </c>
      <c r="J1698">
        <v>552</v>
      </c>
    </row>
    <row r="1699" spans="1:10" x14ac:dyDescent="0.35">
      <c r="A1699" s="3" t="s">
        <v>1744</v>
      </c>
      <c r="B1699" s="4">
        <v>43648</v>
      </c>
      <c r="C1699">
        <v>8</v>
      </c>
      <c r="D1699" t="s">
        <v>45</v>
      </c>
      <c r="E1699" t="s">
        <v>46</v>
      </c>
      <c r="F1699" t="s">
        <v>23</v>
      </c>
      <c r="G1699" t="s">
        <v>14</v>
      </c>
      <c r="H1699">
        <v>199</v>
      </c>
      <c r="I1699">
        <v>3</v>
      </c>
      <c r="J1699">
        <v>597</v>
      </c>
    </row>
    <row r="1700" spans="1:10" x14ac:dyDescent="0.35">
      <c r="A1700" s="3" t="s">
        <v>1745</v>
      </c>
      <c r="B1700" s="4">
        <v>43648</v>
      </c>
      <c r="C1700">
        <v>11</v>
      </c>
      <c r="D1700" t="s">
        <v>11</v>
      </c>
      <c r="E1700" t="s">
        <v>12</v>
      </c>
      <c r="F1700" t="s">
        <v>13</v>
      </c>
      <c r="G1700" t="s">
        <v>24</v>
      </c>
      <c r="H1700">
        <v>159</v>
      </c>
      <c r="I1700">
        <v>0</v>
      </c>
      <c r="J1700">
        <v>0</v>
      </c>
    </row>
    <row r="1701" spans="1:10" x14ac:dyDescent="0.35">
      <c r="A1701" s="3" t="s">
        <v>1746</v>
      </c>
      <c r="B1701" s="4">
        <v>43649</v>
      </c>
      <c r="C1701">
        <v>12</v>
      </c>
      <c r="D1701" t="s">
        <v>66</v>
      </c>
      <c r="E1701" t="s">
        <v>12</v>
      </c>
      <c r="F1701" t="s">
        <v>13</v>
      </c>
      <c r="G1701" t="s">
        <v>19</v>
      </c>
      <c r="H1701">
        <v>289</v>
      </c>
      <c r="I1701">
        <v>5</v>
      </c>
      <c r="J1701">
        <v>1445</v>
      </c>
    </row>
    <row r="1702" spans="1:10" x14ac:dyDescent="0.35">
      <c r="A1702" s="3" t="s">
        <v>1747</v>
      </c>
      <c r="B1702" s="4">
        <v>43650</v>
      </c>
      <c r="C1702">
        <v>16</v>
      </c>
      <c r="D1702" t="s">
        <v>30</v>
      </c>
      <c r="E1702" t="s">
        <v>36</v>
      </c>
      <c r="F1702" t="s">
        <v>28</v>
      </c>
      <c r="G1702" t="s">
        <v>41</v>
      </c>
      <c r="H1702">
        <v>399</v>
      </c>
      <c r="I1702">
        <v>4</v>
      </c>
      <c r="J1702">
        <v>1596</v>
      </c>
    </row>
    <row r="1703" spans="1:10" x14ac:dyDescent="0.35">
      <c r="A1703" s="3" t="s">
        <v>1748</v>
      </c>
      <c r="B1703" s="4">
        <v>43651</v>
      </c>
      <c r="C1703">
        <v>8</v>
      </c>
      <c r="D1703" t="s">
        <v>45</v>
      </c>
      <c r="E1703" t="s">
        <v>22</v>
      </c>
      <c r="F1703" t="s">
        <v>23</v>
      </c>
      <c r="G1703" t="s">
        <v>14</v>
      </c>
      <c r="H1703">
        <v>199</v>
      </c>
      <c r="I1703">
        <v>5</v>
      </c>
      <c r="J1703">
        <v>995</v>
      </c>
    </row>
    <row r="1704" spans="1:10" x14ac:dyDescent="0.35">
      <c r="A1704" s="3" t="s">
        <v>1749</v>
      </c>
      <c r="B1704" s="4">
        <v>43651</v>
      </c>
      <c r="C1704">
        <v>5</v>
      </c>
      <c r="D1704" t="s">
        <v>60</v>
      </c>
      <c r="E1704" t="s">
        <v>17</v>
      </c>
      <c r="F1704" t="s">
        <v>18</v>
      </c>
      <c r="G1704" t="s">
        <v>41</v>
      </c>
      <c r="H1704">
        <v>399</v>
      </c>
      <c r="I1704">
        <v>7</v>
      </c>
      <c r="J1704">
        <v>2793</v>
      </c>
    </row>
    <row r="1705" spans="1:10" x14ac:dyDescent="0.35">
      <c r="A1705" s="3" t="s">
        <v>1750</v>
      </c>
      <c r="B1705" s="4">
        <v>43652</v>
      </c>
      <c r="C1705">
        <v>18</v>
      </c>
      <c r="D1705" t="s">
        <v>26</v>
      </c>
      <c r="E1705" t="s">
        <v>36</v>
      </c>
      <c r="F1705" t="s">
        <v>28</v>
      </c>
      <c r="G1705" t="s">
        <v>24</v>
      </c>
      <c r="H1705">
        <v>159</v>
      </c>
      <c r="I1705">
        <v>0</v>
      </c>
      <c r="J1705">
        <v>0</v>
      </c>
    </row>
    <row r="1706" spans="1:10" x14ac:dyDescent="0.35">
      <c r="A1706" s="3" t="s">
        <v>1751</v>
      </c>
      <c r="B1706" s="4">
        <v>43653</v>
      </c>
      <c r="C1706">
        <v>9</v>
      </c>
      <c r="D1706" t="s">
        <v>21</v>
      </c>
      <c r="E1706" t="s">
        <v>22</v>
      </c>
      <c r="F1706" t="s">
        <v>23</v>
      </c>
      <c r="G1706" t="s">
        <v>14</v>
      </c>
      <c r="H1706">
        <v>199</v>
      </c>
      <c r="I1706">
        <v>2</v>
      </c>
      <c r="J1706">
        <v>398</v>
      </c>
    </row>
    <row r="1707" spans="1:10" x14ac:dyDescent="0.35">
      <c r="A1707" s="3" t="s">
        <v>1752</v>
      </c>
      <c r="B1707" s="4">
        <v>43654</v>
      </c>
      <c r="C1707">
        <v>7</v>
      </c>
      <c r="D1707" t="s">
        <v>88</v>
      </c>
      <c r="E1707" t="s">
        <v>46</v>
      </c>
      <c r="F1707" t="s">
        <v>23</v>
      </c>
      <c r="G1707" t="s">
        <v>31</v>
      </c>
      <c r="H1707">
        <v>69</v>
      </c>
      <c r="I1707">
        <v>3</v>
      </c>
      <c r="J1707">
        <v>207</v>
      </c>
    </row>
    <row r="1708" spans="1:10" x14ac:dyDescent="0.35">
      <c r="A1708" s="3" t="s">
        <v>1753</v>
      </c>
      <c r="B1708" s="4">
        <v>43655</v>
      </c>
      <c r="C1708">
        <v>19</v>
      </c>
      <c r="D1708" t="s">
        <v>56</v>
      </c>
      <c r="E1708" t="s">
        <v>36</v>
      </c>
      <c r="F1708" t="s">
        <v>28</v>
      </c>
      <c r="G1708" t="s">
        <v>24</v>
      </c>
      <c r="H1708">
        <v>159</v>
      </c>
      <c r="I1708">
        <v>0</v>
      </c>
      <c r="J1708">
        <v>0</v>
      </c>
    </row>
    <row r="1709" spans="1:10" x14ac:dyDescent="0.35">
      <c r="A1709" s="3" t="s">
        <v>1754</v>
      </c>
      <c r="B1709" s="4">
        <v>43656</v>
      </c>
      <c r="C1709">
        <v>5</v>
      </c>
      <c r="D1709" t="s">
        <v>60</v>
      </c>
      <c r="E1709" t="s">
        <v>17</v>
      </c>
      <c r="F1709" t="s">
        <v>18</v>
      </c>
      <c r="G1709" t="s">
        <v>14</v>
      </c>
      <c r="H1709">
        <v>199</v>
      </c>
      <c r="I1709">
        <v>3</v>
      </c>
      <c r="J1709">
        <v>597</v>
      </c>
    </row>
    <row r="1710" spans="1:10" x14ac:dyDescent="0.35">
      <c r="A1710" s="3" t="s">
        <v>1755</v>
      </c>
      <c r="B1710" s="4">
        <v>43656</v>
      </c>
      <c r="C1710">
        <v>8</v>
      </c>
      <c r="D1710" t="s">
        <v>45</v>
      </c>
      <c r="E1710" t="s">
        <v>46</v>
      </c>
      <c r="F1710" t="s">
        <v>23</v>
      </c>
      <c r="G1710" t="s">
        <v>14</v>
      </c>
      <c r="H1710">
        <v>199</v>
      </c>
      <c r="I1710">
        <v>6</v>
      </c>
      <c r="J1710">
        <v>1194</v>
      </c>
    </row>
    <row r="1711" spans="1:10" x14ac:dyDescent="0.35">
      <c r="A1711" s="3" t="s">
        <v>1756</v>
      </c>
      <c r="B1711" s="4">
        <v>43656</v>
      </c>
      <c r="C1711">
        <v>14</v>
      </c>
      <c r="D1711" t="s">
        <v>38</v>
      </c>
      <c r="E1711" t="s">
        <v>12</v>
      </c>
      <c r="F1711" t="s">
        <v>13</v>
      </c>
      <c r="G1711" t="s">
        <v>41</v>
      </c>
      <c r="H1711">
        <v>399</v>
      </c>
      <c r="I1711">
        <v>0</v>
      </c>
      <c r="J1711">
        <v>0</v>
      </c>
    </row>
    <row r="1712" spans="1:10" x14ac:dyDescent="0.35">
      <c r="A1712" s="3" t="s">
        <v>1757</v>
      </c>
      <c r="B1712" s="4">
        <v>43656</v>
      </c>
      <c r="C1712">
        <v>13</v>
      </c>
      <c r="D1712" t="s">
        <v>33</v>
      </c>
      <c r="E1712" t="s">
        <v>63</v>
      </c>
      <c r="F1712" t="s">
        <v>13</v>
      </c>
      <c r="G1712" t="s">
        <v>31</v>
      </c>
      <c r="H1712">
        <v>69</v>
      </c>
      <c r="I1712">
        <v>2</v>
      </c>
      <c r="J1712">
        <v>138</v>
      </c>
    </row>
    <row r="1713" spans="1:10" x14ac:dyDescent="0.35">
      <c r="A1713" s="3" t="s">
        <v>1758</v>
      </c>
      <c r="B1713" s="4">
        <v>43657</v>
      </c>
      <c r="C1713">
        <v>5</v>
      </c>
      <c r="D1713" t="s">
        <v>60</v>
      </c>
      <c r="E1713" t="s">
        <v>17</v>
      </c>
      <c r="F1713" t="s">
        <v>18</v>
      </c>
      <c r="G1713" t="s">
        <v>24</v>
      </c>
      <c r="H1713">
        <v>159</v>
      </c>
      <c r="I1713">
        <v>7</v>
      </c>
      <c r="J1713">
        <v>1113</v>
      </c>
    </row>
    <row r="1714" spans="1:10" x14ac:dyDescent="0.35">
      <c r="A1714" s="3" t="s">
        <v>1759</v>
      </c>
      <c r="B1714" s="4">
        <v>43657</v>
      </c>
      <c r="C1714">
        <v>19</v>
      </c>
      <c r="D1714" t="s">
        <v>56</v>
      </c>
      <c r="E1714" t="s">
        <v>27</v>
      </c>
      <c r="F1714" t="s">
        <v>28</v>
      </c>
      <c r="G1714" t="s">
        <v>41</v>
      </c>
      <c r="H1714">
        <v>399</v>
      </c>
      <c r="I1714">
        <v>9</v>
      </c>
      <c r="J1714">
        <v>3591</v>
      </c>
    </row>
    <row r="1715" spans="1:10" x14ac:dyDescent="0.35">
      <c r="A1715" s="3" t="s">
        <v>1760</v>
      </c>
      <c r="B1715" s="4">
        <v>43658</v>
      </c>
      <c r="C1715">
        <v>13</v>
      </c>
      <c r="D1715" t="s">
        <v>33</v>
      </c>
      <c r="E1715" t="s">
        <v>12</v>
      </c>
      <c r="F1715" t="s">
        <v>13</v>
      </c>
      <c r="G1715" t="s">
        <v>14</v>
      </c>
      <c r="H1715">
        <v>199</v>
      </c>
      <c r="I1715">
        <v>3</v>
      </c>
      <c r="J1715">
        <v>597</v>
      </c>
    </row>
    <row r="1716" spans="1:10" x14ac:dyDescent="0.35">
      <c r="A1716" s="3" t="s">
        <v>1761</v>
      </c>
      <c r="B1716" s="4">
        <v>43658</v>
      </c>
      <c r="C1716">
        <v>5</v>
      </c>
      <c r="D1716" t="s">
        <v>60</v>
      </c>
      <c r="E1716" t="s">
        <v>68</v>
      </c>
      <c r="F1716" t="s">
        <v>18</v>
      </c>
      <c r="G1716" t="s">
        <v>31</v>
      </c>
      <c r="H1716">
        <v>69</v>
      </c>
      <c r="I1716">
        <v>3</v>
      </c>
      <c r="J1716">
        <v>207</v>
      </c>
    </row>
    <row r="1717" spans="1:10" x14ac:dyDescent="0.35">
      <c r="A1717" s="3" t="s">
        <v>1762</v>
      </c>
      <c r="B1717" s="4">
        <v>43658</v>
      </c>
      <c r="C1717">
        <v>14</v>
      </c>
      <c r="D1717" t="s">
        <v>38</v>
      </c>
      <c r="E1717" t="s">
        <v>12</v>
      </c>
      <c r="F1717" t="s">
        <v>13</v>
      </c>
      <c r="G1717" t="s">
        <v>41</v>
      </c>
      <c r="H1717">
        <v>399</v>
      </c>
      <c r="I1717">
        <v>1</v>
      </c>
      <c r="J1717">
        <v>399</v>
      </c>
    </row>
    <row r="1718" spans="1:10" x14ac:dyDescent="0.35">
      <c r="A1718" s="3" t="s">
        <v>1763</v>
      </c>
      <c r="B1718" s="4">
        <v>43658</v>
      </c>
      <c r="C1718">
        <v>11</v>
      </c>
      <c r="D1718" t="s">
        <v>11</v>
      </c>
      <c r="E1718" t="s">
        <v>12</v>
      </c>
      <c r="F1718" t="s">
        <v>13</v>
      </c>
      <c r="G1718" t="s">
        <v>31</v>
      </c>
      <c r="H1718">
        <v>69</v>
      </c>
      <c r="I1718">
        <v>1</v>
      </c>
      <c r="J1718">
        <v>69</v>
      </c>
    </row>
    <row r="1719" spans="1:10" x14ac:dyDescent="0.35">
      <c r="A1719" s="3" t="s">
        <v>1764</v>
      </c>
      <c r="B1719" s="4">
        <v>43658</v>
      </c>
      <c r="C1719">
        <v>7</v>
      </c>
      <c r="D1719" t="s">
        <v>88</v>
      </c>
      <c r="E1719" t="s">
        <v>22</v>
      </c>
      <c r="F1719" t="s">
        <v>23</v>
      </c>
      <c r="G1719" t="s">
        <v>24</v>
      </c>
      <c r="H1719">
        <v>159</v>
      </c>
      <c r="I1719">
        <v>8</v>
      </c>
      <c r="J1719">
        <v>1272</v>
      </c>
    </row>
    <row r="1720" spans="1:10" x14ac:dyDescent="0.35">
      <c r="A1720" s="3" t="s">
        <v>1765</v>
      </c>
      <c r="B1720" s="4">
        <v>43658</v>
      </c>
      <c r="C1720">
        <v>5</v>
      </c>
      <c r="D1720" t="s">
        <v>60</v>
      </c>
      <c r="E1720" t="s">
        <v>68</v>
      </c>
      <c r="F1720" t="s">
        <v>18</v>
      </c>
      <c r="G1720" t="s">
        <v>19</v>
      </c>
      <c r="H1720">
        <v>289</v>
      </c>
      <c r="I1720">
        <v>0</v>
      </c>
      <c r="J1720">
        <v>0</v>
      </c>
    </row>
    <row r="1721" spans="1:10" x14ac:dyDescent="0.35">
      <c r="A1721" s="3" t="s">
        <v>1766</v>
      </c>
      <c r="B1721" s="4">
        <v>43658</v>
      </c>
      <c r="C1721">
        <v>1</v>
      </c>
      <c r="D1721" t="s">
        <v>16</v>
      </c>
      <c r="E1721" t="s">
        <v>68</v>
      </c>
      <c r="F1721" t="s">
        <v>18</v>
      </c>
      <c r="G1721" t="s">
        <v>19</v>
      </c>
      <c r="H1721">
        <v>289</v>
      </c>
      <c r="I1721">
        <v>3</v>
      </c>
      <c r="J1721">
        <v>867</v>
      </c>
    </row>
    <row r="1722" spans="1:10" x14ac:dyDescent="0.35">
      <c r="A1722" s="3" t="s">
        <v>1767</v>
      </c>
      <c r="B1722" s="4">
        <v>43659</v>
      </c>
      <c r="C1722">
        <v>6</v>
      </c>
      <c r="D1722" t="s">
        <v>48</v>
      </c>
      <c r="E1722" t="s">
        <v>46</v>
      </c>
      <c r="F1722" t="s">
        <v>23</v>
      </c>
      <c r="G1722" t="s">
        <v>14</v>
      </c>
      <c r="H1722">
        <v>199</v>
      </c>
      <c r="I1722">
        <v>1</v>
      </c>
      <c r="J1722">
        <v>199</v>
      </c>
    </row>
    <row r="1723" spans="1:10" x14ac:dyDescent="0.35">
      <c r="A1723" s="3" t="s">
        <v>1768</v>
      </c>
      <c r="B1723" s="4">
        <v>43660</v>
      </c>
      <c r="C1723">
        <v>16</v>
      </c>
      <c r="D1723" t="s">
        <v>30</v>
      </c>
      <c r="E1723" t="s">
        <v>36</v>
      </c>
      <c r="F1723" t="s">
        <v>28</v>
      </c>
      <c r="G1723" t="s">
        <v>14</v>
      </c>
      <c r="H1723">
        <v>199</v>
      </c>
      <c r="I1723">
        <v>8</v>
      </c>
      <c r="J1723">
        <v>1592</v>
      </c>
    </row>
    <row r="1724" spans="1:10" x14ac:dyDescent="0.35">
      <c r="A1724" s="3" t="s">
        <v>1769</v>
      </c>
      <c r="B1724" s="4">
        <v>43660</v>
      </c>
      <c r="C1724">
        <v>10</v>
      </c>
      <c r="D1724" t="s">
        <v>58</v>
      </c>
      <c r="E1724" t="s">
        <v>46</v>
      </c>
      <c r="F1724" t="s">
        <v>23</v>
      </c>
      <c r="G1724" t="s">
        <v>14</v>
      </c>
      <c r="H1724">
        <v>199</v>
      </c>
      <c r="I1724">
        <v>2</v>
      </c>
      <c r="J1724">
        <v>398</v>
      </c>
    </row>
    <row r="1725" spans="1:10" x14ac:dyDescent="0.35">
      <c r="A1725" s="3" t="s">
        <v>1770</v>
      </c>
      <c r="B1725" s="4">
        <v>43660</v>
      </c>
      <c r="C1725">
        <v>20</v>
      </c>
      <c r="D1725" t="s">
        <v>40</v>
      </c>
      <c r="E1725" t="s">
        <v>27</v>
      </c>
      <c r="F1725" t="s">
        <v>28</v>
      </c>
      <c r="G1725" t="s">
        <v>24</v>
      </c>
      <c r="H1725">
        <v>159</v>
      </c>
      <c r="I1725">
        <v>1</v>
      </c>
      <c r="J1725">
        <v>159</v>
      </c>
    </row>
    <row r="1726" spans="1:10" x14ac:dyDescent="0.35">
      <c r="A1726" s="3" t="s">
        <v>1771</v>
      </c>
      <c r="B1726" s="4">
        <v>43660</v>
      </c>
      <c r="C1726">
        <v>4</v>
      </c>
      <c r="D1726" t="s">
        <v>51</v>
      </c>
      <c r="E1726" t="s">
        <v>17</v>
      </c>
      <c r="F1726" t="s">
        <v>18</v>
      </c>
      <c r="G1726" t="s">
        <v>19</v>
      </c>
      <c r="H1726">
        <v>289</v>
      </c>
      <c r="I1726">
        <v>8</v>
      </c>
      <c r="J1726">
        <v>2312</v>
      </c>
    </row>
    <row r="1727" spans="1:10" x14ac:dyDescent="0.35">
      <c r="A1727" s="3" t="s">
        <v>1772</v>
      </c>
      <c r="B1727" s="4">
        <v>43660</v>
      </c>
      <c r="C1727">
        <v>10</v>
      </c>
      <c r="D1727" t="s">
        <v>58</v>
      </c>
      <c r="E1727" t="s">
        <v>46</v>
      </c>
      <c r="F1727" t="s">
        <v>23</v>
      </c>
      <c r="G1727" t="s">
        <v>41</v>
      </c>
      <c r="H1727">
        <v>399</v>
      </c>
      <c r="I1727">
        <v>9</v>
      </c>
      <c r="J1727">
        <v>3591</v>
      </c>
    </row>
    <row r="1728" spans="1:10" x14ac:dyDescent="0.35">
      <c r="A1728" s="3" t="s">
        <v>1773</v>
      </c>
      <c r="B1728" s="4">
        <v>43660</v>
      </c>
      <c r="C1728">
        <v>4</v>
      </c>
      <c r="D1728" t="s">
        <v>51</v>
      </c>
      <c r="E1728" t="s">
        <v>17</v>
      </c>
      <c r="F1728" t="s">
        <v>18</v>
      </c>
      <c r="G1728" t="s">
        <v>14</v>
      </c>
      <c r="H1728">
        <v>199</v>
      </c>
      <c r="I1728">
        <v>3</v>
      </c>
      <c r="J1728">
        <v>597</v>
      </c>
    </row>
    <row r="1729" spans="1:10" x14ac:dyDescent="0.35">
      <c r="A1729" s="3" t="s">
        <v>1774</v>
      </c>
      <c r="B1729" s="4">
        <v>43661</v>
      </c>
      <c r="C1729">
        <v>16</v>
      </c>
      <c r="D1729" t="s">
        <v>30</v>
      </c>
      <c r="E1729" t="s">
        <v>27</v>
      </c>
      <c r="F1729" t="s">
        <v>28</v>
      </c>
      <c r="G1729" t="s">
        <v>24</v>
      </c>
      <c r="H1729">
        <v>159</v>
      </c>
      <c r="I1729">
        <v>3</v>
      </c>
      <c r="J1729">
        <v>477</v>
      </c>
    </row>
    <row r="1730" spans="1:10" x14ac:dyDescent="0.35">
      <c r="A1730" s="3" t="s">
        <v>1775</v>
      </c>
      <c r="B1730" s="4">
        <v>43661</v>
      </c>
      <c r="C1730">
        <v>2</v>
      </c>
      <c r="D1730" t="s">
        <v>106</v>
      </c>
      <c r="E1730" t="s">
        <v>17</v>
      </c>
      <c r="F1730" t="s">
        <v>18</v>
      </c>
      <c r="G1730" t="s">
        <v>24</v>
      </c>
      <c r="H1730">
        <v>159</v>
      </c>
      <c r="I1730">
        <v>4</v>
      </c>
      <c r="J1730">
        <v>636</v>
      </c>
    </row>
    <row r="1731" spans="1:10" x14ac:dyDescent="0.35">
      <c r="A1731" s="3" t="s">
        <v>1776</v>
      </c>
      <c r="B1731" s="4">
        <v>43661</v>
      </c>
      <c r="C1731">
        <v>18</v>
      </c>
      <c r="D1731" t="s">
        <v>26</v>
      </c>
      <c r="E1731" t="s">
        <v>36</v>
      </c>
      <c r="F1731" t="s">
        <v>28</v>
      </c>
      <c r="G1731" t="s">
        <v>41</v>
      </c>
      <c r="H1731">
        <v>399</v>
      </c>
      <c r="I1731">
        <v>5</v>
      </c>
      <c r="J1731">
        <v>1995</v>
      </c>
    </row>
    <row r="1732" spans="1:10" x14ac:dyDescent="0.35">
      <c r="A1732" s="3" t="s">
        <v>1777</v>
      </c>
      <c r="B1732" s="4">
        <v>43662</v>
      </c>
      <c r="C1732">
        <v>9</v>
      </c>
      <c r="D1732" t="s">
        <v>21</v>
      </c>
      <c r="E1732" t="s">
        <v>46</v>
      </c>
      <c r="F1732" t="s">
        <v>23</v>
      </c>
      <c r="G1732" t="s">
        <v>41</v>
      </c>
      <c r="H1732">
        <v>399</v>
      </c>
      <c r="I1732">
        <v>0</v>
      </c>
      <c r="J1732">
        <v>0</v>
      </c>
    </row>
    <row r="1733" spans="1:10" x14ac:dyDescent="0.35">
      <c r="A1733" s="3" t="s">
        <v>1778</v>
      </c>
      <c r="B1733" s="4">
        <v>43663</v>
      </c>
      <c r="C1733">
        <v>4</v>
      </c>
      <c r="D1733" t="s">
        <v>51</v>
      </c>
      <c r="E1733" t="s">
        <v>17</v>
      </c>
      <c r="F1733" t="s">
        <v>18</v>
      </c>
      <c r="G1733" t="s">
        <v>41</v>
      </c>
      <c r="H1733">
        <v>399</v>
      </c>
      <c r="I1733">
        <v>8</v>
      </c>
      <c r="J1733">
        <v>3192</v>
      </c>
    </row>
    <row r="1734" spans="1:10" x14ac:dyDescent="0.35">
      <c r="A1734" s="3" t="s">
        <v>1779</v>
      </c>
      <c r="B1734" s="4">
        <v>43663</v>
      </c>
      <c r="C1734">
        <v>5</v>
      </c>
      <c r="D1734" t="s">
        <v>60</v>
      </c>
      <c r="E1734" t="s">
        <v>17</v>
      </c>
      <c r="F1734" t="s">
        <v>18</v>
      </c>
      <c r="G1734" t="s">
        <v>24</v>
      </c>
      <c r="H1734">
        <v>159</v>
      </c>
      <c r="I1734">
        <v>9</v>
      </c>
      <c r="J1734">
        <v>1431</v>
      </c>
    </row>
    <row r="1735" spans="1:10" x14ac:dyDescent="0.35">
      <c r="A1735" s="3" t="s">
        <v>1780</v>
      </c>
      <c r="B1735" s="4">
        <v>43664</v>
      </c>
      <c r="C1735">
        <v>5</v>
      </c>
      <c r="D1735" t="s">
        <v>60</v>
      </c>
      <c r="E1735" t="s">
        <v>17</v>
      </c>
      <c r="F1735" t="s">
        <v>18</v>
      </c>
      <c r="G1735" t="s">
        <v>41</v>
      </c>
      <c r="H1735">
        <v>399</v>
      </c>
      <c r="I1735">
        <v>2</v>
      </c>
      <c r="J1735">
        <v>798</v>
      </c>
    </row>
    <row r="1736" spans="1:10" x14ac:dyDescent="0.35">
      <c r="A1736" s="3" t="s">
        <v>1781</v>
      </c>
      <c r="B1736" s="4">
        <v>43664</v>
      </c>
      <c r="C1736">
        <v>12</v>
      </c>
      <c r="D1736" t="s">
        <v>66</v>
      </c>
      <c r="E1736" t="s">
        <v>63</v>
      </c>
      <c r="F1736" t="s">
        <v>13</v>
      </c>
      <c r="G1736" t="s">
        <v>41</v>
      </c>
      <c r="H1736">
        <v>399</v>
      </c>
      <c r="I1736">
        <v>7</v>
      </c>
      <c r="J1736">
        <v>2793</v>
      </c>
    </row>
    <row r="1737" spans="1:10" x14ac:dyDescent="0.35">
      <c r="A1737" s="3" t="s">
        <v>1782</v>
      </c>
      <c r="B1737" s="4">
        <v>43664</v>
      </c>
      <c r="C1737">
        <v>7</v>
      </c>
      <c r="D1737" t="s">
        <v>88</v>
      </c>
      <c r="E1737" t="s">
        <v>46</v>
      </c>
      <c r="F1737" t="s">
        <v>23</v>
      </c>
      <c r="G1737" t="s">
        <v>19</v>
      </c>
      <c r="H1737">
        <v>289</v>
      </c>
      <c r="I1737">
        <v>7</v>
      </c>
      <c r="J1737">
        <v>2023</v>
      </c>
    </row>
    <row r="1738" spans="1:10" x14ac:dyDescent="0.35">
      <c r="A1738" s="3" t="s">
        <v>1783</v>
      </c>
      <c r="B1738" s="4">
        <v>43664</v>
      </c>
      <c r="C1738">
        <v>1</v>
      </c>
      <c r="D1738" t="s">
        <v>16</v>
      </c>
      <c r="E1738" t="s">
        <v>68</v>
      </c>
      <c r="F1738" t="s">
        <v>18</v>
      </c>
      <c r="G1738" t="s">
        <v>31</v>
      </c>
      <c r="H1738">
        <v>69</v>
      </c>
      <c r="I1738">
        <v>3</v>
      </c>
      <c r="J1738">
        <v>207</v>
      </c>
    </row>
    <row r="1739" spans="1:10" x14ac:dyDescent="0.35">
      <c r="A1739" s="3" t="s">
        <v>1784</v>
      </c>
      <c r="B1739" s="4">
        <v>43665</v>
      </c>
      <c r="C1739">
        <v>18</v>
      </c>
      <c r="D1739" t="s">
        <v>26</v>
      </c>
      <c r="E1739" t="s">
        <v>36</v>
      </c>
      <c r="F1739" t="s">
        <v>28</v>
      </c>
      <c r="G1739" t="s">
        <v>24</v>
      </c>
      <c r="H1739">
        <v>159</v>
      </c>
      <c r="I1739">
        <v>6</v>
      </c>
      <c r="J1739">
        <v>954</v>
      </c>
    </row>
    <row r="1740" spans="1:10" x14ac:dyDescent="0.35">
      <c r="A1740" s="3" t="s">
        <v>1785</v>
      </c>
      <c r="B1740" s="4">
        <v>43666</v>
      </c>
      <c r="C1740">
        <v>3</v>
      </c>
      <c r="D1740" t="s">
        <v>43</v>
      </c>
      <c r="E1740" t="s">
        <v>68</v>
      </c>
      <c r="F1740" t="s">
        <v>18</v>
      </c>
      <c r="G1740" t="s">
        <v>31</v>
      </c>
      <c r="H1740">
        <v>69</v>
      </c>
      <c r="I1740">
        <v>3</v>
      </c>
      <c r="J1740">
        <v>207</v>
      </c>
    </row>
    <row r="1741" spans="1:10" x14ac:dyDescent="0.35">
      <c r="A1741" s="3" t="s">
        <v>1786</v>
      </c>
      <c r="B1741" s="4">
        <v>43666</v>
      </c>
      <c r="C1741">
        <v>2</v>
      </c>
      <c r="D1741" t="s">
        <v>106</v>
      </c>
      <c r="E1741" t="s">
        <v>17</v>
      </c>
      <c r="F1741" t="s">
        <v>18</v>
      </c>
      <c r="G1741" t="s">
        <v>14</v>
      </c>
      <c r="H1741">
        <v>199</v>
      </c>
      <c r="I1741">
        <v>4</v>
      </c>
      <c r="J1741">
        <v>796</v>
      </c>
    </row>
    <row r="1742" spans="1:10" x14ac:dyDescent="0.35">
      <c r="A1742" s="3" t="s">
        <v>1787</v>
      </c>
      <c r="B1742" s="4">
        <v>43666</v>
      </c>
      <c r="C1742">
        <v>17</v>
      </c>
      <c r="D1742" t="s">
        <v>35</v>
      </c>
      <c r="E1742" t="s">
        <v>27</v>
      </c>
      <c r="F1742" t="s">
        <v>28</v>
      </c>
      <c r="G1742" t="s">
        <v>19</v>
      </c>
      <c r="H1742">
        <v>289</v>
      </c>
      <c r="I1742">
        <v>2</v>
      </c>
      <c r="J1742">
        <v>578</v>
      </c>
    </row>
    <row r="1743" spans="1:10" x14ac:dyDescent="0.35">
      <c r="A1743" s="3" t="s">
        <v>1788</v>
      </c>
      <c r="B1743" s="4">
        <v>43667</v>
      </c>
      <c r="C1743">
        <v>14</v>
      </c>
      <c r="D1743" t="s">
        <v>38</v>
      </c>
      <c r="E1743" t="s">
        <v>63</v>
      </c>
      <c r="F1743" t="s">
        <v>13</v>
      </c>
      <c r="G1743" t="s">
        <v>19</v>
      </c>
      <c r="H1743">
        <v>289</v>
      </c>
      <c r="I1743">
        <v>9</v>
      </c>
      <c r="J1743">
        <v>2601</v>
      </c>
    </row>
    <row r="1744" spans="1:10" x14ac:dyDescent="0.35">
      <c r="A1744" s="3" t="s">
        <v>1789</v>
      </c>
      <c r="B1744" s="4">
        <v>43667</v>
      </c>
      <c r="C1744">
        <v>19</v>
      </c>
      <c r="D1744" t="s">
        <v>56</v>
      </c>
      <c r="E1744" t="s">
        <v>36</v>
      </c>
      <c r="F1744" t="s">
        <v>28</v>
      </c>
      <c r="G1744" t="s">
        <v>31</v>
      </c>
      <c r="H1744">
        <v>69</v>
      </c>
      <c r="I1744">
        <v>2</v>
      </c>
      <c r="J1744">
        <v>138</v>
      </c>
    </row>
    <row r="1745" spans="1:10" x14ac:dyDescent="0.35">
      <c r="A1745" s="3" t="s">
        <v>1790</v>
      </c>
      <c r="B1745" s="4">
        <v>43667</v>
      </c>
      <c r="C1745">
        <v>9</v>
      </c>
      <c r="D1745" t="s">
        <v>21</v>
      </c>
      <c r="E1745" t="s">
        <v>22</v>
      </c>
      <c r="F1745" t="s">
        <v>23</v>
      </c>
      <c r="G1745" t="s">
        <v>31</v>
      </c>
      <c r="H1745">
        <v>69</v>
      </c>
      <c r="I1745">
        <v>4</v>
      </c>
      <c r="J1745">
        <v>276</v>
      </c>
    </row>
    <row r="1746" spans="1:10" x14ac:dyDescent="0.35">
      <c r="A1746" s="3" t="s">
        <v>1791</v>
      </c>
      <c r="B1746" s="4">
        <v>43667</v>
      </c>
      <c r="C1746">
        <v>9</v>
      </c>
      <c r="D1746" t="s">
        <v>21</v>
      </c>
      <c r="E1746" t="s">
        <v>46</v>
      </c>
      <c r="F1746" t="s">
        <v>23</v>
      </c>
      <c r="G1746" t="s">
        <v>14</v>
      </c>
      <c r="H1746">
        <v>199</v>
      </c>
      <c r="I1746">
        <v>5</v>
      </c>
      <c r="J1746">
        <v>995</v>
      </c>
    </row>
    <row r="1747" spans="1:10" x14ac:dyDescent="0.35">
      <c r="A1747" s="3" t="s">
        <v>1792</v>
      </c>
      <c r="B1747" s="4">
        <v>43668</v>
      </c>
      <c r="C1747">
        <v>9</v>
      </c>
      <c r="D1747" t="s">
        <v>21</v>
      </c>
      <c r="E1747" t="s">
        <v>46</v>
      </c>
      <c r="F1747" t="s">
        <v>23</v>
      </c>
      <c r="G1747" t="s">
        <v>31</v>
      </c>
      <c r="H1747">
        <v>69</v>
      </c>
      <c r="I1747">
        <v>4</v>
      </c>
      <c r="J1747">
        <v>276</v>
      </c>
    </row>
    <row r="1748" spans="1:10" x14ac:dyDescent="0.35">
      <c r="A1748" s="3" t="s">
        <v>1793</v>
      </c>
      <c r="B1748" s="4">
        <v>43668</v>
      </c>
      <c r="C1748">
        <v>6</v>
      </c>
      <c r="D1748" t="s">
        <v>48</v>
      </c>
      <c r="E1748" t="s">
        <v>46</v>
      </c>
      <c r="F1748" t="s">
        <v>23</v>
      </c>
      <c r="G1748" t="s">
        <v>14</v>
      </c>
      <c r="H1748">
        <v>199</v>
      </c>
      <c r="I1748">
        <v>0</v>
      </c>
      <c r="J1748">
        <v>0</v>
      </c>
    </row>
    <row r="1749" spans="1:10" x14ac:dyDescent="0.35">
      <c r="A1749" s="3" t="s">
        <v>1794</v>
      </c>
      <c r="B1749" s="4">
        <v>43668</v>
      </c>
      <c r="C1749">
        <v>11</v>
      </c>
      <c r="D1749" t="s">
        <v>11</v>
      </c>
      <c r="E1749" t="s">
        <v>63</v>
      </c>
      <c r="F1749" t="s">
        <v>13</v>
      </c>
      <c r="G1749" t="s">
        <v>31</v>
      </c>
      <c r="H1749">
        <v>69</v>
      </c>
      <c r="I1749">
        <v>0</v>
      </c>
      <c r="J1749">
        <v>0</v>
      </c>
    </row>
    <row r="1750" spans="1:10" x14ac:dyDescent="0.35">
      <c r="A1750" s="3" t="s">
        <v>1795</v>
      </c>
      <c r="B1750" s="4">
        <v>43669</v>
      </c>
      <c r="C1750">
        <v>2</v>
      </c>
      <c r="D1750" t="s">
        <v>106</v>
      </c>
      <c r="E1750" t="s">
        <v>68</v>
      </c>
      <c r="F1750" t="s">
        <v>18</v>
      </c>
      <c r="G1750" t="s">
        <v>41</v>
      </c>
      <c r="H1750">
        <v>399</v>
      </c>
      <c r="I1750">
        <v>9</v>
      </c>
      <c r="J1750">
        <v>3591</v>
      </c>
    </row>
    <row r="1751" spans="1:10" x14ac:dyDescent="0.35">
      <c r="A1751" s="3" t="s">
        <v>1796</v>
      </c>
      <c r="B1751" s="4">
        <v>43670</v>
      </c>
      <c r="C1751">
        <v>19</v>
      </c>
      <c r="D1751" t="s">
        <v>56</v>
      </c>
      <c r="E1751" t="s">
        <v>36</v>
      </c>
      <c r="F1751" t="s">
        <v>28</v>
      </c>
      <c r="G1751" t="s">
        <v>31</v>
      </c>
      <c r="H1751">
        <v>69</v>
      </c>
      <c r="I1751">
        <v>1</v>
      </c>
      <c r="J1751">
        <v>69</v>
      </c>
    </row>
    <row r="1752" spans="1:10" x14ac:dyDescent="0.35">
      <c r="A1752" s="3" t="s">
        <v>1797</v>
      </c>
      <c r="B1752" s="4">
        <v>43671</v>
      </c>
      <c r="C1752">
        <v>15</v>
      </c>
      <c r="D1752" t="s">
        <v>118</v>
      </c>
      <c r="E1752" t="s">
        <v>12</v>
      </c>
      <c r="F1752" t="s">
        <v>13</v>
      </c>
      <c r="G1752" t="s">
        <v>31</v>
      </c>
      <c r="H1752">
        <v>69</v>
      </c>
      <c r="I1752">
        <v>4</v>
      </c>
      <c r="J1752">
        <v>276</v>
      </c>
    </row>
    <row r="1753" spans="1:10" x14ac:dyDescent="0.35">
      <c r="A1753" s="3" t="s">
        <v>1798</v>
      </c>
      <c r="B1753" s="4">
        <v>43671</v>
      </c>
      <c r="C1753">
        <v>6</v>
      </c>
      <c r="D1753" t="s">
        <v>48</v>
      </c>
      <c r="E1753" t="s">
        <v>22</v>
      </c>
      <c r="F1753" t="s">
        <v>23</v>
      </c>
      <c r="G1753" t="s">
        <v>19</v>
      </c>
      <c r="H1753">
        <v>289</v>
      </c>
      <c r="I1753">
        <v>7</v>
      </c>
      <c r="J1753">
        <v>2023</v>
      </c>
    </row>
    <row r="1754" spans="1:10" x14ac:dyDescent="0.35">
      <c r="A1754" s="3" t="s">
        <v>1799</v>
      </c>
      <c r="B1754" s="4">
        <v>43671</v>
      </c>
      <c r="C1754">
        <v>12</v>
      </c>
      <c r="D1754" t="s">
        <v>66</v>
      </c>
      <c r="E1754" t="s">
        <v>63</v>
      </c>
      <c r="F1754" t="s">
        <v>13</v>
      </c>
      <c r="G1754" t="s">
        <v>31</v>
      </c>
      <c r="H1754">
        <v>69</v>
      </c>
      <c r="I1754">
        <v>8</v>
      </c>
      <c r="J1754">
        <v>552</v>
      </c>
    </row>
    <row r="1755" spans="1:10" x14ac:dyDescent="0.35">
      <c r="A1755" s="3" t="s">
        <v>1800</v>
      </c>
      <c r="B1755" s="4">
        <v>43671</v>
      </c>
      <c r="C1755">
        <v>2</v>
      </c>
      <c r="D1755" t="s">
        <v>106</v>
      </c>
      <c r="E1755" t="s">
        <v>68</v>
      </c>
      <c r="F1755" t="s">
        <v>18</v>
      </c>
      <c r="G1755" t="s">
        <v>31</v>
      </c>
      <c r="H1755">
        <v>69</v>
      </c>
      <c r="I1755">
        <v>9</v>
      </c>
      <c r="J1755">
        <v>621</v>
      </c>
    </row>
    <row r="1756" spans="1:10" x14ac:dyDescent="0.35">
      <c r="A1756" s="3" t="s">
        <v>1801</v>
      </c>
      <c r="B1756" s="4">
        <v>43671</v>
      </c>
      <c r="C1756">
        <v>15</v>
      </c>
      <c r="D1756" t="s">
        <v>118</v>
      </c>
      <c r="E1756" t="s">
        <v>63</v>
      </c>
      <c r="F1756" t="s">
        <v>13</v>
      </c>
      <c r="G1756" t="s">
        <v>19</v>
      </c>
      <c r="H1756">
        <v>289</v>
      </c>
      <c r="I1756">
        <v>4</v>
      </c>
      <c r="J1756">
        <v>1156</v>
      </c>
    </row>
    <row r="1757" spans="1:10" x14ac:dyDescent="0.35">
      <c r="A1757" s="3" t="s">
        <v>1802</v>
      </c>
      <c r="B1757" s="4">
        <v>43671</v>
      </c>
      <c r="C1757">
        <v>2</v>
      </c>
      <c r="D1757" t="s">
        <v>106</v>
      </c>
      <c r="E1757" t="s">
        <v>17</v>
      </c>
      <c r="F1757" t="s">
        <v>18</v>
      </c>
      <c r="G1757" t="s">
        <v>41</v>
      </c>
      <c r="H1757">
        <v>399</v>
      </c>
      <c r="I1757">
        <v>9</v>
      </c>
      <c r="J1757">
        <v>3591</v>
      </c>
    </row>
    <row r="1758" spans="1:10" x14ac:dyDescent="0.35">
      <c r="A1758" s="3" t="s">
        <v>1803</v>
      </c>
      <c r="B1758" s="4">
        <v>43671</v>
      </c>
      <c r="C1758">
        <v>4</v>
      </c>
      <c r="D1758" t="s">
        <v>51</v>
      </c>
      <c r="E1758" t="s">
        <v>17</v>
      </c>
      <c r="F1758" t="s">
        <v>18</v>
      </c>
      <c r="G1758" t="s">
        <v>19</v>
      </c>
      <c r="H1758">
        <v>289</v>
      </c>
      <c r="I1758">
        <v>2</v>
      </c>
      <c r="J1758">
        <v>578</v>
      </c>
    </row>
    <row r="1759" spans="1:10" x14ac:dyDescent="0.35">
      <c r="A1759" s="3" t="s">
        <v>1804</v>
      </c>
      <c r="B1759" s="4">
        <v>43671</v>
      </c>
      <c r="C1759">
        <v>5</v>
      </c>
      <c r="D1759" t="s">
        <v>60</v>
      </c>
      <c r="E1759" t="s">
        <v>68</v>
      </c>
      <c r="F1759" t="s">
        <v>18</v>
      </c>
      <c r="G1759" t="s">
        <v>31</v>
      </c>
      <c r="H1759">
        <v>69</v>
      </c>
      <c r="I1759">
        <v>9</v>
      </c>
      <c r="J1759">
        <v>621</v>
      </c>
    </row>
    <row r="1760" spans="1:10" x14ac:dyDescent="0.35">
      <c r="A1760" s="3" t="s">
        <v>1805</v>
      </c>
      <c r="B1760" s="4">
        <v>43672</v>
      </c>
      <c r="C1760">
        <v>18</v>
      </c>
      <c r="D1760" t="s">
        <v>26</v>
      </c>
      <c r="E1760" t="s">
        <v>36</v>
      </c>
      <c r="F1760" t="s">
        <v>28</v>
      </c>
      <c r="G1760" t="s">
        <v>24</v>
      </c>
      <c r="H1760">
        <v>159</v>
      </c>
      <c r="I1760">
        <v>5</v>
      </c>
      <c r="J1760">
        <v>795</v>
      </c>
    </row>
    <row r="1761" spans="1:10" x14ac:dyDescent="0.35">
      <c r="A1761" s="3" t="s">
        <v>1806</v>
      </c>
      <c r="B1761" s="4">
        <v>43673</v>
      </c>
      <c r="C1761">
        <v>18</v>
      </c>
      <c r="D1761" t="s">
        <v>26</v>
      </c>
      <c r="E1761" t="s">
        <v>27</v>
      </c>
      <c r="F1761" t="s">
        <v>28</v>
      </c>
      <c r="G1761" t="s">
        <v>14</v>
      </c>
      <c r="H1761">
        <v>199</v>
      </c>
      <c r="I1761">
        <v>0</v>
      </c>
      <c r="J1761">
        <v>0</v>
      </c>
    </row>
    <row r="1762" spans="1:10" x14ac:dyDescent="0.35">
      <c r="A1762" s="3" t="s">
        <v>1807</v>
      </c>
      <c r="B1762" s="4">
        <v>43674</v>
      </c>
      <c r="C1762">
        <v>11</v>
      </c>
      <c r="D1762" t="s">
        <v>11</v>
      </c>
      <c r="E1762" t="s">
        <v>12</v>
      </c>
      <c r="F1762" t="s">
        <v>13</v>
      </c>
      <c r="G1762" t="s">
        <v>14</v>
      </c>
      <c r="H1762">
        <v>199</v>
      </c>
      <c r="I1762">
        <v>4</v>
      </c>
      <c r="J1762">
        <v>796</v>
      </c>
    </row>
    <row r="1763" spans="1:10" x14ac:dyDescent="0.35">
      <c r="A1763" s="3" t="s">
        <v>1808</v>
      </c>
      <c r="B1763" s="4">
        <v>43674</v>
      </c>
      <c r="C1763">
        <v>19</v>
      </c>
      <c r="D1763" t="s">
        <v>56</v>
      </c>
      <c r="E1763" t="s">
        <v>27</v>
      </c>
      <c r="F1763" t="s">
        <v>28</v>
      </c>
      <c r="G1763" t="s">
        <v>31</v>
      </c>
      <c r="H1763">
        <v>69</v>
      </c>
      <c r="I1763">
        <v>8</v>
      </c>
      <c r="J1763">
        <v>552</v>
      </c>
    </row>
    <row r="1764" spans="1:10" x14ac:dyDescent="0.35">
      <c r="A1764" s="3" t="s">
        <v>1809</v>
      </c>
      <c r="B1764" s="4">
        <v>43675</v>
      </c>
      <c r="C1764">
        <v>2</v>
      </c>
      <c r="D1764" t="s">
        <v>106</v>
      </c>
      <c r="E1764" t="s">
        <v>17</v>
      </c>
      <c r="F1764" t="s">
        <v>18</v>
      </c>
      <c r="G1764" t="s">
        <v>14</v>
      </c>
      <c r="H1764">
        <v>199</v>
      </c>
      <c r="I1764">
        <v>7</v>
      </c>
      <c r="J1764">
        <v>1393</v>
      </c>
    </row>
    <row r="1765" spans="1:10" x14ac:dyDescent="0.35">
      <c r="A1765" s="3" t="s">
        <v>1810</v>
      </c>
      <c r="B1765" s="4">
        <v>43675</v>
      </c>
      <c r="C1765">
        <v>9</v>
      </c>
      <c r="D1765" t="s">
        <v>21</v>
      </c>
      <c r="E1765" t="s">
        <v>22</v>
      </c>
      <c r="F1765" t="s">
        <v>23</v>
      </c>
      <c r="G1765" t="s">
        <v>31</v>
      </c>
      <c r="H1765">
        <v>69</v>
      </c>
      <c r="I1765">
        <v>2</v>
      </c>
      <c r="J1765">
        <v>138</v>
      </c>
    </row>
    <row r="1766" spans="1:10" x14ac:dyDescent="0.35">
      <c r="A1766" s="3" t="s">
        <v>1811</v>
      </c>
      <c r="B1766" s="4">
        <v>43676</v>
      </c>
      <c r="C1766">
        <v>9</v>
      </c>
      <c r="D1766" t="s">
        <v>21</v>
      </c>
      <c r="E1766" t="s">
        <v>46</v>
      </c>
      <c r="F1766" t="s">
        <v>23</v>
      </c>
      <c r="G1766" t="s">
        <v>14</v>
      </c>
      <c r="H1766">
        <v>199</v>
      </c>
      <c r="I1766">
        <v>3</v>
      </c>
      <c r="J1766">
        <v>597</v>
      </c>
    </row>
    <row r="1767" spans="1:10" x14ac:dyDescent="0.35">
      <c r="A1767" s="3" t="s">
        <v>1812</v>
      </c>
      <c r="B1767" s="4">
        <v>43677</v>
      </c>
      <c r="C1767">
        <v>13</v>
      </c>
      <c r="D1767" t="s">
        <v>33</v>
      </c>
      <c r="E1767" t="s">
        <v>12</v>
      </c>
      <c r="F1767" t="s">
        <v>13</v>
      </c>
      <c r="G1767" t="s">
        <v>41</v>
      </c>
      <c r="H1767">
        <v>399</v>
      </c>
      <c r="I1767">
        <v>8</v>
      </c>
      <c r="J1767">
        <v>3192</v>
      </c>
    </row>
    <row r="1768" spans="1:10" x14ac:dyDescent="0.35">
      <c r="A1768" s="3" t="s">
        <v>1813</v>
      </c>
      <c r="B1768" s="4">
        <v>43677</v>
      </c>
      <c r="C1768">
        <v>6</v>
      </c>
      <c r="D1768" t="s">
        <v>48</v>
      </c>
      <c r="E1768" t="s">
        <v>22</v>
      </c>
      <c r="F1768" t="s">
        <v>23</v>
      </c>
      <c r="G1768" t="s">
        <v>41</v>
      </c>
      <c r="H1768">
        <v>399</v>
      </c>
      <c r="I1768">
        <v>9</v>
      </c>
      <c r="J1768">
        <v>3591</v>
      </c>
    </row>
    <row r="1769" spans="1:10" x14ac:dyDescent="0.35">
      <c r="A1769" s="3" t="s">
        <v>1814</v>
      </c>
      <c r="B1769" s="4">
        <v>43678</v>
      </c>
      <c r="C1769">
        <v>15</v>
      </c>
      <c r="D1769" t="s">
        <v>118</v>
      </c>
      <c r="E1769" t="s">
        <v>63</v>
      </c>
      <c r="F1769" t="s">
        <v>13</v>
      </c>
      <c r="G1769" t="s">
        <v>24</v>
      </c>
      <c r="H1769">
        <v>159</v>
      </c>
      <c r="I1769">
        <v>1</v>
      </c>
      <c r="J1769">
        <v>159</v>
      </c>
    </row>
    <row r="1770" spans="1:10" x14ac:dyDescent="0.35">
      <c r="A1770" s="3" t="s">
        <v>1815</v>
      </c>
      <c r="B1770" s="4">
        <v>43679</v>
      </c>
      <c r="C1770">
        <v>6</v>
      </c>
      <c r="D1770" t="s">
        <v>48</v>
      </c>
      <c r="E1770" t="s">
        <v>46</v>
      </c>
      <c r="F1770" t="s">
        <v>23</v>
      </c>
      <c r="G1770" t="s">
        <v>41</v>
      </c>
      <c r="H1770">
        <v>399</v>
      </c>
      <c r="I1770">
        <v>2</v>
      </c>
      <c r="J1770">
        <v>798</v>
      </c>
    </row>
    <row r="1771" spans="1:10" x14ac:dyDescent="0.35">
      <c r="A1771" s="3" t="s">
        <v>1816</v>
      </c>
      <c r="B1771" s="4">
        <v>43680</v>
      </c>
      <c r="C1771">
        <v>1</v>
      </c>
      <c r="D1771" t="s">
        <v>16</v>
      </c>
      <c r="E1771" t="s">
        <v>68</v>
      </c>
      <c r="F1771" t="s">
        <v>18</v>
      </c>
      <c r="G1771" t="s">
        <v>24</v>
      </c>
      <c r="H1771">
        <v>159</v>
      </c>
      <c r="I1771">
        <v>8</v>
      </c>
      <c r="J1771">
        <v>1272</v>
      </c>
    </row>
    <row r="1772" spans="1:10" x14ac:dyDescent="0.35">
      <c r="A1772" s="3" t="s">
        <v>1817</v>
      </c>
      <c r="B1772" s="4">
        <v>43680</v>
      </c>
      <c r="C1772">
        <v>4</v>
      </c>
      <c r="D1772" t="s">
        <v>51</v>
      </c>
      <c r="E1772" t="s">
        <v>17</v>
      </c>
      <c r="F1772" t="s">
        <v>18</v>
      </c>
      <c r="G1772" t="s">
        <v>14</v>
      </c>
      <c r="H1772">
        <v>199</v>
      </c>
      <c r="I1772">
        <v>7</v>
      </c>
      <c r="J1772">
        <v>1393</v>
      </c>
    </row>
    <row r="1773" spans="1:10" x14ac:dyDescent="0.35">
      <c r="A1773" s="3" t="s">
        <v>1818</v>
      </c>
      <c r="B1773" s="4">
        <v>43681</v>
      </c>
      <c r="C1773">
        <v>18</v>
      </c>
      <c r="D1773" t="s">
        <v>26</v>
      </c>
      <c r="E1773" t="s">
        <v>36</v>
      </c>
      <c r="F1773" t="s">
        <v>28</v>
      </c>
      <c r="G1773" t="s">
        <v>14</v>
      </c>
      <c r="H1773">
        <v>199</v>
      </c>
      <c r="I1773">
        <v>8</v>
      </c>
      <c r="J1773">
        <v>1592</v>
      </c>
    </row>
    <row r="1774" spans="1:10" x14ac:dyDescent="0.35">
      <c r="A1774" s="3" t="s">
        <v>1819</v>
      </c>
      <c r="B1774" s="4">
        <v>43681</v>
      </c>
      <c r="C1774">
        <v>5</v>
      </c>
      <c r="D1774" t="s">
        <v>60</v>
      </c>
      <c r="E1774" t="s">
        <v>17</v>
      </c>
      <c r="F1774" t="s">
        <v>18</v>
      </c>
      <c r="G1774" t="s">
        <v>14</v>
      </c>
      <c r="H1774">
        <v>199</v>
      </c>
      <c r="I1774">
        <v>2</v>
      </c>
      <c r="J1774">
        <v>398</v>
      </c>
    </row>
    <row r="1775" spans="1:10" x14ac:dyDescent="0.35">
      <c r="A1775" s="3" t="s">
        <v>1820</v>
      </c>
      <c r="B1775" s="4">
        <v>43681</v>
      </c>
      <c r="C1775">
        <v>8</v>
      </c>
      <c r="D1775" t="s">
        <v>45</v>
      </c>
      <c r="E1775" t="s">
        <v>46</v>
      </c>
      <c r="F1775" t="s">
        <v>23</v>
      </c>
      <c r="G1775" t="s">
        <v>14</v>
      </c>
      <c r="H1775">
        <v>199</v>
      </c>
      <c r="I1775">
        <v>1</v>
      </c>
      <c r="J1775">
        <v>199</v>
      </c>
    </row>
    <row r="1776" spans="1:10" x14ac:dyDescent="0.35">
      <c r="A1776" s="3" t="s">
        <v>1821</v>
      </c>
      <c r="B1776" s="4">
        <v>43681</v>
      </c>
      <c r="C1776">
        <v>7</v>
      </c>
      <c r="D1776" t="s">
        <v>88</v>
      </c>
      <c r="E1776" t="s">
        <v>46</v>
      </c>
      <c r="F1776" t="s">
        <v>23</v>
      </c>
      <c r="G1776" t="s">
        <v>31</v>
      </c>
      <c r="H1776">
        <v>69</v>
      </c>
      <c r="I1776">
        <v>9</v>
      </c>
      <c r="J1776">
        <v>621</v>
      </c>
    </row>
    <row r="1777" spans="1:10" x14ac:dyDescent="0.35">
      <c r="A1777" s="3" t="s">
        <v>1822</v>
      </c>
      <c r="B1777" s="4">
        <v>43682</v>
      </c>
      <c r="C1777">
        <v>2</v>
      </c>
      <c r="D1777" t="s">
        <v>106</v>
      </c>
      <c r="E1777" t="s">
        <v>17</v>
      </c>
      <c r="F1777" t="s">
        <v>18</v>
      </c>
      <c r="G1777" t="s">
        <v>19</v>
      </c>
      <c r="H1777">
        <v>289</v>
      </c>
      <c r="I1777">
        <v>8</v>
      </c>
      <c r="J1777">
        <v>2312</v>
      </c>
    </row>
    <row r="1778" spans="1:10" x14ac:dyDescent="0.35">
      <c r="A1778" s="3" t="s">
        <v>1823</v>
      </c>
      <c r="B1778" s="4">
        <v>43683</v>
      </c>
      <c r="C1778">
        <v>7</v>
      </c>
      <c r="D1778" t="s">
        <v>88</v>
      </c>
      <c r="E1778" t="s">
        <v>22</v>
      </c>
      <c r="F1778" t="s">
        <v>23</v>
      </c>
      <c r="G1778" t="s">
        <v>41</v>
      </c>
      <c r="H1778">
        <v>399</v>
      </c>
      <c r="I1778">
        <v>6</v>
      </c>
      <c r="J1778">
        <v>2394</v>
      </c>
    </row>
    <row r="1779" spans="1:10" x14ac:dyDescent="0.35">
      <c r="A1779" s="3" t="s">
        <v>1824</v>
      </c>
      <c r="B1779" s="4">
        <v>43684</v>
      </c>
      <c r="C1779">
        <v>2</v>
      </c>
      <c r="D1779" t="s">
        <v>106</v>
      </c>
      <c r="E1779" t="s">
        <v>17</v>
      </c>
      <c r="F1779" t="s">
        <v>18</v>
      </c>
      <c r="G1779" t="s">
        <v>24</v>
      </c>
      <c r="H1779">
        <v>159</v>
      </c>
      <c r="I1779">
        <v>6</v>
      </c>
      <c r="J1779">
        <v>954</v>
      </c>
    </row>
    <row r="1780" spans="1:10" x14ac:dyDescent="0.35">
      <c r="A1780" s="3" t="s">
        <v>1825</v>
      </c>
      <c r="B1780" s="4">
        <v>43684</v>
      </c>
      <c r="C1780">
        <v>10</v>
      </c>
      <c r="D1780" t="s">
        <v>58</v>
      </c>
      <c r="E1780" t="s">
        <v>22</v>
      </c>
      <c r="F1780" t="s">
        <v>23</v>
      </c>
      <c r="G1780" t="s">
        <v>24</v>
      </c>
      <c r="H1780">
        <v>159</v>
      </c>
      <c r="I1780">
        <v>3</v>
      </c>
      <c r="J1780">
        <v>477</v>
      </c>
    </row>
    <row r="1781" spans="1:10" x14ac:dyDescent="0.35">
      <c r="A1781" s="3" t="s">
        <v>1826</v>
      </c>
      <c r="B1781" s="4">
        <v>43684</v>
      </c>
      <c r="C1781">
        <v>18</v>
      </c>
      <c r="D1781" t="s">
        <v>26</v>
      </c>
      <c r="E1781" t="s">
        <v>36</v>
      </c>
      <c r="F1781" t="s">
        <v>28</v>
      </c>
      <c r="G1781" t="s">
        <v>19</v>
      </c>
      <c r="H1781">
        <v>289</v>
      </c>
      <c r="I1781">
        <v>0</v>
      </c>
      <c r="J1781">
        <v>0</v>
      </c>
    </row>
    <row r="1782" spans="1:10" x14ac:dyDescent="0.35">
      <c r="A1782" s="3" t="s">
        <v>1827</v>
      </c>
      <c r="B1782" s="4">
        <v>43684</v>
      </c>
      <c r="C1782">
        <v>19</v>
      </c>
      <c r="D1782" t="s">
        <v>56</v>
      </c>
      <c r="E1782" t="s">
        <v>27</v>
      </c>
      <c r="F1782" t="s">
        <v>28</v>
      </c>
      <c r="G1782" t="s">
        <v>19</v>
      </c>
      <c r="H1782">
        <v>289</v>
      </c>
      <c r="I1782">
        <v>8</v>
      </c>
      <c r="J1782">
        <v>2312</v>
      </c>
    </row>
    <row r="1783" spans="1:10" x14ac:dyDescent="0.35">
      <c r="A1783" s="3" t="s">
        <v>1828</v>
      </c>
      <c r="B1783" s="4">
        <v>43685</v>
      </c>
      <c r="C1783">
        <v>13</v>
      </c>
      <c r="D1783" t="s">
        <v>33</v>
      </c>
      <c r="E1783" t="s">
        <v>12</v>
      </c>
      <c r="F1783" t="s">
        <v>13</v>
      </c>
      <c r="G1783" t="s">
        <v>14</v>
      </c>
      <c r="H1783">
        <v>199</v>
      </c>
      <c r="I1783">
        <v>3</v>
      </c>
      <c r="J1783">
        <v>597</v>
      </c>
    </row>
    <row r="1784" spans="1:10" x14ac:dyDescent="0.35">
      <c r="A1784" s="3" t="s">
        <v>1829</v>
      </c>
      <c r="B1784" s="4">
        <v>43685</v>
      </c>
      <c r="C1784">
        <v>5</v>
      </c>
      <c r="D1784" t="s">
        <v>60</v>
      </c>
      <c r="E1784" t="s">
        <v>17</v>
      </c>
      <c r="F1784" t="s">
        <v>18</v>
      </c>
      <c r="G1784" t="s">
        <v>41</v>
      </c>
      <c r="H1784">
        <v>399</v>
      </c>
      <c r="I1784">
        <v>1</v>
      </c>
      <c r="J1784">
        <v>399</v>
      </c>
    </row>
    <row r="1785" spans="1:10" x14ac:dyDescent="0.35">
      <c r="A1785" s="3" t="s">
        <v>1830</v>
      </c>
      <c r="B1785" s="4">
        <v>43685</v>
      </c>
      <c r="C1785">
        <v>14</v>
      </c>
      <c r="D1785" t="s">
        <v>38</v>
      </c>
      <c r="E1785" t="s">
        <v>12</v>
      </c>
      <c r="F1785" t="s">
        <v>13</v>
      </c>
      <c r="G1785" t="s">
        <v>24</v>
      </c>
      <c r="H1785">
        <v>159</v>
      </c>
      <c r="I1785">
        <v>1</v>
      </c>
      <c r="J1785">
        <v>159</v>
      </c>
    </row>
    <row r="1786" spans="1:10" x14ac:dyDescent="0.35">
      <c r="A1786" s="3" t="s">
        <v>1831</v>
      </c>
      <c r="B1786" s="4">
        <v>43685</v>
      </c>
      <c r="C1786">
        <v>9</v>
      </c>
      <c r="D1786" t="s">
        <v>21</v>
      </c>
      <c r="E1786" t="s">
        <v>46</v>
      </c>
      <c r="F1786" t="s">
        <v>23</v>
      </c>
      <c r="G1786" t="s">
        <v>31</v>
      </c>
      <c r="H1786">
        <v>69</v>
      </c>
      <c r="I1786">
        <v>0</v>
      </c>
      <c r="J1786">
        <v>0</v>
      </c>
    </row>
    <row r="1787" spans="1:10" x14ac:dyDescent="0.35">
      <c r="A1787" s="3" t="s">
        <v>1832</v>
      </c>
      <c r="B1787" s="4">
        <v>43685</v>
      </c>
      <c r="C1787">
        <v>15</v>
      </c>
      <c r="D1787" t="s">
        <v>118</v>
      </c>
      <c r="E1787" t="s">
        <v>12</v>
      </c>
      <c r="F1787" t="s">
        <v>13</v>
      </c>
      <c r="G1787" t="s">
        <v>41</v>
      </c>
      <c r="H1787">
        <v>399</v>
      </c>
      <c r="I1787">
        <v>2</v>
      </c>
      <c r="J1787">
        <v>798</v>
      </c>
    </row>
    <row r="1788" spans="1:10" x14ac:dyDescent="0.35">
      <c r="A1788" s="3" t="s">
        <v>1833</v>
      </c>
      <c r="B1788" s="4">
        <v>43686</v>
      </c>
      <c r="C1788">
        <v>15</v>
      </c>
      <c r="D1788" t="s">
        <v>118</v>
      </c>
      <c r="E1788" t="s">
        <v>63</v>
      </c>
      <c r="F1788" t="s">
        <v>13</v>
      </c>
      <c r="G1788" t="s">
        <v>19</v>
      </c>
      <c r="H1788">
        <v>289</v>
      </c>
      <c r="I1788">
        <v>8</v>
      </c>
      <c r="J1788">
        <v>2312</v>
      </c>
    </row>
    <row r="1789" spans="1:10" x14ac:dyDescent="0.35">
      <c r="A1789" s="3" t="s">
        <v>1834</v>
      </c>
      <c r="B1789" s="4">
        <v>43686</v>
      </c>
      <c r="C1789">
        <v>11</v>
      </c>
      <c r="D1789" t="s">
        <v>11</v>
      </c>
      <c r="E1789" t="s">
        <v>63</v>
      </c>
      <c r="F1789" t="s">
        <v>13</v>
      </c>
      <c r="G1789" t="s">
        <v>41</v>
      </c>
      <c r="H1789">
        <v>399</v>
      </c>
      <c r="I1789">
        <v>5</v>
      </c>
      <c r="J1789">
        <v>1995</v>
      </c>
    </row>
    <row r="1790" spans="1:10" x14ac:dyDescent="0.35">
      <c r="A1790" s="3" t="s">
        <v>1835</v>
      </c>
      <c r="B1790" s="4">
        <v>43687</v>
      </c>
      <c r="C1790">
        <v>4</v>
      </c>
      <c r="D1790" t="s">
        <v>51</v>
      </c>
      <c r="E1790" t="s">
        <v>68</v>
      </c>
      <c r="F1790" t="s">
        <v>18</v>
      </c>
      <c r="G1790" t="s">
        <v>14</v>
      </c>
      <c r="H1790">
        <v>199</v>
      </c>
      <c r="I1790">
        <v>9</v>
      </c>
      <c r="J1790">
        <v>1791</v>
      </c>
    </row>
    <row r="1791" spans="1:10" x14ac:dyDescent="0.35">
      <c r="A1791" s="3" t="s">
        <v>1836</v>
      </c>
      <c r="B1791" s="4">
        <v>43687</v>
      </c>
      <c r="C1791">
        <v>14</v>
      </c>
      <c r="D1791" t="s">
        <v>38</v>
      </c>
      <c r="E1791" t="s">
        <v>63</v>
      </c>
      <c r="F1791" t="s">
        <v>13</v>
      </c>
      <c r="G1791" t="s">
        <v>24</v>
      </c>
      <c r="H1791">
        <v>159</v>
      </c>
      <c r="I1791">
        <v>8</v>
      </c>
      <c r="J1791">
        <v>1272</v>
      </c>
    </row>
    <row r="1792" spans="1:10" x14ac:dyDescent="0.35">
      <c r="A1792" s="3" t="s">
        <v>1837</v>
      </c>
      <c r="B1792" s="4">
        <v>43688</v>
      </c>
      <c r="C1792">
        <v>17</v>
      </c>
      <c r="D1792" t="s">
        <v>35</v>
      </c>
      <c r="E1792" t="s">
        <v>27</v>
      </c>
      <c r="F1792" t="s">
        <v>28</v>
      </c>
      <c r="G1792" t="s">
        <v>41</v>
      </c>
      <c r="H1792">
        <v>399</v>
      </c>
      <c r="I1792">
        <v>8</v>
      </c>
      <c r="J1792">
        <v>3192</v>
      </c>
    </row>
    <row r="1793" spans="1:10" x14ac:dyDescent="0.35">
      <c r="A1793" s="3" t="s">
        <v>1838</v>
      </c>
      <c r="B1793" s="4">
        <v>43688</v>
      </c>
      <c r="C1793">
        <v>3</v>
      </c>
      <c r="D1793" t="s">
        <v>43</v>
      </c>
      <c r="E1793" t="s">
        <v>17</v>
      </c>
      <c r="F1793" t="s">
        <v>18</v>
      </c>
      <c r="G1793" t="s">
        <v>41</v>
      </c>
      <c r="H1793">
        <v>399</v>
      </c>
      <c r="I1793">
        <v>2</v>
      </c>
      <c r="J1793">
        <v>798</v>
      </c>
    </row>
    <row r="1794" spans="1:10" x14ac:dyDescent="0.35">
      <c r="A1794" s="3" t="s">
        <v>1839</v>
      </c>
      <c r="B1794" s="4">
        <v>43688</v>
      </c>
      <c r="C1794">
        <v>17</v>
      </c>
      <c r="D1794" t="s">
        <v>35</v>
      </c>
      <c r="E1794" t="s">
        <v>36</v>
      </c>
      <c r="F1794" t="s">
        <v>28</v>
      </c>
      <c r="G1794" t="s">
        <v>31</v>
      </c>
      <c r="H1794">
        <v>69</v>
      </c>
      <c r="I1794">
        <v>0</v>
      </c>
      <c r="J1794">
        <v>0</v>
      </c>
    </row>
    <row r="1795" spans="1:10" x14ac:dyDescent="0.35">
      <c r="A1795" s="3" t="s">
        <v>1840</v>
      </c>
      <c r="B1795" s="4">
        <v>43688</v>
      </c>
      <c r="C1795">
        <v>2</v>
      </c>
      <c r="D1795" t="s">
        <v>106</v>
      </c>
      <c r="E1795" t="s">
        <v>68</v>
      </c>
      <c r="F1795" t="s">
        <v>18</v>
      </c>
      <c r="G1795" t="s">
        <v>31</v>
      </c>
      <c r="H1795">
        <v>69</v>
      </c>
      <c r="I1795">
        <v>9</v>
      </c>
      <c r="J1795">
        <v>621</v>
      </c>
    </row>
    <row r="1796" spans="1:10" x14ac:dyDescent="0.35">
      <c r="A1796" s="3" t="s">
        <v>1841</v>
      </c>
      <c r="B1796" s="4">
        <v>43688</v>
      </c>
      <c r="C1796">
        <v>7</v>
      </c>
      <c r="D1796" t="s">
        <v>88</v>
      </c>
      <c r="E1796" t="s">
        <v>46</v>
      </c>
      <c r="F1796" t="s">
        <v>23</v>
      </c>
      <c r="G1796" t="s">
        <v>31</v>
      </c>
      <c r="H1796">
        <v>69</v>
      </c>
      <c r="I1796">
        <v>5</v>
      </c>
      <c r="J1796">
        <v>345</v>
      </c>
    </row>
    <row r="1797" spans="1:10" x14ac:dyDescent="0.35">
      <c r="A1797" s="3" t="s">
        <v>1842</v>
      </c>
      <c r="B1797" s="4">
        <v>43689</v>
      </c>
      <c r="C1797">
        <v>2</v>
      </c>
      <c r="D1797" t="s">
        <v>106</v>
      </c>
      <c r="E1797" t="s">
        <v>68</v>
      </c>
      <c r="F1797" t="s">
        <v>18</v>
      </c>
      <c r="G1797" t="s">
        <v>19</v>
      </c>
      <c r="H1797">
        <v>289</v>
      </c>
      <c r="I1797">
        <v>5</v>
      </c>
      <c r="J1797">
        <v>1445</v>
      </c>
    </row>
    <row r="1798" spans="1:10" x14ac:dyDescent="0.35">
      <c r="A1798" s="3" t="s">
        <v>1843</v>
      </c>
      <c r="B1798" s="4">
        <v>43689</v>
      </c>
      <c r="C1798">
        <v>10</v>
      </c>
      <c r="D1798" t="s">
        <v>58</v>
      </c>
      <c r="E1798" t="s">
        <v>22</v>
      </c>
      <c r="F1798" t="s">
        <v>23</v>
      </c>
      <c r="G1798" t="s">
        <v>14</v>
      </c>
      <c r="H1798">
        <v>199</v>
      </c>
      <c r="I1798">
        <v>2</v>
      </c>
      <c r="J1798">
        <v>398</v>
      </c>
    </row>
    <row r="1799" spans="1:10" x14ac:dyDescent="0.35">
      <c r="A1799" s="3" t="s">
        <v>1844</v>
      </c>
      <c r="B1799" s="4">
        <v>43689</v>
      </c>
      <c r="C1799">
        <v>13</v>
      </c>
      <c r="D1799" t="s">
        <v>33</v>
      </c>
      <c r="E1799" t="s">
        <v>63</v>
      </c>
      <c r="F1799" t="s">
        <v>13</v>
      </c>
      <c r="G1799" t="s">
        <v>19</v>
      </c>
      <c r="H1799">
        <v>289</v>
      </c>
      <c r="I1799">
        <v>4</v>
      </c>
      <c r="J1799">
        <v>1156</v>
      </c>
    </row>
    <row r="1800" spans="1:10" x14ac:dyDescent="0.35">
      <c r="A1800" s="3" t="s">
        <v>1845</v>
      </c>
      <c r="B1800" s="4">
        <v>43689</v>
      </c>
      <c r="C1800">
        <v>15</v>
      </c>
      <c r="D1800" t="s">
        <v>118</v>
      </c>
      <c r="E1800" t="s">
        <v>12</v>
      </c>
      <c r="F1800" t="s">
        <v>13</v>
      </c>
      <c r="G1800" t="s">
        <v>41</v>
      </c>
      <c r="H1800">
        <v>399</v>
      </c>
      <c r="I1800">
        <v>4</v>
      </c>
      <c r="J1800">
        <v>1596</v>
      </c>
    </row>
    <row r="1801" spans="1:10" x14ac:dyDescent="0.35">
      <c r="A1801" s="3" t="s">
        <v>1846</v>
      </c>
      <c r="B1801" s="4">
        <v>43689</v>
      </c>
      <c r="C1801">
        <v>9</v>
      </c>
      <c r="D1801" t="s">
        <v>21</v>
      </c>
      <c r="E1801" t="s">
        <v>22</v>
      </c>
      <c r="F1801" t="s">
        <v>23</v>
      </c>
      <c r="G1801" t="s">
        <v>14</v>
      </c>
      <c r="H1801">
        <v>199</v>
      </c>
      <c r="I1801">
        <v>8</v>
      </c>
      <c r="J1801">
        <v>1592</v>
      </c>
    </row>
    <row r="1802" spans="1:10" x14ac:dyDescent="0.35">
      <c r="A1802" s="3" t="s">
        <v>1847</v>
      </c>
      <c r="B1802" s="4">
        <v>43689</v>
      </c>
      <c r="C1802">
        <v>17</v>
      </c>
      <c r="D1802" t="s">
        <v>35</v>
      </c>
      <c r="E1802" t="s">
        <v>36</v>
      </c>
      <c r="F1802" t="s">
        <v>28</v>
      </c>
      <c r="G1802" t="s">
        <v>41</v>
      </c>
      <c r="H1802">
        <v>399</v>
      </c>
      <c r="I1802">
        <v>1</v>
      </c>
      <c r="J1802">
        <v>399</v>
      </c>
    </row>
    <row r="1803" spans="1:10" x14ac:dyDescent="0.35">
      <c r="A1803" s="3" t="s">
        <v>1848</v>
      </c>
      <c r="B1803" s="4">
        <v>43689</v>
      </c>
      <c r="C1803">
        <v>6</v>
      </c>
      <c r="D1803" t="s">
        <v>48</v>
      </c>
      <c r="E1803" t="s">
        <v>46</v>
      </c>
      <c r="F1803" t="s">
        <v>23</v>
      </c>
      <c r="G1803" t="s">
        <v>14</v>
      </c>
      <c r="H1803">
        <v>199</v>
      </c>
      <c r="I1803">
        <v>6</v>
      </c>
      <c r="J1803">
        <v>1194</v>
      </c>
    </row>
    <row r="1804" spans="1:10" x14ac:dyDescent="0.35">
      <c r="A1804" s="3" t="s">
        <v>1849</v>
      </c>
      <c r="B1804" s="4">
        <v>43689</v>
      </c>
      <c r="C1804">
        <v>18</v>
      </c>
      <c r="D1804" t="s">
        <v>26</v>
      </c>
      <c r="E1804" t="s">
        <v>27</v>
      </c>
      <c r="F1804" t="s">
        <v>28</v>
      </c>
      <c r="G1804" t="s">
        <v>41</v>
      </c>
      <c r="H1804">
        <v>399</v>
      </c>
      <c r="I1804">
        <v>5</v>
      </c>
      <c r="J1804">
        <v>1995</v>
      </c>
    </row>
    <row r="1805" spans="1:10" x14ac:dyDescent="0.35">
      <c r="A1805" s="3" t="s">
        <v>1850</v>
      </c>
      <c r="B1805" s="4">
        <v>43689</v>
      </c>
      <c r="C1805">
        <v>8</v>
      </c>
      <c r="D1805" t="s">
        <v>45</v>
      </c>
      <c r="E1805" t="s">
        <v>46</v>
      </c>
      <c r="F1805" t="s">
        <v>23</v>
      </c>
      <c r="G1805" t="s">
        <v>14</v>
      </c>
      <c r="H1805">
        <v>199</v>
      </c>
      <c r="I1805">
        <v>6</v>
      </c>
      <c r="J1805">
        <v>1194</v>
      </c>
    </row>
    <row r="1806" spans="1:10" x14ac:dyDescent="0.35">
      <c r="A1806" s="3" t="s">
        <v>1851</v>
      </c>
      <c r="B1806" s="4">
        <v>43689</v>
      </c>
      <c r="C1806">
        <v>13</v>
      </c>
      <c r="D1806" t="s">
        <v>33</v>
      </c>
      <c r="E1806" t="s">
        <v>63</v>
      </c>
      <c r="F1806" t="s">
        <v>13</v>
      </c>
      <c r="G1806" t="s">
        <v>24</v>
      </c>
      <c r="H1806">
        <v>159</v>
      </c>
      <c r="I1806">
        <v>3</v>
      </c>
      <c r="J1806">
        <v>477</v>
      </c>
    </row>
    <row r="1807" spans="1:10" x14ac:dyDescent="0.35">
      <c r="A1807" s="3" t="s">
        <v>1852</v>
      </c>
      <c r="B1807" s="4">
        <v>43689</v>
      </c>
      <c r="C1807">
        <v>17</v>
      </c>
      <c r="D1807" t="s">
        <v>35</v>
      </c>
      <c r="E1807" t="s">
        <v>36</v>
      </c>
      <c r="F1807" t="s">
        <v>28</v>
      </c>
      <c r="G1807" t="s">
        <v>31</v>
      </c>
      <c r="H1807">
        <v>69</v>
      </c>
      <c r="I1807">
        <v>7</v>
      </c>
      <c r="J1807">
        <v>483</v>
      </c>
    </row>
    <row r="1808" spans="1:10" x14ac:dyDescent="0.35">
      <c r="A1808" s="3" t="s">
        <v>1853</v>
      </c>
      <c r="B1808" s="4">
        <v>43689</v>
      </c>
      <c r="C1808">
        <v>4</v>
      </c>
      <c r="D1808" t="s">
        <v>51</v>
      </c>
      <c r="E1808" t="s">
        <v>68</v>
      </c>
      <c r="F1808" t="s">
        <v>18</v>
      </c>
      <c r="G1808" t="s">
        <v>31</v>
      </c>
      <c r="H1808">
        <v>69</v>
      </c>
      <c r="I1808">
        <v>3</v>
      </c>
      <c r="J1808">
        <v>207</v>
      </c>
    </row>
    <row r="1809" spans="1:10" x14ac:dyDescent="0.35">
      <c r="A1809" s="3" t="s">
        <v>1854</v>
      </c>
      <c r="B1809" s="4">
        <v>43690</v>
      </c>
      <c r="C1809">
        <v>9</v>
      </c>
      <c r="D1809" t="s">
        <v>21</v>
      </c>
      <c r="E1809" t="s">
        <v>46</v>
      </c>
      <c r="F1809" t="s">
        <v>23</v>
      </c>
      <c r="G1809" t="s">
        <v>14</v>
      </c>
      <c r="H1809">
        <v>199</v>
      </c>
      <c r="I1809">
        <v>3</v>
      </c>
      <c r="J1809">
        <v>597</v>
      </c>
    </row>
    <row r="1810" spans="1:10" x14ac:dyDescent="0.35">
      <c r="A1810" s="3" t="s">
        <v>1855</v>
      </c>
      <c r="B1810" s="4">
        <v>43691</v>
      </c>
      <c r="C1810">
        <v>8</v>
      </c>
      <c r="D1810" t="s">
        <v>45</v>
      </c>
      <c r="E1810" t="s">
        <v>22</v>
      </c>
      <c r="F1810" t="s">
        <v>23</v>
      </c>
      <c r="G1810" t="s">
        <v>31</v>
      </c>
      <c r="H1810">
        <v>69</v>
      </c>
      <c r="I1810">
        <v>5</v>
      </c>
      <c r="J1810">
        <v>345</v>
      </c>
    </row>
    <row r="1811" spans="1:10" x14ac:dyDescent="0.35">
      <c r="A1811" s="3" t="s">
        <v>1856</v>
      </c>
      <c r="B1811" s="4">
        <v>43691</v>
      </c>
      <c r="C1811">
        <v>3</v>
      </c>
      <c r="D1811" t="s">
        <v>43</v>
      </c>
      <c r="E1811" t="s">
        <v>68</v>
      </c>
      <c r="F1811" t="s">
        <v>18</v>
      </c>
      <c r="G1811" t="s">
        <v>19</v>
      </c>
      <c r="H1811">
        <v>289</v>
      </c>
      <c r="I1811">
        <v>3</v>
      </c>
      <c r="J1811">
        <v>867</v>
      </c>
    </row>
    <row r="1812" spans="1:10" x14ac:dyDescent="0.35">
      <c r="A1812" s="3" t="s">
        <v>1857</v>
      </c>
      <c r="B1812" s="4">
        <v>43692</v>
      </c>
      <c r="C1812">
        <v>15</v>
      </c>
      <c r="D1812" t="s">
        <v>118</v>
      </c>
      <c r="E1812" t="s">
        <v>63</v>
      </c>
      <c r="F1812" t="s">
        <v>13</v>
      </c>
      <c r="G1812" t="s">
        <v>31</v>
      </c>
      <c r="H1812">
        <v>69</v>
      </c>
      <c r="I1812">
        <v>4</v>
      </c>
      <c r="J1812">
        <v>276</v>
      </c>
    </row>
    <row r="1813" spans="1:10" x14ac:dyDescent="0.35">
      <c r="A1813" s="3" t="s">
        <v>1858</v>
      </c>
      <c r="B1813" s="4">
        <v>43692</v>
      </c>
      <c r="C1813">
        <v>11</v>
      </c>
      <c r="D1813" t="s">
        <v>11</v>
      </c>
      <c r="E1813" t="s">
        <v>63</v>
      </c>
      <c r="F1813" t="s">
        <v>13</v>
      </c>
      <c r="G1813" t="s">
        <v>31</v>
      </c>
      <c r="H1813">
        <v>69</v>
      </c>
      <c r="I1813">
        <v>8</v>
      </c>
      <c r="J1813">
        <v>552</v>
      </c>
    </row>
    <row r="1814" spans="1:10" x14ac:dyDescent="0.35">
      <c r="A1814" s="3" t="s">
        <v>1859</v>
      </c>
      <c r="B1814" s="4">
        <v>43692</v>
      </c>
      <c r="C1814">
        <v>6</v>
      </c>
      <c r="D1814" t="s">
        <v>48</v>
      </c>
      <c r="E1814" t="s">
        <v>22</v>
      </c>
      <c r="F1814" t="s">
        <v>23</v>
      </c>
      <c r="G1814" t="s">
        <v>24</v>
      </c>
      <c r="H1814">
        <v>159</v>
      </c>
      <c r="I1814">
        <v>6</v>
      </c>
      <c r="J1814">
        <v>954</v>
      </c>
    </row>
    <row r="1815" spans="1:10" x14ac:dyDescent="0.35">
      <c r="A1815" s="3" t="s">
        <v>1860</v>
      </c>
      <c r="B1815" s="4">
        <v>43692</v>
      </c>
      <c r="C1815">
        <v>9</v>
      </c>
      <c r="D1815" t="s">
        <v>21</v>
      </c>
      <c r="E1815" t="s">
        <v>22</v>
      </c>
      <c r="F1815" t="s">
        <v>23</v>
      </c>
      <c r="G1815" t="s">
        <v>24</v>
      </c>
      <c r="H1815">
        <v>159</v>
      </c>
      <c r="I1815">
        <v>6</v>
      </c>
      <c r="J1815">
        <v>954</v>
      </c>
    </row>
    <row r="1816" spans="1:10" x14ac:dyDescent="0.35">
      <c r="A1816" s="3" t="s">
        <v>1861</v>
      </c>
      <c r="B1816" s="4">
        <v>43693</v>
      </c>
      <c r="C1816">
        <v>5</v>
      </c>
      <c r="D1816" t="s">
        <v>60</v>
      </c>
      <c r="E1816" t="s">
        <v>68</v>
      </c>
      <c r="F1816" t="s">
        <v>18</v>
      </c>
      <c r="G1816" t="s">
        <v>14</v>
      </c>
      <c r="H1816">
        <v>199</v>
      </c>
      <c r="I1816">
        <v>2</v>
      </c>
      <c r="J1816">
        <v>398</v>
      </c>
    </row>
    <row r="1817" spans="1:10" x14ac:dyDescent="0.35">
      <c r="A1817" s="3" t="s">
        <v>1862</v>
      </c>
      <c r="B1817" s="4">
        <v>43694</v>
      </c>
      <c r="C1817">
        <v>10</v>
      </c>
      <c r="D1817" t="s">
        <v>58</v>
      </c>
      <c r="E1817" t="s">
        <v>22</v>
      </c>
      <c r="F1817" t="s">
        <v>23</v>
      </c>
      <c r="G1817" t="s">
        <v>24</v>
      </c>
      <c r="H1817">
        <v>159</v>
      </c>
      <c r="I1817">
        <v>9</v>
      </c>
      <c r="J1817">
        <v>1431</v>
      </c>
    </row>
    <row r="1818" spans="1:10" x14ac:dyDescent="0.35">
      <c r="A1818" s="3" t="s">
        <v>1863</v>
      </c>
      <c r="B1818" s="4">
        <v>43694</v>
      </c>
      <c r="C1818">
        <v>8</v>
      </c>
      <c r="D1818" t="s">
        <v>45</v>
      </c>
      <c r="E1818" t="s">
        <v>46</v>
      </c>
      <c r="F1818" t="s">
        <v>23</v>
      </c>
      <c r="G1818" t="s">
        <v>31</v>
      </c>
      <c r="H1818">
        <v>69</v>
      </c>
      <c r="I1818">
        <v>8</v>
      </c>
      <c r="J1818">
        <v>552</v>
      </c>
    </row>
    <row r="1819" spans="1:10" x14ac:dyDescent="0.35">
      <c r="A1819" s="3" t="s">
        <v>1864</v>
      </c>
      <c r="B1819" s="4">
        <v>43694</v>
      </c>
      <c r="C1819">
        <v>5</v>
      </c>
      <c r="D1819" t="s">
        <v>60</v>
      </c>
      <c r="E1819" t="s">
        <v>17</v>
      </c>
      <c r="F1819" t="s">
        <v>18</v>
      </c>
      <c r="G1819" t="s">
        <v>14</v>
      </c>
      <c r="H1819">
        <v>199</v>
      </c>
      <c r="I1819">
        <v>4</v>
      </c>
      <c r="J1819">
        <v>796</v>
      </c>
    </row>
    <row r="1820" spans="1:10" x14ac:dyDescent="0.35">
      <c r="A1820" s="3" t="s">
        <v>1865</v>
      </c>
      <c r="B1820" s="4">
        <v>43694</v>
      </c>
      <c r="C1820">
        <v>9</v>
      </c>
      <c r="D1820" t="s">
        <v>21</v>
      </c>
      <c r="E1820" t="s">
        <v>22</v>
      </c>
      <c r="F1820" t="s">
        <v>23</v>
      </c>
      <c r="G1820" t="s">
        <v>14</v>
      </c>
      <c r="H1820">
        <v>199</v>
      </c>
      <c r="I1820">
        <v>9</v>
      </c>
      <c r="J1820">
        <v>1791</v>
      </c>
    </row>
    <row r="1821" spans="1:10" x14ac:dyDescent="0.35">
      <c r="A1821" s="3" t="s">
        <v>1866</v>
      </c>
      <c r="B1821" s="4">
        <v>43694</v>
      </c>
      <c r="C1821">
        <v>2</v>
      </c>
      <c r="D1821" t="s">
        <v>106</v>
      </c>
      <c r="E1821" t="s">
        <v>17</v>
      </c>
      <c r="F1821" t="s">
        <v>18</v>
      </c>
      <c r="G1821" t="s">
        <v>31</v>
      </c>
      <c r="H1821">
        <v>69</v>
      </c>
      <c r="I1821">
        <v>9</v>
      </c>
      <c r="J1821">
        <v>621</v>
      </c>
    </row>
    <row r="1822" spans="1:10" x14ac:dyDescent="0.35">
      <c r="A1822" s="3" t="s">
        <v>1867</v>
      </c>
      <c r="B1822" s="4">
        <v>43694</v>
      </c>
      <c r="C1822">
        <v>7</v>
      </c>
      <c r="D1822" t="s">
        <v>88</v>
      </c>
      <c r="E1822" t="s">
        <v>46</v>
      </c>
      <c r="F1822" t="s">
        <v>23</v>
      </c>
      <c r="G1822" t="s">
        <v>14</v>
      </c>
      <c r="H1822">
        <v>199</v>
      </c>
      <c r="I1822">
        <v>6</v>
      </c>
      <c r="J1822">
        <v>1194</v>
      </c>
    </row>
    <row r="1823" spans="1:10" x14ac:dyDescent="0.35">
      <c r="A1823" s="3" t="s">
        <v>1868</v>
      </c>
      <c r="B1823" s="4">
        <v>43695</v>
      </c>
      <c r="C1823">
        <v>17</v>
      </c>
      <c r="D1823" t="s">
        <v>35</v>
      </c>
      <c r="E1823" t="s">
        <v>27</v>
      </c>
      <c r="F1823" t="s">
        <v>28</v>
      </c>
      <c r="G1823" t="s">
        <v>19</v>
      </c>
      <c r="H1823">
        <v>289</v>
      </c>
      <c r="I1823">
        <v>7</v>
      </c>
      <c r="J1823">
        <v>2023</v>
      </c>
    </row>
    <row r="1824" spans="1:10" x14ac:dyDescent="0.35">
      <c r="A1824" s="3" t="s">
        <v>1869</v>
      </c>
      <c r="B1824" s="4">
        <v>43695</v>
      </c>
      <c r="C1824">
        <v>9</v>
      </c>
      <c r="D1824" t="s">
        <v>21</v>
      </c>
      <c r="E1824" t="s">
        <v>22</v>
      </c>
      <c r="F1824" t="s">
        <v>23</v>
      </c>
      <c r="G1824" t="s">
        <v>14</v>
      </c>
      <c r="H1824">
        <v>199</v>
      </c>
      <c r="I1824">
        <v>3</v>
      </c>
      <c r="J1824">
        <v>597</v>
      </c>
    </row>
    <row r="1825" spans="1:10" x14ac:dyDescent="0.35">
      <c r="A1825" s="3" t="s">
        <v>1870</v>
      </c>
      <c r="B1825" s="4">
        <v>43695</v>
      </c>
      <c r="C1825">
        <v>15</v>
      </c>
      <c r="D1825" t="s">
        <v>118</v>
      </c>
      <c r="E1825" t="s">
        <v>12</v>
      </c>
      <c r="F1825" t="s">
        <v>13</v>
      </c>
      <c r="G1825" t="s">
        <v>24</v>
      </c>
      <c r="H1825">
        <v>159</v>
      </c>
      <c r="I1825">
        <v>3</v>
      </c>
      <c r="J1825">
        <v>477</v>
      </c>
    </row>
    <row r="1826" spans="1:10" x14ac:dyDescent="0.35">
      <c r="A1826" s="3" t="s">
        <v>1871</v>
      </c>
      <c r="B1826" s="4">
        <v>43696</v>
      </c>
      <c r="C1826">
        <v>11</v>
      </c>
      <c r="D1826" t="s">
        <v>11</v>
      </c>
      <c r="E1826" t="s">
        <v>12</v>
      </c>
      <c r="F1826" t="s">
        <v>13</v>
      </c>
      <c r="G1826" t="s">
        <v>14</v>
      </c>
      <c r="H1826">
        <v>199</v>
      </c>
      <c r="I1826">
        <v>5</v>
      </c>
      <c r="J1826">
        <v>995</v>
      </c>
    </row>
    <row r="1827" spans="1:10" x14ac:dyDescent="0.35">
      <c r="A1827" s="3" t="s">
        <v>1872</v>
      </c>
      <c r="B1827" s="4">
        <v>43696</v>
      </c>
      <c r="C1827">
        <v>18</v>
      </c>
      <c r="D1827" t="s">
        <v>26</v>
      </c>
      <c r="E1827" t="s">
        <v>36</v>
      </c>
      <c r="F1827" t="s">
        <v>28</v>
      </c>
      <c r="G1827" t="s">
        <v>19</v>
      </c>
      <c r="H1827">
        <v>289</v>
      </c>
      <c r="I1827">
        <v>4</v>
      </c>
      <c r="J1827">
        <v>1156</v>
      </c>
    </row>
    <row r="1828" spans="1:10" x14ac:dyDescent="0.35">
      <c r="A1828" s="3" t="s">
        <v>1873</v>
      </c>
      <c r="B1828" s="4">
        <v>43696</v>
      </c>
      <c r="C1828">
        <v>2</v>
      </c>
      <c r="D1828" t="s">
        <v>106</v>
      </c>
      <c r="E1828" t="s">
        <v>17</v>
      </c>
      <c r="F1828" t="s">
        <v>18</v>
      </c>
      <c r="G1828" t="s">
        <v>19</v>
      </c>
      <c r="H1828">
        <v>289</v>
      </c>
      <c r="I1828">
        <v>2</v>
      </c>
      <c r="J1828">
        <v>578</v>
      </c>
    </row>
    <row r="1829" spans="1:10" x14ac:dyDescent="0.35">
      <c r="A1829" s="3" t="s">
        <v>1874</v>
      </c>
      <c r="B1829" s="4">
        <v>43696</v>
      </c>
      <c r="C1829">
        <v>18</v>
      </c>
      <c r="D1829" t="s">
        <v>26</v>
      </c>
      <c r="E1829" t="s">
        <v>36</v>
      </c>
      <c r="F1829" t="s">
        <v>28</v>
      </c>
      <c r="G1829" t="s">
        <v>31</v>
      </c>
      <c r="H1829">
        <v>69</v>
      </c>
      <c r="I1829">
        <v>6</v>
      </c>
      <c r="J1829">
        <v>414</v>
      </c>
    </row>
    <row r="1830" spans="1:10" x14ac:dyDescent="0.35">
      <c r="A1830" s="3" t="s">
        <v>1875</v>
      </c>
      <c r="B1830" s="4">
        <v>43696</v>
      </c>
      <c r="C1830">
        <v>13</v>
      </c>
      <c r="D1830" t="s">
        <v>33</v>
      </c>
      <c r="E1830" t="s">
        <v>63</v>
      </c>
      <c r="F1830" t="s">
        <v>13</v>
      </c>
      <c r="G1830" t="s">
        <v>31</v>
      </c>
      <c r="H1830">
        <v>69</v>
      </c>
      <c r="I1830">
        <v>4</v>
      </c>
      <c r="J1830">
        <v>276</v>
      </c>
    </row>
    <row r="1831" spans="1:10" x14ac:dyDescent="0.35">
      <c r="A1831" s="3" t="s">
        <v>1876</v>
      </c>
      <c r="B1831" s="4">
        <v>43697</v>
      </c>
      <c r="C1831">
        <v>5</v>
      </c>
      <c r="D1831" t="s">
        <v>60</v>
      </c>
      <c r="E1831" t="s">
        <v>17</v>
      </c>
      <c r="F1831" t="s">
        <v>18</v>
      </c>
      <c r="G1831" t="s">
        <v>19</v>
      </c>
      <c r="H1831">
        <v>289</v>
      </c>
      <c r="I1831">
        <v>2</v>
      </c>
      <c r="J1831">
        <v>578</v>
      </c>
    </row>
    <row r="1832" spans="1:10" x14ac:dyDescent="0.35">
      <c r="A1832" s="3" t="s">
        <v>1877</v>
      </c>
      <c r="B1832" s="4">
        <v>43698</v>
      </c>
      <c r="C1832">
        <v>8</v>
      </c>
      <c r="D1832" t="s">
        <v>45</v>
      </c>
      <c r="E1832" t="s">
        <v>22</v>
      </c>
      <c r="F1832" t="s">
        <v>23</v>
      </c>
      <c r="G1832" t="s">
        <v>14</v>
      </c>
      <c r="H1832">
        <v>199</v>
      </c>
      <c r="I1832">
        <v>3</v>
      </c>
      <c r="J1832">
        <v>597</v>
      </c>
    </row>
    <row r="1833" spans="1:10" x14ac:dyDescent="0.35">
      <c r="A1833" s="3" t="s">
        <v>1878</v>
      </c>
      <c r="B1833" s="4">
        <v>43698</v>
      </c>
      <c r="C1833">
        <v>14</v>
      </c>
      <c r="D1833" t="s">
        <v>38</v>
      </c>
      <c r="E1833" t="s">
        <v>63</v>
      </c>
      <c r="F1833" t="s">
        <v>13</v>
      </c>
      <c r="G1833" t="s">
        <v>24</v>
      </c>
      <c r="H1833">
        <v>159</v>
      </c>
      <c r="I1833">
        <v>1</v>
      </c>
      <c r="J1833">
        <v>159</v>
      </c>
    </row>
    <row r="1834" spans="1:10" x14ac:dyDescent="0.35">
      <c r="A1834" s="3" t="s">
        <v>1879</v>
      </c>
      <c r="B1834" s="4">
        <v>43698</v>
      </c>
      <c r="C1834">
        <v>8</v>
      </c>
      <c r="D1834" t="s">
        <v>45</v>
      </c>
      <c r="E1834" t="s">
        <v>46</v>
      </c>
      <c r="F1834" t="s">
        <v>23</v>
      </c>
      <c r="G1834" t="s">
        <v>31</v>
      </c>
      <c r="H1834">
        <v>69</v>
      </c>
      <c r="I1834">
        <v>5</v>
      </c>
      <c r="J1834">
        <v>345</v>
      </c>
    </row>
    <row r="1835" spans="1:10" x14ac:dyDescent="0.35">
      <c r="A1835" s="3" t="s">
        <v>1880</v>
      </c>
      <c r="B1835" s="4">
        <v>43698</v>
      </c>
      <c r="C1835">
        <v>5</v>
      </c>
      <c r="D1835" t="s">
        <v>60</v>
      </c>
      <c r="E1835" t="s">
        <v>68</v>
      </c>
      <c r="F1835" t="s">
        <v>18</v>
      </c>
      <c r="G1835" t="s">
        <v>14</v>
      </c>
      <c r="H1835">
        <v>199</v>
      </c>
      <c r="I1835">
        <v>7</v>
      </c>
      <c r="J1835">
        <v>1393</v>
      </c>
    </row>
    <row r="1836" spans="1:10" x14ac:dyDescent="0.35">
      <c r="A1836" s="3" t="s">
        <v>1881</v>
      </c>
      <c r="B1836" s="4">
        <v>43698</v>
      </c>
      <c r="C1836">
        <v>5</v>
      </c>
      <c r="D1836" t="s">
        <v>60</v>
      </c>
      <c r="E1836" t="s">
        <v>68</v>
      </c>
      <c r="F1836" t="s">
        <v>18</v>
      </c>
      <c r="G1836" t="s">
        <v>19</v>
      </c>
      <c r="H1836">
        <v>289</v>
      </c>
      <c r="I1836">
        <v>3</v>
      </c>
      <c r="J1836">
        <v>867</v>
      </c>
    </row>
    <row r="1837" spans="1:10" x14ac:dyDescent="0.35">
      <c r="A1837" s="3" t="s">
        <v>1882</v>
      </c>
      <c r="B1837" s="4">
        <v>43698</v>
      </c>
      <c r="C1837">
        <v>9</v>
      </c>
      <c r="D1837" t="s">
        <v>21</v>
      </c>
      <c r="E1837" t="s">
        <v>46</v>
      </c>
      <c r="F1837" t="s">
        <v>23</v>
      </c>
      <c r="G1837" t="s">
        <v>14</v>
      </c>
      <c r="H1837">
        <v>199</v>
      </c>
      <c r="I1837">
        <v>5</v>
      </c>
      <c r="J1837">
        <v>995</v>
      </c>
    </row>
    <row r="1838" spans="1:10" x14ac:dyDescent="0.35">
      <c r="A1838" s="3" t="s">
        <v>1883</v>
      </c>
      <c r="B1838" s="4">
        <v>43699</v>
      </c>
      <c r="C1838">
        <v>6</v>
      </c>
      <c r="D1838" t="s">
        <v>48</v>
      </c>
      <c r="E1838" t="s">
        <v>22</v>
      </c>
      <c r="F1838" t="s">
        <v>23</v>
      </c>
      <c r="G1838" t="s">
        <v>31</v>
      </c>
      <c r="H1838">
        <v>69</v>
      </c>
      <c r="I1838">
        <v>3</v>
      </c>
      <c r="J1838">
        <v>207</v>
      </c>
    </row>
    <row r="1839" spans="1:10" x14ac:dyDescent="0.35">
      <c r="A1839" s="3" t="s">
        <v>1884</v>
      </c>
      <c r="B1839" s="4">
        <v>43699</v>
      </c>
      <c r="C1839">
        <v>20</v>
      </c>
      <c r="D1839" t="s">
        <v>40</v>
      </c>
      <c r="E1839" t="s">
        <v>36</v>
      </c>
      <c r="F1839" t="s">
        <v>28</v>
      </c>
      <c r="G1839" t="s">
        <v>41</v>
      </c>
      <c r="H1839">
        <v>399</v>
      </c>
      <c r="I1839">
        <v>9</v>
      </c>
      <c r="J1839">
        <v>3591</v>
      </c>
    </row>
    <row r="1840" spans="1:10" x14ac:dyDescent="0.35">
      <c r="A1840" s="3" t="s">
        <v>1885</v>
      </c>
      <c r="B1840" s="4">
        <v>43699</v>
      </c>
      <c r="C1840">
        <v>19</v>
      </c>
      <c r="D1840" t="s">
        <v>56</v>
      </c>
      <c r="E1840" t="s">
        <v>27</v>
      </c>
      <c r="F1840" t="s">
        <v>28</v>
      </c>
      <c r="G1840" t="s">
        <v>19</v>
      </c>
      <c r="H1840">
        <v>289</v>
      </c>
      <c r="I1840">
        <v>5</v>
      </c>
      <c r="J1840">
        <v>1445</v>
      </c>
    </row>
    <row r="1841" spans="1:10" x14ac:dyDescent="0.35">
      <c r="A1841" s="3" t="s">
        <v>1886</v>
      </c>
      <c r="B1841" s="4">
        <v>43699</v>
      </c>
      <c r="C1841">
        <v>17</v>
      </c>
      <c r="D1841" t="s">
        <v>35</v>
      </c>
      <c r="E1841" t="s">
        <v>36</v>
      </c>
      <c r="F1841" t="s">
        <v>28</v>
      </c>
      <c r="G1841" t="s">
        <v>14</v>
      </c>
      <c r="H1841">
        <v>199</v>
      </c>
      <c r="I1841">
        <v>5</v>
      </c>
      <c r="J1841">
        <v>995</v>
      </c>
    </row>
    <row r="1842" spans="1:10" x14ac:dyDescent="0.35">
      <c r="A1842" s="3" t="s">
        <v>1887</v>
      </c>
      <c r="B1842" s="4">
        <v>43699</v>
      </c>
      <c r="C1842">
        <v>3</v>
      </c>
      <c r="D1842" t="s">
        <v>43</v>
      </c>
      <c r="E1842" t="s">
        <v>68</v>
      </c>
      <c r="F1842" t="s">
        <v>18</v>
      </c>
      <c r="G1842" t="s">
        <v>14</v>
      </c>
      <c r="H1842">
        <v>199</v>
      </c>
      <c r="I1842">
        <v>4</v>
      </c>
      <c r="J1842">
        <v>796</v>
      </c>
    </row>
    <row r="1843" spans="1:10" x14ac:dyDescent="0.35">
      <c r="A1843" s="3" t="s">
        <v>1888</v>
      </c>
      <c r="B1843" s="4">
        <v>43699</v>
      </c>
      <c r="C1843">
        <v>2</v>
      </c>
      <c r="D1843" t="s">
        <v>106</v>
      </c>
      <c r="E1843" t="s">
        <v>17</v>
      </c>
      <c r="F1843" t="s">
        <v>18</v>
      </c>
      <c r="G1843" t="s">
        <v>24</v>
      </c>
      <c r="H1843">
        <v>159</v>
      </c>
      <c r="I1843">
        <v>3</v>
      </c>
      <c r="J1843">
        <v>477</v>
      </c>
    </row>
    <row r="1844" spans="1:10" x14ac:dyDescent="0.35">
      <c r="A1844" s="3" t="s">
        <v>1889</v>
      </c>
      <c r="B1844" s="4">
        <v>43699</v>
      </c>
      <c r="C1844">
        <v>20</v>
      </c>
      <c r="D1844" t="s">
        <v>40</v>
      </c>
      <c r="E1844" t="s">
        <v>27</v>
      </c>
      <c r="F1844" t="s">
        <v>28</v>
      </c>
      <c r="G1844" t="s">
        <v>14</v>
      </c>
      <c r="H1844">
        <v>199</v>
      </c>
      <c r="I1844">
        <v>1</v>
      </c>
      <c r="J1844">
        <v>199</v>
      </c>
    </row>
    <row r="1845" spans="1:10" x14ac:dyDescent="0.35">
      <c r="A1845" s="3" t="s">
        <v>1890</v>
      </c>
      <c r="B1845" s="4">
        <v>43699</v>
      </c>
      <c r="C1845">
        <v>5</v>
      </c>
      <c r="D1845" t="s">
        <v>60</v>
      </c>
      <c r="E1845" t="s">
        <v>17</v>
      </c>
      <c r="F1845" t="s">
        <v>18</v>
      </c>
      <c r="G1845" t="s">
        <v>14</v>
      </c>
      <c r="H1845">
        <v>199</v>
      </c>
      <c r="I1845">
        <v>4</v>
      </c>
      <c r="J1845">
        <v>796</v>
      </c>
    </row>
    <row r="1846" spans="1:10" x14ac:dyDescent="0.35">
      <c r="A1846" s="3" t="s">
        <v>1891</v>
      </c>
      <c r="B1846" s="4">
        <v>43699</v>
      </c>
      <c r="C1846">
        <v>5</v>
      </c>
      <c r="D1846" t="s">
        <v>60</v>
      </c>
      <c r="E1846" t="s">
        <v>68</v>
      </c>
      <c r="F1846" t="s">
        <v>18</v>
      </c>
      <c r="G1846" t="s">
        <v>24</v>
      </c>
      <c r="H1846">
        <v>159</v>
      </c>
      <c r="I1846">
        <v>2</v>
      </c>
      <c r="J1846">
        <v>318</v>
      </c>
    </row>
    <row r="1847" spans="1:10" x14ac:dyDescent="0.35">
      <c r="A1847" s="3" t="s">
        <v>1892</v>
      </c>
      <c r="B1847" s="4">
        <v>43700</v>
      </c>
      <c r="C1847">
        <v>7</v>
      </c>
      <c r="D1847" t="s">
        <v>88</v>
      </c>
      <c r="E1847" t="s">
        <v>22</v>
      </c>
      <c r="F1847" t="s">
        <v>23</v>
      </c>
      <c r="G1847" t="s">
        <v>24</v>
      </c>
      <c r="H1847">
        <v>159</v>
      </c>
      <c r="I1847">
        <v>1</v>
      </c>
      <c r="J1847">
        <v>159</v>
      </c>
    </row>
    <row r="1848" spans="1:10" x14ac:dyDescent="0.35">
      <c r="A1848" s="3" t="s">
        <v>1893</v>
      </c>
      <c r="B1848" s="4">
        <v>43700</v>
      </c>
      <c r="C1848">
        <v>2</v>
      </c>
      <c r="D1848" t="s">
        <v>106</v>
      </c>
      <c r="E1848" t="s">
        <v>17</v>
      </c>
      <c r="F1848" t="s">
        <v>18</v>
      </c>
      <c r="G1848" t="s">
        <v>24</v>
      </c>
      <c r="H1848">
        <v>159</v>
      </c>
      <c r="I1848">
        <v>6</v>
      </c>
      <c r="J1848">
        <v>954</v>
      </c>
    </row>
    <row r="1849" spans="1:10" x14ac:dyDescent="0.35">
      <c r="A1849" s="3" t="s">
        <v>1894</v>
      </c>
      <c r="B1849" s="4">
        <v>43701</v>
      </c>
      <c r="C1849">
        <v>1</v>
      </c>
      <c r="D1849" t="s">
        <v>16</v>
      </c>
      <c r="E1849" t="s">
        <v>68</v>
      </c>
      <c r="F1849" t="s">
        <v>18</v>
      </c>
      <c r="G1849" t="s">
        <v>31</v>
      </c>
      <c r="H1849">
        <v>69</v>
      </c>
      <c r="I1849">
        <v>5</v>
      </c>
      <c r="J1849">
        <v>345</v>
      </c>
    </row>
    <row r="1850" spans="1:10" x14ac:dyDescent="0.35">
      <c r="A1850" s="3" t="s">
        <v>1895</v>
      </c>
      <c r="B1850" s="4">
        <v>43701</v>
      </c>
      <c r="C1850">
        <v>4</v>
      </c>
      <c r="D1850" t="s">
        <v>51</v>
      </c>
      <c r="E1850" t="s">
        <v>17</v>
      </c>
      <c r="F1850" t="s">
        <v>18</v>
      </c>
      <c r="G1850" t="s">
        <v>41</v>
      </c>
      <c r="H1850">
        <v>399</v>
      </c>
      <c r="I1850">
        <v>7</v>
      </c>
      <c r="J1850">
        <v>2793</v>
      </c>
    </row>
    <row r="1851" spans="1:10" x14ac:dyDescent="0.35">
      <c r="A1851" s="3" t="s">
        <v>1896</v>
      </c>
      <c r="B1851" s="4">
        <v>43702</v>
      </c>
      <c r="C1851">
        <v>4</v>
      </c>
      <c r="D1851" t="s">
        <v>51</v>
      </c>
      <c r="E1851" t="s">
        <v>68</v>
      </c>
      <c r="F1851" t="s">
        <v>18</v>
      </c>
      <c r="G1851" t="s">
        <v>24</v>
      </c>
      <c r="H1851">
        <v>159</v>
      </c>
      <c r="I1851">
        <v>1</v>
      </c>
      <c r="J1851">
        <v>159</v>
      </c>
    </row>
    <row r="1852" spans="1:10" x14ac:dyDescent="0.35">
      <c r="A1852" s="3" t="s">
        <v>1897</v>
      </c>
      <c r="B1852" s="4">
        <v>43703</v>
      </c>
      <c r="C1852">
        <v>14</v>
      </c>
      <c r="D1852" t="s">
        <v>38</v>
      </c>
      <c r="E1852" t="s">
        <v>63</v>
      </c>
      <c r="F1852" t="s">
        <v>13</v>
      </c>
      <c r="G1852" t="s">
        <v>31</v>
      </c>
      <c r="H1852">
        <v>69</v>
      </c>
      <c r="I1852">
        <v>2</v>
      </c>
      <c r="J1852">
        <v>138</v>
      </c>
    </row>
    <row r="1853" spans="1:10" x14ac:dyDescent="0.35">
      <c r="A1853" s="3" t="s">
        <v>1898</v>
      </c>
      <c r="B1853" s="4">
        <v>43704</v>
      </c>
      <c r="C1853">
        <v>11</v>
      </c>
      <c r="D1853" t="s">
        <v>11</v>
      </c>
      <c r="E1853" t="s">
        <v>12</v>
      </c>
      <c r="F1853" t="s">
        <v>13</v>
      </c>
      <c r="G1853" t="s">
        <v>31</v>
      </c>
      <c r="H1853">
        <v>69</v>
      </c>
      <c r="I1853">
        <v>9</v>
      </c>
      <c r="J1853">
        <v>621</v>
      </c>
    </row>
    <row r="1854" spans="1:10" x14ac:dyDescent="0.35">
      <c r="A1854" s="3" t="s">
        <v>1899</v>
      </c>
      <c r="B1854" s="4">
        <v>43705</v>
      </c>
      <c r="C1854">
        <v>16</v>
      </c>
      <c r="D1854" t="s">
        <v>30</v>
      </c>
      <c r="E1854" t="s">
        <v>36</v>
      </c>
      <c r="F1854" t="s">
        <v>28</v>
      </c>
      <c r="G1854" t="s">
        <v>31</v>
      </c>
      <c r="H1854">
        <v>69</v>
      </c>
      <c r="I1854">
        <v>2</v>
      </c>
      <c r="J1854">
        <v>138</v>
      </c>
    </row>
    <row r="1855" spans="1:10" x14ac:dyDescent="0.35">
      <c r="A1855" s="3" t="s">
        <v>1900</v>
      </c>
      <c r="B1855" s="4">
        <v>43706</v>
      </c>
      <c r="C1855">
        <v>16</v>
      </c>
      <c r="D1855" t="s">
        <v>30</v>
      </c>
      <c r="E1855" t="s">
        <v>27</v>
      </c>
      <c r="F1855" t="s">
        <v>28</v>
      </c>
      <c r="G1855" t="s">
        <v>24</v>
      </c>
      <c r="H1855">
        <v>159</v>
      </c>
      <c r="I1855">
        <v>8</v>
      </c>
      <c r="J1855">
        <v>1272</v>
      </c>
    </row>
    <row r="1856" spans="1:10" x14ac:dyDescent="0.35">
      <c r="A1856" s="3" t="s">
        <v>1901</v>
      </c>
      <c r="B1856" s="4">
        <v>43706</v>
      </c>
      <c r="C1856">
        <v>4</v>
      </c>
      <c r="D1856" t="s">
        <v>51</v>
      </c>
      <c r="E1856" t="s">
        <v>68</v>
      </c>
      <c r="F1856" t="s">
        <v>18</v>
      </c>
      <c r="G1856" t="s">
        <v>24</v>
      </c>
      <c r="H1856">
        <v>159</v>
      </c>
      <c r="I1856">
        <v>0</v>
      </c>
      <c r="J1856">
        <v>0</v>
      </c>
    </row>
    <row r="1857" spans="1:10" x14ac:dyDescent="0.35">
      <c r="A1857" s="3" t="s">
        <v>1902</v>
      </c>
      <c r="B1857" s="4">
        <v>43707</v>
      </c>
      <c r="C1857">
        <v>19</v>
      </c>
      <c r="D1857" t="s">
        <v>56</v>
      </c>
      <c r="E1857" t="s">
        <v>36</v>
      </c>
      <c r="F1857" t="s">
        <v>28</v>
      </c>
      <c r="G1857" t="s">
        <v>24</v>
      </c>
      <c r="H1857">
        <v>159</v>
      </c>
      <c r="I1857">
        <v>7</v>
      </c>
      <c r="J1857">
        <v>1113</v>
      </c>
    </row>
    <row r="1858" spans="1:10" x14ac:dyDescent="0.35">
      <c r="A1858" s="3" t="s">
        <v>1903</v>
      </c>
      <c r="B1858" s="4">
        <v>43707</v>
      </c>
      <c r="C1858">
        <v>7</v>
      </c>
      <c r="D1858" t="s">
        <v>88</v>
      </c>
      <c r="E1858" t="s">
        <v>46</v>
      </c>
      <c r="F1858" t="s">
        <v>23</v>
      </c>
      <c r="G1858" t="s">
        <v>14</v>
      </c>
      <c r="H1858">
        <v>199</v>
      </c>
      <c r="I1858">
        <v>1</v>
      </c>
      <c r="J1858">
        <v>199</v>
      </c>
    </row>
    <row r="1859" spans="1:10" x14ac:dyDescent="0.35">
      <c r="A1859" s="3" t="s">
        <v>1904</v>
      </c>
      <c r="B1859" s="4">
        <v>43707</v>
      </c>
      <c r="C1859">
        <v>17</v>
      </c>
      <c r="D1859" t="s">
        <v>35</v>
      </c>
      <c r="E1859" t="s">
        <v>36</v>
      </c>
      <c r="F1859" t="s">
        <v>28</v>
      </c>
      <c r="G1859" t="s">
        <v>41</v>
      </c>
      <c r="H1859">
        <v>399</v>
      </c>
      <c r="I1859">
        <v>1</v>
      </c>
      <c r="J1859">
        <v>399</v>
      </c>
    </row>
    <row r="1860" spans="1:10" x14ac:dyDescent="0.35">
      <c r="A1860" s="3" t="s">
        <v>1905</v>
      </c>
      <c r="B1860" s="4">
        <v>43707</v>
      </c>
      <c r="C1860">
        <v>6</v>
      </c>
      <c r="D1860" t="s">
        <v>48</v>
      </c>
      <c r="E1860" t="s">
        <v>22</v>
      </c>
      <c r="F1860" t="s">
        <v>23</v>
      </c>
      <c r="G1860" t="s">
        <v>31</v>
      </c>
      <c r="H1860">
        <v>69</v>
      </c>
      <c r="I1860">
        <v>0</v>
      </c>
      <c r="J1860">
        <v>0</v>
      </c>
    </row>
    <row r="1861" spans="1:10" x14ac:dyDescent="0.35">
      <c r="A1861" s="3" t="s">
        <v>1906</v>
      </c>
      <c r="B1861" s="4">
        <v>43707</v>
      </c>
      <c r="C1861">
        <v>14</v>
      </c>
      <c r="D1861" t="s">
        <v>38</v>
      </c>
      <c r="E1861" t="s">
        <v>63</v>
      </c>
      <c r="F1861" t="s">
        <v>13</v>
      </c>
      <c r="G1861" t="s">
        <v>41</v>
      </c>
      <c r="H1861">
        <v>399</v>
      </c>
      <c r="I1861">
        <v>4</v>
      </c>
      <c r="J1861">
        <v>1596</v>
      </c>
    </row>
    <row r="1862" spans="1:10" x14ac:dyDescent="0.35">
      <c r="A1862" s="3" t="s">
        <v>1907</v>
      </c>
      <c r="B1862" s="4">
        <v>43707</v>
      </c>
      <c r="C1862">
        <v>20</v>
      </c>
      <c r="D1862" t="s">
        <v>40</v>
      </c>
      <c r="E1862" t="s">
        <v>27</v>
      </c>
      <c r="F1862" t="s">
        <v>28</v>
      </c>
      <c r="G1862" t="s">
        <v>41</v>
      </c>
      <c r="H1862">
        <v>399</v>
      </c>
      <c r="I1862">
        <v>8</v>
      </c>
      <c r="J1862">
        <v>3192</v>
      </c>
    </row>
    <row r="1863" spans="1:10" x14ac:dyDescent="0.35">
      <c r="A1863" s="3" t="s">
        <v>1908</v>
      </c>
      <c r="B1863" s="4">
        <v>43707</v>
      </c>
      <c r="C1863">
        <v>10</v>
      </c>
      <c r="D1863" t="s">
        <v>58</v>
      </c>
      <c r="E1863" t="s">
        <v>22</v>
      </c>
      <c r="F1863" t="s">
        <v>23</v>
      </c>
      <c r="G1863" t="s">
        <v>19</v>
      </c>
      <c r="H1863">
        <v>289</v>
      </c>
      <c r="I1863">
        <v>3</v>
      </c>
      <c r="J1863">
        <v>867</v>
      </c>
    </row>
    <row r="1864" spans="1:10" x14ac:dyDescent="0.35">
      <c r="A1864" s="3" t="s">
        <v>1909</v>
      </c>
      <c r="B1864" s="4">
        <v>43708</v>
      </c>
      <c r="C1864">
        <v>11</v>
      </c>
      <c r="D1864" t="s">
        <v>11</v>
      </c>
      <c r="E1864" t="s">
        <v>12</v>
      </c>
      <c r="F1864" t="s">
        <v>13</v>
      </c>
      <c r="G1864" t="s">
        <v>41</v>
      </c>
      <c r="H1864">
        <v>399</v>
      </c>
      <c r="I1864">
        <v>5</v>
      </c>
      <c r="J1864">
        <v>1995</v>
      </c>
    </row>
    <row r="1865" spans="1:10" x14ac:dyDescent="0.35">
      <c r="A1865" s="3" t="s">
        <v>1910</v>
      </c>
      <c r="B1865" s="4">
        <v>43709</v>
      </c>
      <c r="C1865">
        <v>16</v>
      </c>
      <c r="D1865" t="s">
        <v>30</v>
      </c>
      <c r="E1865" t="s">
        <v>27</v>
      </c>
      <c r="F1865" t="s">
        <v>28</v>
      </c>
      <c r="G1865" t="s">
        <v>19</v>
      </c>
      <c r="H1865">
        <v>289</v>
      </c>
      <c r="I1865">
        <v>3</v>
      </c>
      <c r="J1865">
        <v>867</v>
      </c>
    </row>
    <row r="1866" spans="1:10" x14ac:dyDescent="0.35">
      <c r="A1866" s="3" t="s">
        <v>1911</v>
      </c>
      <c r="B1866" s="4">
        <v>43709</v>
      </c>
      <c r="C1866">
        <v>11</v>
      </c>
      <c r="D1866" t="s">
        <v>11</v>
      </c>
      <c r="E1866" t="s">
        <v>63</v>
      </c>
      <c r="F1866" t="s">
        <v>13</v>
      </c>
      <c r="G1866" t="s">
        <v>41</v>
      </c>
      <c r="H1866">
        <v>399</v>
      </c>
      <c r="I1866">
        <v>4</v>
      </c>
      <c r="J1866">
        <v>1596</v>
      </c>
    </row>
    <row r="1867" spans="1:10" x14ac:dyDescent="0.35">
      <c r="A1867" s="3" t="s">
        <v>1912</v>
      </c>
      <c r="B1867" s="4">
        <v>43709</v>
      </c>
      <c r="C1867">
        <v>7</v>
      </c>
      <c r="D1867" t="s">
        <v>88</v>
      </c>
      <c r="E1867" t="s">
        <v>46</v>
      </c>
      <c r="F1867" t="s">
        <v>23</v>
      </c>
      <c r="G1867" t="s">
        <v>31</v>
      </c>
      <c r="H1867">
        <v>69</v>
      </c>
      <c r="I1867">
        <v>6</v>
      </c>
      <c r="J1867">
        <v>414</v>
      </c>
    </row>
    <row r="1868" spans="1:10" x14ac:dyDescent="0.35">
      <c r="A1868" s="3" t="s">
        <v>1913</v>
      </c>
      <c r="B1868" s="4">
        <v>43710</v>
      </c>
      <c r="C1868">
        <v>3</v>
      </c>
      <c r="D1868" t="s">
        <v>43</v>
      </c>
      <c r="E1868" t="s">
        <v>17</v>
      </c>
      <c r="F1868" t="s">
        <v>18</v>
      </c>
      <c r="G1868" t="s">
        <v>19</v>
      </c>
      <c r="H1868">
        <v>289</v>
      </c>
      <c r="I1868">
        <v>6</v>
      </c>
      <c r="J1868">
        <v>1734</v>
      </c>
    </row>
    <row r="1869" spans="1:10" x14ac:dyDescent="0.35">
      <c r="A1869" s="3" t="s">
        <v>1914</v>
      </c>
      <c r="B1869" s="4">
        <v>43710</v>
      </c>
      <c r="C1869">
        <v>15</v>
      </c>
      <c r="D1869" t="s">
        <v>118</v>
      </c>
      <c r="E1869" t="s">
        <v>12</v>
      </c>
      <c r="F1869" t="s">
        <v>13</v>
      </c>
      <c r="G1869" t="s">
        <v>14</v>
      </c>
      <c r="H1869">
        <v>199</v>
      </c>
      <c r="I1869">
        <v>5</v>
      </c>
      <c r="J1869">
        <v>995</v>
      </c>
    </row>
    <row r="1870" spans="1:10" x14ac:dyDescent="0.35">
      <c r="A1870" s="3" t="s">
        <v>1915</v>
      </c>
      <c r="B1870" s="4">
        <v>43711</v>
      </c>
      <c r="C1870">
        <v>7</v>
      </c>
      <c r="D1870" t="s">
        <v>88</v>
      </c>
      <c r="E1870" t="s">
        <v>22</v>
      </c>
      <c r="F1870" t="s">
        <v>23</v>
      </c>
      <c r="G1870" t="s">
        <v>41</v>
      </c>
      <c r="H1870">
        <v>399</v>
      </c>
      <c r="I1870">
        <v>1</v>
      </c>
      <c r="J1870">
        <v>399</v>
      </c>
    </row>
    <row r="1871" spans="1:10" x14ac:dyDescent="0.35">
      <c r="A1871" s="3" t="s">
        <v>1916</v>
      </c>
      <c r="B1871" s="4">
        <v>43712</v>
      </c>
      <c r="C1871">
        <v>19</v>
      </c>
      <c r="D1871" t="s">
        <v>56</v>
      </c>
      <c r="E1871" t="s">
        <v>36</v>
      </c>
      <c r="F1871" t="s">
        <v>28</v>
      </c>
      <c r="G1871" t="s">
        <v>41</v>
      </c>
      <c r="H1871">
        <v>399</v>
      </c>
      <c r="I1871">
        <v>9</v>
      </c>
      <c r="J1871">
        <v>3591</v>
      </c>
    </row>
    <row r="1872" spans="1:10" x14ac:dyDescent="0.35">
      <c r="A1872" s="3" t="s">
        <v>1917</v>
      </c>
      <c r="B1872" s="4">
        <v>43712</v>
      </c>
      <c r="C1872">
        <v>20</v>
      </c>
      <c r="D1872" t="s">
        <v>40</v>
      </c>
      <c r="E1872" t="s">
        <v>27</v>
      </c>
      <c r="F1872" t="s">
        <v>28</v>
      </c>
      <c r="G1872" t="s">
        <v>24</v>
      </c>
      <c r="H1872">
        <v>159</v>
      </c>
      <c r="I1872">
        <v>4</v>
      </c>
      <c r="J1872">
        <v>636</v>
      </c>
    </row>
    <row r="1873" spans="1:10" x14ac:dyDescent="0.35">
      <c r="A1873" s="3" t="s">
        <v>1918</v>
      </c>
      <c r="B1873" s="4">
        <v>43713</v>
      </c>
      <c r="C1873">
        <v>10</v>
      </c>
      <c r="D1873" t="s">
        <v>58</v>
      </c>
      <c r="E1873" t="s">
        <v>46</v>
      </c>
      <c r="F1873" t="s">
        <v>23</v>
      </c>
      <c r="G1873" t="s">
        <v>31</v>
      </c>
      <c r="H1873">
        <v>69</v>
      </c>
      <c r="I1873">
        <v>7</v>
      </c>
      <c r="J1873">
        <v>483</v>
      </c>
    </row>
    <row r="1874" spans="1:10" x14ac:dyDescent="0.35">
      <c r="A1874" s="3" t="s">
        <v>1919</v>
      </c>
      <c r="B1874" s="4">
        <v>43713</v>
      </c>
      <c r="C1874">
        <v>8</v>
      </c>
      <c r="D1874" t="s">
        <v>45</v>
      </c>
      <c r="E1874" t="s">
        <v>46</v>
      </c>
      <c r="F1874" t="s">
        <v>23</v>
      </c>
      <c r="G1874" t="s">
        <v>14</v>
      </c>
      <c r="H1874">
        <v>199</v>
      </c>
      <c r="I1874">
        <v>6</v>
      </c>
      <c r="J1874">
        <v>1194</v>
      </c>
    </row>
    <row r="1875" spans="1:10" x14ac:dyDescent="0.35">
      <c r="A1875" s="3" t="s">
        <v>1920</v>
      </c>
      <c r="B1875" s="4">
        <v>43714</v>
      </c>
      <c r="C1875">
        <v>9</v>
      </c>
      <c r="D1875" t="s">
        <v>21</v>
      </c>
      <c r="E1875" t="s">
        <v>22</v>
      </c>
      <c r="F1875" t="s">
        <v>23</v>
      </c>
      <c r="G1875" t="s">
        <v>19</v>
      </c>
      <c r="H1875">
        <v>289</v>
      </c>
      <c r="I1875">
        <v>2</v>
      </c>
      <c r="J1875">
        <v>578</v>
      </c>
    </row>
    <row r="1876" spans="1:10" x14ac:dyDescent="0.35">
      <c r="A1876" s="3" t="s">
        <v>1921</v>
      </c>
      <c r="B1876" s="4">
        <v>43714</v>
      </c>
      <c r="C1876">
        <v>3</v>
      </c>
      <c r="D1876" t="s">
        <v>43</v>
      </c>
      <c r="E1876" t="s">
        <v>68</v>
      </c>
      <c r="F1876" t="s">
        <v>18</v>
      </c>
      <c r="G1876" t="s">
        <v>24</v>
      </c>
      <c r="H1876">
        <v>159</v>
      </c>
      <c r="I1876">
        <v>9</v>
      </c>
      <c r="J1876">
        <v>1431</v>
      </c>
    </row>
    <row r="1877" spans="1:10" x14ac:dyDescent="0.35">
      <c r="A1877" s="3" t="s">
        <v>1922</v>
      </c>
      <c r="B1877" s="4">
        <v>43714</v>
      </c>
      <c r="C1877">
        <v>16</v>
      </c>
      <c r="D1877" t="s">
        <v>30</v>
      </c>
      <c r="E1877" t="s">
        <v>27</v>
      </c>
      <c r="F1877" t="s">
        <v>28</v>
      </c>
      <c r="G1877" t="s">
        <v>14</v>
      </c>
      <c r="H1877">
        <v>199</v>
      </c>
      <c r="I1877">
        <v>8</v>
      </c>
      <c r="J1877">
        <v>1592</v>
      </c>
    </row>
    <row r="1878" spans="1:10" x14ac:dyDescent="0.35">
      <c r="A1878" s="3" t="s">
        <v>1923</v>
      </c>
      <c r="B1878" s="4">
        <v>43714</v>
      </c>
      <c r="C1878">
        <v>1</v>
      </c>
      <c r="D1878" t="s">
        <v>16</v>
      </c>
      <c r="E1878" t="s">
        <v>17</v>
      </c>
      <c r="F1878" t="s">
        <v>18</v>
      </c>
      <c r="G1878" t="s">
        <v>41</v>
      </c>
      <c r="H1878">
        <v>399</v>
      </c>
      <c r="I1878">
        <v>3</v>
      </c>
      <c r="J1878">
        <v>1197</v>
      </c>
    </row>
    <row r="1879" spans="1:10" x14ac:dyDescent="0.35">
      <c r="A1879" s="3" t="s">
        <v>1924</v>
      </c>
      <c r="B1879" s="4">
        <v>43714</v>
      </c>
      <c r="C1879">
        <v>9</v>
      </c>
      <c r="D1879" t="s">
        <v>21</v>
      </c>
      <c r="E1879" t="s">
        <v>22</v>
      </c>
      <c r="F1879" t="s">
        <v>23</v>
      </c>
      <c r="G1879" t="s">
        <v>31</v>
      </c>
      <c r="H1879">
        <v>69</v>
      </c>
      <c r="I1879">
        <v>1</v>
      </c>
      <c r="J1879">
        <v>69</v>
      </c>
    </row>
    <row r="1880" spans="1:10" x14ac:dyDescent="0.35">
      <c r="A1880" s="3" t="s">
        <v>1925</v>
      </c>
      <c r="B1880" s="4">
        <v>43714</v>
      </c>
      <c r="C1880">
        <v>4</v>
      </c>
      <c r="D1880" t="s">
        <v>51</v>
      </c>
      <c r="E1880" t="s">
        <v>68</v>
      </c>
      <c r="F1880" t="s">
        <v>18</v>
      </c>
      <c r="G1880" t="s">
        <v>41</v>
      </c>
      <c r="H1880">
        <v>399</v>
      </c>
      <c r="I1880">
        <v>4</v>
      </c>
      <c r="J1880">
        <v>1596</v>
      </c>
    </row>
    <row r="1881" spans="1:10" x14ac:dyDescent="0.35">
      <c r="A1881" s="3" t="s">
        <v>1926</v>
      </c>
      <c r="B1881" s="4">
        <v>43714</v>
      </c>
      <c r="C1881">
        <v>11</v>
      </c>
      <c r="D1881" t="s">
        <v>11</v>
      </c>
      <c r="E1881" t="s">
        <v>12</v>
      </c>
      <c r="F1881" t="s">
        <v>13</v>
      </c>
      <c r="G1881" t="s">
        <v>24</v>
      </c>
      <c r="H1881">
        <v>159</v>
      </c>
      <c r="I1881">
        <v>3</v>
      </c>
      <c r="J1881">
        <v>477</v>
      </c>
    </row>
    <row r="1882" spans="1:10" x14ac:dyDescent="0.35">
      <c r="A1882" s="3" t="s">
        <v>1927</v>
      </c>
      <c r="B1882" s="4">
        <v>43715</v>
      </c>
      <c r="C1882">
        <v>9</v>
      </c>
      <c r="D1882" t="s">
        <v>21</v>
      </c>
      <c r="E1882" t="s">
        <v>22</v>
      </c>
      <c r="F1882" t="s">
        <v>23</v>
      </c>
      <c r="G1882" t="s">
        <v>31</v>
      </c>
      <c r="H1882">
        <v>69</v>
      </c>
      <c r="I1882">
        <v>8</v>
      </c>
      <c r="J1882">
        <v>552</v>
      </c>
    </row>
    <row r="1883" spans="1:10" x14ac:dyDescent="0.35">
      <c r="A1883" s="3" t="s">
        <v>1928</v>
      </c>
      <c r="B1883" s="4">
        <v>43715</v>
      </c>
      <c r="C1883">
        <v>2</v>
      </c>
      <c r="D1883" t="s">
        <v>106</v>
      </c>
      <c r="E1883" t="s">
        <v>17</v>
      </c>
      <c r="F1883" t="s">
        <v>18</v>
      </c>
      <c r="G1883" t="s">
        <v>14</v>
      </c>
      <c r="H1883">
        <v>199</v>
      </c>
      <c r="I1883">
        <v>1</v>
      </c>
      <c r="J1883">
        <v>199</v>
      </c>
    </row>
    <row r="1884" spans="1:10" x14ac:dyDescent="0.35">
      <c r="A1884" s="3" t="s">
        <v>1929</v>
      </c>
      <c r="B1884" s="4">
        <v>43716</v>
      </c>
      <c r="C1884">
        <v>8</v>
      </c>
      <c r="D1884" t="s">
        <v>45</v>
      </c>
      <c r="E1884" t="s">
        <v>46</v>
      </c>
      <c r="F1884" t="s">
        <v>23</v>
      </c>
      <c r="G1884" t="s">
        <v>31</v>
      </c>
      <c r="H1884">
        <v>69</v>
      </c>
      <c r="I1884">
        <v>4</v>
      </c>
      <c r="J1884">
        <v>276</v>
      </c>
    </row>
    <row r="1885" spans="1:10" x14ac:dyDescent="0.35">
      <c r="A1885" s="3" t="s">
        <v>1930</v>
      </c>
      <c r="B1885" s="4">
        <v>43716</v>
      </c>
      <c r="C1885">
        <v>13</v>
      </c>
      <c r="D1885" t="s">
        <v>33</v>
      </c>
      <c r="E1885" t="s">
        <v>12</v>
      </c>
      <c r="F1885" t="s">
        <v>13</v>
      </c>
      <c r="G1885" t="s">
        <v>41</v>
      </c>
      <c r="H1885">
        <v>399</v>
      </c>
      <c r="I1885">
        <v>4</v>
      </c>
      <c r="J1885">
        <v>1596</v>
      </c>
    </row>
    <row r="1886" spans="1:10" x14ac:dyDescent="0.35">
      <c r="A1886" s="3" t="s">
        <v>1931</v>
      </c>
      <c r="B1886" s="4">
        <v>43716</v>
      </c>
      <c r="C1886">
        <v>14</v>
      </c>
      <c r="D1886" t="s">
        <v>38</v>
      </c>
      <c r="E1886" t="s">
        <v>63</v>
      </c>
      <c r="F1886" t="s">
        <v>13</v>
      </c>
      <c r="G1886" t="s">
        <v>14</v>
      </c>
      <c r="H1886">
        <v>199</v>
      </c>
      <c r="I1886">
        <v>3</v>
      </c>
      <c r="J1886">
        <v>597</v>
      </c>
    </row>
    <row r="1887" spans="1:10" x14ac:dyDescent="0.35">
      <c r="A1887" s="3" t="s">
        <v>1932</v>
      </c>
      <c r="B1887" s="4">
        <v>43716</v>
      </c>
      <c r="C1887">
        <v>10</v>
      </c>
      <c r="D1887" t="s">
        <v>58</v>
      </c>
      <c r="E1887" t="s">
        <v>46</v>
      </c>
      <c r="F1887" t="s">
        <v>23</v>
      </c>
      <c r="G1887" t="s">
        <v>19</v>
      </c>
      <c r="H1887">
        <v>289</v>
      </c>
      <c r="I1887">
        <v>2</v>
      </c>
      <c r="J1887">
        <v>578</v>
      </c>
    </row>
    <row r="1888" spans="1:10" x14ac:dyDescent="0.35">
      <c r="A1888" s="3" t="s">
        <v>1933</v>
      </c>
      <c r="B1888" s="4">
        <v>43716</v>
      </c>
      <c r="C1888">
        <v>8</v>
      </c>
      <c r="D1888" t="s">
        <v>45</v>
      </c>
      <c r="E1888" t="s">
        <v>46</v>
      </c>
      <c r="F1888" t="s">
        <v>23</v>
      </c>
      <c r="G1888" t="s">
        <v>41</v>
      </c>
      <c r="H1888">
        <v>399</v>
      </c>
      <c r="I1888">
        <v>1</v>
      </c>
      <c r="J1888">
        <v>399</v>
      </c>
    </row>
    <row r="1889" spans="1:10" x14ac:dyDescent="0.35">
      <c r="A1889" s="3" t="s">
        <v>1934</v>
      </c>
      <c r="B1889" s="4">
        <v>43716</v>
      </c>
      <c r="C1889">
        <v>3</v>
      </c>
      <c r="D1889" t="s">
        <v>43</v>
      </c>
      <c r="E1889" t="s">
        <v>17</v>
      </c>
      <c r="F1889" t="s">
        <v>18</v>
      </c>
      <c r="G1889" t="s">
        <v>31</v>
      </c>
      <c r="H1889">
        <v>69</v>
      </c>
      <c r="I1889">
        <v>7</v>
      </c>
      <c r="J1889">
        <v>483</v>
      </c>
    </row>
    <row r="1890" spans="1:10" x14ac:dyDescent="0.35">
      <c r="A1890" s="3" t="s">
        <v>1935</v>
      </c>
      <c r="B1890" s="4">
        <v>43717</v>
      </c>
      <c r="C1890">
        <v>18</v>
      </c>
      <c r="D1890" t="s">
        <v>26</v>
      </c>
      <c r="E1890" t="s">
        <v>27</v>
      </c>
      <c r="F1890" t="s">
        <v>28</v>
      </c>
      <c r="G1890" t="s">
        <v>31</v>
      </c>
      <c r="H1890">
        <v>69</v>
      </c>
      <c r="I1890">
        <v>3</v>
      </c>
      <c r="J1890">
        <v>207</v>
      </c>
    </row>
    <row r="1891" spans="1:10" x14ac:dyDescent="0.35">
      <c r="A1891" s="3" t="s">
        <v>1936</v>
      </c>
      <c r="B1891" s="4">
        <v>43718</v>
      </c>
      <c r="C1891">
        <v>10</v>
      </c>
      <c r="D1891" t="s">
        <v>58</v>
      </c>
      <c r="E1891" t="s">
        <v>46</v>
      </c>
      <c r="F1891" t="s">
        <v>23</v>
      </c>
      <c r="G1891" t="s">
        <v>14</v>
      </c>
      <c r="H1891">
        <v>199</v>
      </c>
      <c r="I1891">
        <v>5</v>
      </c>
      <c r="J1891">
        <v>995</v>
      </c>
    </row>
    <row r="1892" spans="1:10" x14ac:dyDescent="0.35">
      <c r="A1892" s="3" t="s">
        <v>1937</v>
      </c>
      <c r="B1892" s="4">
        <v>43718</v>
      </c>
      <c r="C1892">
        <v>17</v>
      </c>
      <c r="D1892" t="s">
        <v>35</v>
      </c>
      <c r="E1892" t="s">
        <v>36</v>
      </c>
      <c r="F1892" t="s">
        <v>28</v>
      </c>
      <c r="G1892" t="s">
        <v>24</v>
      </c>
      <c r="H1892">
        <v>159</v>
      </c>
      <c r="I1892">
        <v>7</v>
      </c>
      <c r="J1892">
        <v>1113</v>
      </c>
    </row>
    <row r="1893" spans="1:10" x14ac:dyDescent="0.35">
      <c r="A1893" s="3" t="s">
        <v>1938</v>
      </c>
      <c r="B1893" s="4">
        <v>43719</v>
      </c>
      <c r="C1893">
        <v>5</v>
      </c>
      <c r="D1893" t="s">
        <v>60</v>
      </c>
      <c r="E1893" t="s">
        <v>17</v>
      </c>
      <c r="F1893" t="s">
        <v>18</v>
      </c>
      <c r="G1893" t="s">
        <v>41</v>
      </c>
      <c r="H1893">
        <v>399</v>
      </c>
      <c r="I1893">
        <v>9</v>
      </c>
      <c r="J1893">
        <v>3591</v>
      </c>
    </row>
    <row r="1894" spans="1:10" x14ac:dyDescent="0.35">
      <c r="A1894" s="3" t="s">
        <v>1939</v>
      </c>
      <c r="B1894" s="4">
        <v>43719</v>
      </c>
      <c r="C1894">
        <v>15</v>
      </c>
      <c r="D1894" t="s">
        <v>118</v>
      </c>
      <c r="E1894" t="s">
        <v>63</v>
      </c>
      <c r="F1894" t="s">
        <v>13</v>
      </c>
      <c r="G1894" t="s">
        <v>14</v>
      </c>
      <c r="H1894">
        <v>199</v>
      </c>
      <c r="I1894">
        <v>1</v>
      </c>
      <c r="J1894">
        <v>199</v>
      </c>
    </row>
    <row r="1895" spans="1:10" x14ac:dyDescent="0.35">
      <c r="A1895" s="3" t="s">
        <v>1940</v>
      </c>
      <c r="B1895" s="4">
        <v>43720</v>
      </c>
      <c r="C1895">
        <v>8</v>
      </c>
      <c r="D1895" t="s">
        <v>45</v>
      </c>
      <c r="E1895" t="s">
        <v>46</v>
      </c>
      <c r="F1895" t="s">
        <v>23</v>
      </c>
      <c r="G1895" t="s">
        <v>24</v>
      </c>
      <c r="H1895">
        <v>159</v>
      </c>
      <c r="I1895">
        <v>0</v>
      </c>
      <c r="J1895">
        <v>0</v>
      </c>
    </row>
    <row r="1896" spans="1:10" x14ac:dyDescent="0.35">
      <c r="A1896" s="3" t="s">
        <v>1941</v>
      </c>
      <c r="B1896" s="4">
        <v>43720</v>
      </c>
      <c r="C1896">
        <v>15</v>
      </c>
      <c r="D1896" t="s">
        <v>118</v>
      </c>
      <c r="E1896" t="s">
        <v>63</v>
      </c>
      <c r="F1896" t="s">
        <v>13</v>
      </c>
      <c r="G1896" t="s">
        <v>41</v>
      </c>
      <c r="H1896">
        <v>399</v>
      </c>
      <c r="I1896">
        <v>1</v>
      </c>
      <c r="J1896">
        <v>399</v>
      </c>
    </row>
    <row r="1897" spans="1:10" x14ac:dyDescent="0.35">
      <c r="A1897" s="3" t="s">
        <v>1942</v>
      </c>
      <c r="B1897" s="4">
        <v>43720</v>
      </c>
      <c r="C1897">
        <v>20</v>
      </c>
      <c r="D1897" t="s">
        <v>40</v>
      </c>
      <c r="E1897" t="s">
        <v>36</v>
      </c>
      <c r="F1897" t="s">
        <v>28</v>
      </c>
      <c r="G1897" t="s">
        <v>19</v>
      </c>
      <c r="H1897">
        <v>289</v>
      </c>
      <c r="I1897">
        <v>0</v>
      </c>
      <c r="J1897">
        <v>0</v>
      </c>
    </row>
    <row r="1898" spans="1:10" x14ac:dyDescent="0.35">
      <c r="A1898" s="3" t="s">
        <v>1943</v>
      </c>
      <c r="B1898" s="4">
        <v>43720</v>
      </c>
      <c r="C1898">
        <v>1</v>
      </c>
      <c r="D1898" t="s">
        <v>16</v>
      </c>
      <c r="E1898" t="s">
        <v>17</v>
      </c>
      <c r="F1898" t="s">
        <v>18</v>
      </c>
      <c r="G1898" t="s">
        <v>24</v>
      </c>
      <c r="H1898">
        <v>159</v>
      </c>
      <c r="I1898">
        <v>3</v>
      </c>
      <c r="J1898">
        <v>477</v>
      </c>
    </row>
    <row r="1899" spans="1:10" x14ac:dyDescent="0.35">
      <c r="A1899" s="3" t="s">
        <v>1944</v>
      </c>
      <c r="B1899" s="4">
        <v>43721</v>
      </c>
      <c r="C1899">
        <v>3</v>
      </c>
      <c r="D1899" t="s">
        <v>43</v>
      </c>
      <c r="E1899" t="s">
        <v>68</v>
      </c>
      <c r="F1899" t="s">
        <v>18</v>
      </c>
      <c r="G1899" t="s">
        <v>14</v>
      </c>
      <c r="H1899">
        <v>199</v>
      </c>
      <c r="I1899">
        <v>1</v>
      </c>
      <c r="J1899">
        <v>199</v>
      </c>
    </row>
    <row r="1900" spans="1:10" x14ac:dyDescent="0.35">
      <c r="A1900" s="3" t="s">
        <v>1945</v>
      </c>
      <c r="B1900" s="4">
        <v>43722</v>
      </c>
      <c r="C1900">
        <v>9</v>
      </c>
      <c r="D1900" t="s">
        <v>21</v>
      </c>
      <c r="E1900" t="s">
        <v>46</v>
      </c>
      <c r="F1900" t="s">
        <v>23</v>
      </c>
      <c r="G1900" t="s">
        <v>14</v>
      </c>
      <c r="H1900">
        <v>199</v>
      </c>
      <c r="I1900">
        <v>0</v>
      </c>
      <c r="J1900">
        <v>0</v>
      </c>
    </row>
    <row r="1901" spans="1:10" x14ac:dyDescent="0.35">
      <c r="A1901" s="3" t="s">
        <v>1946</v>
      </c>
      <c r="B1901" s="4">
        <v>43723</v>
      </c>
      <c r="C1901">
        <v>2</v>
      </c>
      <c r="D1901" t="s">
        <v>106</v>
      </c>
      <c r="E1901" t="s">
        <v>17</v>
      </c>
      <c r="F1901" t="s">
        <v>18</v>
      </c>
      <c r="G1901" t="s">
        <v>14</v>
      </c>
      <c r="H1901">
        <v>199</v>
      </c>
      <c r="I1901">
        <v>6</v>
      </c>
      <c r="J1901">
        <v>1194</v>
      </c>
    </row>
    <row r="1902" spans="1:10" x14ac:dyDescent="0.35">
      <c r="A1902" s="3" t="s">
        <v>1947</v>
      </c>
      <c r="B1902" s="4">
        <v>43724</v>
      </c>
      <c r="C1902">
        <v>18</v>
      </c>
      <c r="D1902" t="s">
        <v>26</v>
      </c>
      <c r="E1902" t="s">
        <v>36</v>
      </c>
      <c r="F1902" t="s">
        <v>28</v>
      </c>
      <c r="G1902" t="s">
        <v>41</v>
      </c>
      <c r="H1902">
        <v>399</v>
      </c>
      <c r="I1902">
        <v>3</v>
      </c>
      <c r="J1902">
        <v>1197</v>
      </c>
    </row>
    <row r="1903" spans="1:10" x14ac:dyDescent="0.35">
      <c r="A1903" s="3" t="s">
        <v>1948</v>
      </c>
      <c r="B1903" s="4">
        <v>43724</v>
      </c>
      <c r="C1903">
        <v>14</v>
      </c>
      <c r="D1903" t="s">
        <v>38</v>
      </c>
      <c r="E1903" t="s">
        <v>12</v>
      </c>
      <c r="F1903" t="s">
        <v>13</v>
      </c>
      <c r="G1903" t="s">
        <v>41</v>
      </c>
      <c r="H1903">
        <v>399</v>
      </c>
      <c r="I1903">
        <v>8</v>
      </c>
      <c r="J1903">
        <v>3192</v>
      </c>
    </row>
    <row r="1904" spans="1:10" x14ac:dyDescent="0.35">
      <c r="A1904" s="3" t="s">
        <v>1949</v>
      </c>
      <c r="B1904" s="4">
        <v>43724</v>
      </c>
      <c r="C1904">
        <v>15</v>
      </c>
      <c r="D1904" t="s">
        <v>118</v>
      </c>
      <c r="E1904" t="s">
        <v>63</v>
      </c>
      <c r="F1904" t="s">
        <v>13</v>
      </c>
      <c r="G1904" t="s">
        <v>41</v>
      </c>
      <c r="H1904">
        <v>399</v>
      </c>
      <c r="I1904">
        <v>0</v>
      </c>
      <c r="J1904">
        <v>0</v>
      </c>
    </row>
    <row r="1905" spans="1:10" x14ac:dyDescent="0.35">
      <c r="A1905" s="3" t="s">
        <v>1950</v>
      </c>
      <c r="B1905" s="4">
        <v>43725</v>
      </c>
      <c r="C1905">
        <v>15</v>
      </c>
      <c r="D1905" t="s">
        <v>118</v>
      </c>
      <c r="E1905" t="s">
        <v>63</v>
      </c>
      <c r="F1905" t="s">
        <v>13</v>
      </c>
      <c r="G1905" t="s">
        <v>41</v>
      </c>
      <c r="H1905">
        <v>399</v>
      </c>
      <c r="I1905">
        <v>2</v>
      </c>
      <c r="J1905">
        <v>798</v>
      </c>
    </row>
    <row r="1906" spans="1:10" x14ac:dyDescent="0.35">
      <c r="A1906" s="3" t="s">
        <v>1951</v>
      </c>
      <c r="B1906" s="4">
        <v>43725</v>
      </c>
      <c r="C1906">
        <v>14</v>
      </c>
      <c r="D1906" t="s">
        <v>38</v>
      </c>
      <c r="E1906" t="s">
        <v>63</v>
      </c>
      <c r="F1906" t="s">
        <v>13</v>
      </c>
      <c r="G1906" t="s">
        <v>31</v>
      </c>
      <c r="H1906">
        <v>69</v>
      </c>
      <c r="I1906">
        <v>5</v>
      </c>
      <c r="J1906">
        <v>345</v>
      </c>
    </row>
    <row r="1907" spans="1:10" x14ac:dyDescent="0.35">
      <c r="A1907" s="3" t="s">
        <v>1952</v>
      </c>
      <c r="B1907" s="4">
        <v>43725</v>
      </c>
      <c r="C1907">
        <v>16</v>
      </c>
      <c r="D1907" t="s">
        <v>30</v>
      </c>
      <c r="E1907" t="s">
        <v>36</v>
      </c>
      <c r="F1907" t="s">
        <v>28</v>
      </c>
      <c r="G1907" t="s">
        <v>31</v>
      </c>
      <c r="H1907">
        <v>69</v>
      </c>
      <c r="I1907">
        <v>8</v>
      </c>
      <c r="J1907">
        <v>552</v>
      </c>
    </row>
    <row r="1908" spans="1:10" x14ac:dyDescent="0.35">
      <c r="A1908" s="3" t="s">
        <v>1953</v>
      </c>
      <c r="B1908" s="4">
        <v>43725</v>
      </c>
      <c r="C1908">
        <v>1</v>
      </c>
      <c r="D1908" t="s">
        <v>16</v>
      </c>
      <c r="E1908" t="s">
        <v>17</v>
      </c>
      <c r="F1908" t="s">
        <v>18</v>
      </c>
      <c r="G1908" t="s">
        <v>31</v>
      </c>
      <c r="H1908">
        <v>69</v>
      </c>
      <c r="I1908">
        <v>2</v>
      </c>
      <c r="J1908">
        <v>138</v>
      </c>
    </row>
    <row r="1909" spans="1:10" x14ac:dyDescent="0.35">
      <c r="A1909" s="3" t="s">
        <v>1954</v>
      </c>
      <c r="B1909" s="4">
        <v>43726</v>
      </c>
      <c r="C1909">
        <v>20</v>
      </c>
      <c r="D1909" t="s">
        <v>40</v>
      </c>
      <c r="E1909" t="s">
        <v>36</v>
      </c>
      <c r="F1909" t="s">
        <v>28</v>
      </c>
      <c r="G1909" t="s">
        <v>14</v>
      </c>
      <c r="H1909">
        <v>199</v>
      </c>
      <c r="I1909">
        <v>7</v>
      </c>
      <c r="J1909">
        <v>1393</v>
      </c>
    </row>
    <row r="1910" spans="1:10" x14ac:dyDescent="0.35">
      <c r="A1910" s="3" t="s">
        <v>1955</v>
      </c>
      <c r="B1910" s="4">
        <v>43726</v>
      </c>
      <c r="C1910">
        <v>15</v>
      </c>
      <c r="D1910" t="s">
        <v>118</v>
      </c>
      <c r="E1910" t="s">
        <v>63</v>
      </c>
      <c r="F1910" t="s">
        <v>13</v>
      </c>
      <c r="G1910" t="s">
        <v>31</v>
      </c>
      <c r="H1910">
        <v>69</v>
      </c>
      <c r="I1910">
        <v>8</v>
      </c>
      <c r="J1910">
        <v>552</v>
      </c>
    </row>
    <row r="1911" spans="1:10" x14ac:dyDescent="0.35">
      <c r="A1911" s="3" t="s">
        <v>1956</v>
      </c>
      <c r="B1911" s="4">
        <v>43726</v>
      </c>
      <c r="C1911">
        <v>14</v>
      </c>
      <c r="D1911" t="s">
        <v>38</v>
      </c>
      <c r="E1911" t="s">
        <v>12</v>
      </c>
      <c r="F1911" t="s">
        <v>13</v>
      </c>
      <c r="G1911" t="s">
        <v>24</v>
      </c>
      <c r="H1911">
        <v>159</v>
      </c>
      <c r="I1911">
        <v>7</v>
      </c>
      <c r="J1911">
        <v>1113</v>
      </c>
    </row>
    <row r="1912" spans="1:10" x14ac:dyDescent="0.35">
      <c r="A1912" s="3" t="s">
        <v>1957</v>
      </c>
      <c r="B1912" s="4">
        <v>43726</v>
      </c>
      <c r="C1912">
        <v>1</v>
      </c>
      <c r="D1912" t="s">
        <v>16</v>
      </c>
      <c r="E1912" t="s">
        <v>68</v>
      </c>
      <c r="F1912" t="s">
        <v>18</v>
      </c>
      <c r="G1912" t="s">
        <v>41</v>
      </c>
      <c r="H1912">
        <v>399</v>
      </c>
      <c r="I1912">
        <v>6</v>
      </c>
      <c r="J1912">
        <v>2394</v>
      </c>
    </row>
    <row r="1913" spans="1:10" x14ac:dyDescent="0.35">
      <c r="A1913" s="3" t="s">
        <v>1958</v>
      </c>
      <c r="B1913" s="4">
        <v>43727</v>
      </c>
      <c r="C1913">
        <v>6</v>
      </c>
      <c r="D1913" t="s">
        <v>48</v>
      </c>
      <c r="E1913" t="s">
        <v>22</v>
      </c>
      <c r="F1913" t="s">
        <v>23</v>
      </c>
      <c r="G1913" t="s">
        <v>19</v>
      </c>
      <c r="H1913">
        <v>289</v>
      </c>
      <c r="I1913">
        <v>7</v>
      </c>
      <c r="J1913">
        <v>2023</v>
      </c>
    </row>
    <row r="1914" spans="1:10" x14ac:dyDescent="0.35">
      <c r="A1914" s="3" t="s">
        <v>1959</v>
      </c>
      <c r="B1914" s="4">
        <v>43727</v>
      </c>
      <c r="C1914">
        <v>16</v>
      </c>
      <c r="D1914" t="s">
        <v>30</v>
      </c>
      <c r="E1914" t="s">
        <v>27</v>
      </c>
      <c r="F1914" t="s">
        <v>28</v>
      </c>
      <c r="G1914" t="s">
        <v>31</v>
      </c>
      <c r="H1914">
        <v>69</v>
      </c>
      <c r="I1914">
        <v>5</v>
      </c>
      <c r="J1914">
        <v>345</v>
      </c>
    </row>
    <row r="1915" spans="1:10" x14ac:dyDescent="0.35">
      <c r="A1915" s="3" t="s">
        <v>1960</v>
      </c>
      <c r="B1915" s="4">
        <v>43727</v>
      </c>
      <c r="C1915">
        <v>9</v>
      </c>
      <c r="D1915" t="s">
        <v>21</v>
      </c>
      <c r="E1915" t="s">
        <v>46</v>
      </c>
      <c r="F1915" t="s">
        <v>23</v>
      </c>
      <c r="G1915" t="s">
        <v>31</v>
      </c>
      <c r="H1915">
        <v>69</v>
      </c>
      <c r="I1915">
        <v>0</v>
      </c>
      <c r="J1915">
        <v>0</v>
      </c>
    </row>
    <row r="1916" spans="1:10" x14ac:dyDescent="0.35">
      <c r="A1916" s="3" t="s">
        <v>1961</v>
      </c>
      <c r="B1916" s="4">
        <v>43727</v>
      </c>
      <c r="C1916">
        <v>11</v>
      </c>
      <c r="D1916" t="s">
        <v>11</v>
      </c>
      <c r="E1916" t="s">
        <v>12</v>
      </c>
      <c r="F1916" t="s">
        <v>13</v>
      </c>
      <c r="G1916" t="s">
        <v>14</v>
      </c>
      <c r="H1916">
        <v>199</v>
      </c>
      <c r="I1916">
        <v>9</v>
      </c>
      <c r="J1916">
        <v>1791</v>
      </c>
    </row>
    <row r="1917" spans="1:10" x14ac:dyDescent="0.35">
      <c r="A1917" s="3" t="s">
        <v>1962</v>
      </c>
      <c r="B1917" s="4">
        <v>43728</v>
      </c>
      <c r="C1917">
        <v>5</v>
      </c>
      <c r="D1917" t="s">
        <v>60</v>
      </c>
      <c r="E1917" t="s">
        <v>17</v>
      </c>
      <c r="F1917" t="s">
        <v>18</v>
      </c>
      <c r="G1917" t="s">
        <v>41</v>
      </c>
      <c r="H1917">
        <v>399</v>
      </c>
      <c r="I1917">
        <v>4</v>
      </c>
      <c r="J1917">
        <v>1596</v>
      </c>
    </row>
    <row r="1918" spans="1:10" x14ac:dyDescent="0.35">
      <c r="A1918" s="3" t="s">
        <v>1963</v>
      </c>
      <c r="B1918" s="4">
        <v>43728</v>
      </c>
      <c r="C1918">
        <v>4</v>
      </c>
      <c r="D1918" t="s">
        <v>51</v>
      </c>
      <c r="E1918" t="s">
        <v>17</v>
      </c>
      <c r="F1918" t="s">
        <v>18</v>
      </c>
      <c r="G1918" t="s">
        <v>19</v>
      </c>
      <c r="H1918">
        <v>289</v>
      </c>
      <c r="I1918">
        <v>8</v>
      </c>
      <c r="J1918">
        <v>2312</v>
      </c>
    </row>
    <row r="1919" spans="1:10" x14ac:dyDescent="0.35">
      <c r="A1919" s="3" t="s">
        <v>1964</v>
      </c>
      <c r="B1919" s="4">
        <v>43728</v>
      </c>
      <c r="C1919">
        <v>1</v>
      </c>
      <c r="D1919" t="s">
        <v>16</v>
      </c>
      <c r="E1919" t="s">
        <v>17</v>
      </c>
      <c r="F1919" t="s">
        <v>18</v>
      </c>
      <c r="G1919" t="s">
        <v>41</v>
      </c>
      <c r="H1919">
        <v>399</v>
      </c>
      <c r="I1919">
        <v>1</v>
      </c>
      <c r="J1919">
        <v>399</v>
      </c>
    </row>
    <row r="1920" spans="1:10" x14ac:dyDescent="0.35">
      <c r="A1920" s="3" t="s">
        <v>1965</v>
      </c>
      <c r="B1920" s="4">
        <v>43728</v>
      </c>
      <c r="C1920">
        <v>11</v>
      </c>
      <c r="D1920" t="s">
        <v>11</v>
      </c>
      <c r="E1920" t="s">
        <v>63</v>
      </c>
      <c r="F1920" t="s">
        <v>13</v>
      </c>
      <c r="G1920" t="s">
        <v>14</v>
      </c>
      <c r="H1920">
        <v>199</v>
      </c>
      <c r="I1920">
        <v>4</v>
      </c>
      <c r="J1920">
        <v>796</v>
      </c>
    </row>
    <row r="1921" spans="1:10" x14ac:dyDescent="0.35">
      <c r="A1921" s="3" t="s">
        <v>1966</v>
      </c>
      <c r="B1921" s="4">
        <v>43728</v>
      </c>
      <c r="C1921">
        <v>10</v>
      </c>
      <c r="D1921" t="s">
        <v>58</v>
      </c>
      <c r="E1921" t="s">
        <v>46</v>
      </c>
      <c r="F1921" t="s">
        <v>23</v>
      </c>
      <c r="G1921" t="s">
        <v>24</v>
      </c>
      <c r="H1921">
        <v>159</v>
      </c>
      <c r="I1921">
        <v>9</v>
      </c>
      <c r="J1921">
        <v>1431</v>
      </c>
    </row>
    <row r="1922" spans="1:10" x14ac:dyDescent="0.35">
      <c r="A1922" s="3" t="s">
        <v>1967</v>
      </c>
      <c r="B1922" s="4">
        <v>43728</v>
      </c>
      <c r="C1922">
        <v>17</v>
      </c>
      <c r="D1922" t="s">
        <v>35</v>
      </c>
      <c r="E1922" t="s">
        <v>27</v>
      </c>
      <c r="F1922" t="s">
        <v>28</v>
      </c>
      <c r="G1922" t="s">
        <v>41</v>
      </c>
      <c r="H1922">
        <v>399</v>
      </c>
      <c r="I1922">
        <v>1</v>
      </c>
      <c r="J1922">
        <v>399</v>
      </c>
    </row>
    <row r="1923" spans="1:10" x14ac:dyDescent="0.35">
      <c r="A1923" s="3" t="s">
        <v>1968</v>
      </c>
      <c r="B1923" s="4">
        <v>43728</v>
      </c>
      <c r="C1923">
        <v>8</v>
      </c>
      <c r="D1923" t="s">
        <v>45</v>
      </c>
      <c r="E1923" t="s">
        <v>22</v>
      </c>
      <c r="F1923" t="s">
        <v>23</v>
      </c>
      <c r="G1923" t="s">
        <v>41</v>
      </c>
      <c r="H1923">
        <v>399</v>
      </c>
      <c r="I1923">
        <v>3</v>
      </c>
      <c r="J1923">
        <v>1197</v>
      </c>
    </row>
    <row r="1924" spans="1:10" x14ac:dyDescent="0.35">
      <c r="A1924" s="3" t="s">
        <v>1969</v>
      </c>
      <c r="B1924" s="4">
        <v>43728</v>
      </c>
      <c r="C1924">
        <v>12</v>
      </c>
      <c r="D1924" t="s">
        <v>66</v>
      </c>
      <c r="E1924" t="s">
        <v>63</v>
      </c>
      <c r="F1924" t="s">
        <v>13</v>
      </c>
      <c r="G1924" t="s">
        <v>24</v>
      </c>
      <c r="H1924">
        <v>159</v>
      </c>
      <c r="I1924">
        <v>8</v>
      </c>
      <c r="J1924">
        <v>1272</v>
      </c>
    </row>
    <row r="1925" spans="1:10" x14ac:dyDescent="0.35">
      <c r="A1925" s="3" t="s">
        <v>1970</v>
      </c>
      <c r="B1925" s="4">
        <v>43728</v>
      </c>
      <c r="C1925">
        <v>6</v>
      </c>
      <c r="D1925" t="s">
        <v>48</v>
      </c>
      <c r="E1925" t="s">
        <v>22</v>
      </c>
      <c r="F1925" t="s">
        <v>23</v>
      </c>
      <c r="G1925" t="s">
        <v>14</v>
      </c>
      <c r="H1925">
        <v>199</v>
      </c>
      <c r="I1925">
        <v>0</v>
      </c>
      <c r="J1925">
        <v>0</v>
      </c>
    </row>
    <row r="1926" spans="1:10" x14ac:dyDescent="0.35">
      <c r="A1926" s="3" t="s">
        <v>1971</v>
      </c>
      <c r="B1926" s="4">
        <v>43729</v>
      </c>
      <c r="C1926">
        <v>19</v>
      </c>
      <c r="D1926" t="s">
        <v>56</v>
      </c>
      <c r="E1926" t="s">
        <v>27</v>
      </c>
      <c r="F1926" t="s">
        <v>28</v>
      </c>
      <c r="G1926" t="s">
        <v>19</v>
      </c>
      <c r="H1926">
        <v>289</v>
      </c>
      <c r="I1926">
        <v>1</v>
      </c>
      <c r="J1926">
        <v>289</v>
      </c>
    </row>
    <row r="1927" spans="1:10" x14ac:dyDescent="0.35">
      <c r="A1927" s="3" t="s">
        <v>1972</v>
      </c>
      <c r="B1927" s="4">
        <v>43730</v>
      </c>
      <c r="C1927">
        <v>1</v>
      </c>
      <c r="D1927" t="s">
        <v>16</v>
      </c>
      <c r="E1927" t="s">
        <v>17</v>
      </c>
      <c r="F1927" t="s">
        <v>18</v>
      </c>
      <c r="G1927" t="s">
        <v>14</v>
      </c>
      <c r="H1927">
        <v>199</v>
      </c>
      <c r="I1927">
        <v>3</v>
      </c>
      <c r="J1927">
        <v>597</v>
      </c>
    </row>
    <row r="1928" spans="1:10" x14ac:dyDescent="0.35">
      <c r="A1928" s="3" t="s">
        <v>1973</v>
      </c>
      <c r="B1928" s="4">
        <v>43730</v>
      </c>
      <c r="C1928">
        <v>6</v>
      </c>
      <c r="D1928" t="s">
        <v>48</v>
      </c>
      <c r="E1928" t="s">
        <v>46</v>
      </c>
      <c r="F1928" t="s">
        <v>23</v>
      </c>
      <c r="G1928" t="s">
        <v>19</v>
      </c>
      <c r="H1928">
        <v>289</v>
      </c>
      <c r="I1928">
        <v>2</v>
      </c>
      <c r="J1928">
        <v>578</v>
      </c>
    </row>
    <row r="1929" spans="1:10" x14ac:dyDescent="0.35">
      <c r="A1929" s="3" t="s">
        <v>1974</v>
      </c>
      <c r="B1929" s="4">
        <v>43730</v>
      </c>
      <c r="C1929">
        <v>13</v>
      </c>
      <c r="D1929" t="s">
        <v>33</v>
      </c>
      <c r="E1929" t="s">
        <v>63</v>
      </c>
      <c r="F1929" t="s">
        <v>13</v>
      </c>
      <c r="G1929" t="s">
        <v>41</v>
      </c>
      <c r="H1929">
        <v>399</v>
      </c>
      <c r="I1929">
        <v>6</v>
      </c>
      <c r="J1929">
        <v>2394</v>
      </c>
    </row>
    <row r="1930" spans="1:10" x14ac:dyDescent="0.35">
      <c r="A1930" s="3" t="s">
        <v>1975</v>
      </c>
      <c r="B1930" s="4">
        <v>43730</v>
      </c>
      <c r="C1930">
        <v>9</v>
      </c>
      <c r="D1930" t="s">
        <v>21</v>
      </c>
      <c r="E1930" t="s">
        <v>46</v>
      </c>
      <c r="F1930" t="s">
        <v>23</v>
      </c>
      <c r="G1930" t="s">
        <v>14</v>
      </c>
      <c r="H1930">
        <v>199</v>
      </c>
      <c r="I1930">
        <v>3</v>
      </c>
      <c r="J1930">
        <v>597</v>
      </c>
    </row>
    <row r="1931" spans="1:10" x14ac:dyDescent="0.35">
      <c r="A1931" s="3" t="s">
        <v>1976</v>
      </c>
      <c r="B1931" s="4">
        <v>43731</v>
      </c>
      <c r="C1931">
        <v>4</v>
      </c>
      <c r="D1931" t="s">
        <v>51</v>
      </c>
      <c r="E1931" t="s">
        <v>17</v>
      </c>
      <c r="F1931" t="s">
        <v>18</v>
      </c>
      <c r="G1931" t="s">
        <v>41</v>
      </c>
      <c r="H1931">
        <v>399</v>
      </c>
      <c r="I1931">
        <v>7</v>
      </c>
      <c r="J1931">
        <v>2793</v>
      </c>
    </row>
    <row r="1932" spans="1:10" x14ac:dyDescent="0.35">
      <c r="A1932" s="3" t="s">
        <v>1977</v>
      </c>
      <c r="B1932" s="4">
        <v>43731</v>
      </c>
      <c r="C1932">
        <v>2</v>
      </c>
      <c r="D1932" t="s">
        <v>106</v>
      </c>
      <c r="E1932" t="s">
        <v>17</v>
      </c>
      <c r="F1932" t="s">
        <v>18</v>
      </c>
      <c r="G1932" t="s">
        <v>41</v>
      </c>
      <c r="H1932">
        <v>399</v>
      </c>
      <c r="I1932">
        <v>0</v>
      </c>
      <c r="J1932">
        <v>0</v>
      </c>
    </row>
    <row r="1933" spans="1:10" x14ac:dyDescent="0.35">
      <c r="A1933" s="3" t="s">
        <v>1978</v>
      </c>
      <c r="B1933" s="4">
        <v>43732</v>
      </c>
      <c r="C1933">
        <v>7</v>
      </c>
      <c r="D1933" t="s">
        <v>88</v>
      </c>
      <c r="E1933" t="s">
        <v>22</v>
      </c>
      <c r="F1933" t="s">
        <v>23</v>
      </c>
      <c r="G1933" t="s">
        <v>24</v>
      </c>
      <c r="H1933">
        <v>159</v>
      </c>
      <c r="I1933">
        <v>5</v>
      </c>
      <c r="J1933">
        <v>795</v>
      </c>
    </row>
    <row r="1934" spans="1:10" x14ac:dyDescent="0.35">
      <c r="A1934" s="3" t="s">
        <v>1979</v>
      </c>
      <c r="B1934" s="4">
        <v>43732</v>
      </c>
      <c r="C1934">
        <v>2</v>
      </c>
      <c r="D1934" t="s">
        <v>106</v>
      </c>
      <c r="E1934" t="s">
        <v>68</v>
      </c>
      <c r="F1934" t="s">
        <v>18</v>
      </c>
      <c r="G1934" t="s">
        <v>24</v>
      </c>
      <c r="H1934">
        <v>159</v>
      </c>
      <c r="I1934">
        <v>7</v>
      </c>
      <c r="J1934">
        <v>1113</v>
      </c>
    </row>
    <row r="1935" spans="1:10" x14ac:dyDescent="0.35">
      <c r="A1935" s="3" t="s">
        <v>1980</v>
      </c>
      <c r="B1935" s="4">
        <v>43733</v>
      </c>
      <c r="C1935">
        <v>6</v>
      </c>
      <c r="D1935" t="s">
        <v>48</v>
      </c>
      <c r="E1935" t="s">
        <v>46</v>
      </c>
      <c r="F1935" t="s">
        <v>23</v>
      </c>
      <c r="G1935" t="s">
        <v>19</v>
      </c>
      <c r="H1935">
        <v>289</v>
      </c>
      <c r="I1935">
        <v>8</v>
      </c>
      <c r="J1935">
        <v>2312</v>
      </c>
    </row>
    <row r="1936" spans="1:10" x14ac:dyDescent="0.35">
      <c r="A1936" s="3" t="s">
        <v>1981</v>
      </c>
      <c r="B1936" s="4">
        <v>43733</v>
      </c>
      <c r="C1936">
        <v>12</v>
      </c>
      <c r="D1936" t="s">
        <v>66</v>
      </c>
      <c r="E1936" t="s">
        <v>12</v>
      </c>
      <c r="F1936" t="s">
        <v>13</v>
      </c>
      <c r="G1936" t="s">
        <v>19</v>
      </c>
      <c r="H1936">
        <v>289</v>
      </c>
      <c r="I1936">
        <v>5</v>
      </c>
      <c r="J1936">
        <v>1445</v>
      </c>
    </row>
    <row r="1937" spans="1:10" x14ac:dyDescent="0.35">
      <c r="A1937" s="3" t="s">
        <v>1982</v>
      </c>
      <c r="B1937" s="4">
        <v>43734</v>
      </c>
      <c r="C1937">
        <v>17</v>
      </c>
      <c r="D1937" t="s">
        <v>35</v>
      </c>
      <c r="E1937" t="s">
        <v>36</v>
      </c>
      <c r="F1937" t="s">
        <v>28</v>
      </c>
      <c r="G1937" t="s">
        <v>19</v>
      </c>
      <c r="H1937">
        <v>289</v>
      </c>
      <c r="I1937">
        <v>6</v>
      </c>
      <c r="J1937">
        <v>1734</v>
      </c>
    </row>
    <row r="1938" spans="1:10" x14ac:dyDescent="0.35">
      <c r="A1938" s="3" t="s">
        <v>1983</v>
      </c>
      <c r="B1938" s="4">
        <v>43735</v>
      </c>
      <c r="C1938">
        <v>15</v>
      </c>
      <c r="D1938" t="s">
        <v>118</v>
      </c>
      <c r="E1938" t="s">
        <v>12</v>
      </c>
      <c r="F1938" t="s">
        <v>13</v>
      </c>
      <c r="G1938" t="s">
        <v>19</v>
      </c>
      <c r="H1938">
        <v>289</v>
      </c>
      <c r="I1938">
        <v>2</v>
      </c>
      <c r="J1938">
        <v>578</v>
      </c>
    </row>
    <row r="1939" spans="1:10" x14ac:dyDescent="0.35">
      <c r="A1939" s="3" t="s">
        <v>1984</v>
      </c>
      <c r="B1939" s="4">
        <v>43735</v>
      </c>
      <c r="C1939">
        <v>13</v>
      </c>
      <c r="D1939" t="s">
        <v>33</v>
      </c>
      <c r="E1939" t="s">
        <v>63</v>
      </c>
      <c r="F1939" t="s">
        <v>13</v>
      </c>
      <c r="G1939" t="s">
        <v>19</v>
      </c>
      <c r="H1939">
        <v>289</v>
      </c>
      <c r="I1939">
        <v>5</v>
      </c>
      <c r="J1939">
        <v>1445</v>
      </c>
    </row>
    <row r="1940" spans="1:10" x14ac:dyDescent="0.35">
      <c r="A1940" s="3" t="s">
        <v>1985</v>
      </c>
      <c r="B1940" s="4">
        <v>43735</v>
      </c>
      <c r="C1940">
        <v>13</v>
      </c>
      <c r="D1940" t="s">
        <v>33</v>
      </c>
      <c r="E1940" t="s">
        <v>63</v>
      </c>
      <c r="F1940" t="s">
        <v>13</v>
      </c>
      <c r="G1940" t="s">
        <v>41</v>
      </c>
      <c r="H1940">
        <v>399</v>
      </c>
      <c r="I1940">
        <v>6</v>
      </c>
      <c r="J1940">
        <v>2394</v>
      </c>
    </row>
    <row r="1941" spans="1:10" x14ac:dyDescent="0.35">
      <c r="A1941" s="3" t="s">
        <v>1986</v>
      </c>
      <c r="B1941" s="4">
        <v>43736</v>
      </c>
      <c r="C1941">
        <v>12</v>
      </c>
      <c r="D1941" t="s">
        <v>66</v>
      </c>
      <c r="E1941" t="s">
        <v>12</v>
      </c>
      <c r="F1941" t="s">
        <v>13</v>
      </c>
      <c r="G1941" t="s">
        <v>24</v>
      </c>
      <c r="H1941">
        <v>159</v>
      </c>
      <c r="I1941">
        <v>1</v>
      </c>
      <c r="J1941">
        <v>159</v>
      </c>
    </row>
    <row r="1942" spans="1:10" x14ac:dyDescent="0.35">
      <c r="A1942" s="3" t="s">
        <v>1987</v>
      </c>
      <c r="B1942" s="4">
        <v>43736</v>
      </c>
      <c r="C1942">
        <v>11</v>
      </c>
      <c r="D1942" t="s">
        <v>11</v>
      </c>
      <c r="E1942" t="s">
        <v>63</v>
      </c>
      <c r="F1942" t="s">
        <v>13</v>
      </c>
      <c r="G1942" t="s">
        <v>31</v>
      </c>
      <c r="H1942">
        <v>69</v>
      </c>
      <c r="I1942">
        <v>3</v>
      </c>
      <c r="J1942">
        <v>207</v>
      </c>
    </row>
    <row r="1943" spans="1:10" x14ac:dyDescent="0.35">
      <c r="A1943" s="3" t="s">
        <v>1988</v>
      </c>
      <c r="B1943" s="4">
        <v>43736</v>
      </c>
      <c r="C1943">
        <v>4</v>
      </c>
      <c r="D1943" t="s">
        <v>51</v>
      </c>
      <c r="E1943" t="s">
        <v>17</v>
      </c>
      <c r="F1943" t="s">
        <v>18</v>
      </c>
      <c r="G1943" t="s">
        <v>14</v>
      </c>
      <c r="H1943">
        <v>199</v>
      </c>
      <c r="I1943">
        <v>0</v>
      </c>
      <c r="J1943">
        <v>0</v>
      </c>
    </row>
    <row r="1944" spans="1:10" x14ac:dyDescent="0.35">
      <c r="A1944" s="3" t="s">
        <v>1989</v>
      </c>
      <c r="B1944" s="4">
        <v>43737</v>
      </c>
      <c r="C1944">
        <v>18</v>
      </c>
      <c r="D1944" t="s">
        <v>26</v>
      </c>
      <c r="E1944" t="s">
        <v>27</v>
      </c>
      <c r="F1944" t="s">
        <v>28</v>
      </c>
      <c r="G1944" t="s">
        <v>31</v>
      </c>
      <c r="H1944">
        <v>69</v>
      </c>
      <c r="I1944">
        <v>3</v>
      </c>
      <c r="J1944">
        <v>207</v>
      </c>
    </row>
    <row r="1945" spans="1:10" x14ac:dyDescent="0.35">
      <c r="A1945" s="3" t="s">
        <v>1990</v>
      </c>
      <c r="B1945" s="4">
        <v>43737</v>
      </c>
      <c r="C1945">
        <v>12</v>
      </c>
      <c r="D1945" t="s">
        <v>66</v>
      </c>
      <c r="E1945" t="s">
        <v>63</v>
      </c>
      <c r="F1945" t="s">
        <v>13</v>
      </c>
      <c r="G1945" t="s">
        <v>14</v>
      </c>
      <c r="H1945">
        <v>199</v>
      </c>
      <c r="I1945">
        <v>2</v>
      </c>
      <c r="J1945">
        <v>398</v>
      </c>
    </row>
    <row r="1946" spans="1:10" x14ac:dyDescent="0.35">
      <c r="A1946" s="3" t="s">
        <v>1991</v>
      </c>
      <c r="B1946" s="4">
        <v>43737</v>
      </c>
      <c r="C1946">
        <v>19</v>
      </c>
      <c r="D1946" t="s">
        <v>56</v>
      </c>
      <c r="E1946" t="s">
        <v>27</v>
      </c>
      <c r="F1946" t="s">
        <v>28</v>
      </c>
      <c r="G1946" t="s">
        <v>19</v>
      </c>
      <c r="H1946">
        <v>289</v>
      </c>
      <c r="I1946">
        <v>0</v>
      </c>
      <c r="J1946">
        <v>0</v>
      </c>
    </row>
    <row r="1947" spans="1:10" x14ac:dyDescent="0.35">
      <c r="A1947" s="3" t="s">
        <v>1992</v>
      </c>
      <c r="B1947" s="4">
        <v>43737</v>
      </c>
      <c r="C1947">
        <v>16</v>
      </c>
      <c r="D1947" t="s">
        <v>30</v>
      </c>
      <c r="E1947" t="s">
        <v>36</v>
      </c>
      <c r="F1947" t="s">
        <v>28</v>
      </c>
      <c r="G1947" t="s">
        <v>14</v>
      </c>
      <c r="H1947">
        <v>199</v>
      </c>
      <c r="I1947">
        <v>4</v>
      </c>
      <c r="J1947">
        <v>796</v>
      </c>
    </row>
    <row r="1948" spans="1:10" x14ac:dyDescent="0.35">
      <c r="A1948" s="3" t="s">
        <v>1993</v>
      </c>
      <c r="B1948" s="4">
        <v>43737</v>
      </c>
      <c r="C1948">
        <v>19</v>
      </c>
      <c r="D1948" t="s">
        <v>56</v>
      </c>
      <c r="E1948" t="s">
        <v>36</v>
      </c>
      <c r="F1948" t="s">
        <v>28</v>
      </c>
      <c r="G1948" t="s">
        <v>14</v>
      </c>
      <c r="H1948">
        <v>199</v>
      </c>
      <c r="I1948">
        <v>2</v>
      </c>
      <c r="J1948">
        <v>398</v>
      </c>
    </row>
    <row r="1949" spans="1:10" x14ac:dyDescent="0.35">
      <c r="A1949" s="3" t="s">
        <v>1994</v>
      </c>
      <c r="B1949" s="4">
        <v>43737</v>
      </c>
      <c r="C1949">
        <v>1</v>
      </c>
      <c r="D1949" t="s">
        <v>16</v>
      </c>
      <c r="E1949" t="s">
        <v>17</v>
      </c>
      <c r="F1949" t="s">
        <v>18</v>
      </c>
      <c r="G1949" t="s">
        <v>19</v>
      </c>
      <c r="H1949">
        <v>289</v>
      </c>
      <c r="I1949">
        <v>8</v>
      </c>
      <c r="J1949">
        <v>2312</v>
      </c>
    </row>
    <row r="1950" spans="1:10" x14ac:dyDescent="0.35">
      <c r="A1950" s="3" t="s">
        <v>1995</v>
      </c>
      <c r="B1950" s="4">
        <v>43737</v>
      </c>
      <c r="C1950">
        <v>9</v>
      </c>
      <c r="D1950" t="s">
        <v>21</v>
      </c>
      <c r="E1950" t="s">
        <v>22</v>
      </c>
      <c r="F1950" t="s">
        <v>23</v>
      </c>
      <c r="G1950" t="s">
        <v>41</v>
      </c>
      <c r="H1950">
        <v>399</v>
      </c>
      <c r="I1950">
        <v>4</v>
      </c>
      <c r="J1950">
        <v>1596</v>
      </c>
    </row>
    <row r="1951" spans="1:10" x14ac:dyDescent="0.35">
      <c r="A1951" s="3" t="s">
        <v>1996</v>
      </c>
      <c r="B1951" s="4">
        <v>43738</v>
      </c>
      <c r="C1951">
        <v>9</v>
      </c>
      <c r="D1951" t="s">
        <v>21</v>
      </c>
      <c r="E1951" t="s">
        <v>46</v>
      </c>
      <c r="F1951" t="s">
        <v>23</v>
      </c>
      <c r="G1951" t="s">
        <v>31</v>
      </c>
      <c r="H1951">
        <v>69</v>
      </c>
      <c r="I1951">
        <v>7</v>
      </c>
      <c r="J1951">
        <v>483</v>
      </c>
    </row>
    <row r="1952" spans="1:10" x14ac:dyDescent="0.35">
      <c r="A1952" s="3" t="s">
        <v>1997</v>
      </c>
      <c r="B1952" s="4">
        <v>43739</v>
      </c>
      <c r="C1952">
        <v>20</v>
      </c>
      <c r="D1952" t="s">
        <v>40</v>
      </c>
      <c r="E1952" t="s">
        <v>27</v>
      </c>
      <c r="F1952" t="s">
        <v>28</v>
      </c>
      <c r="G1952" t="s">
        <v>24</v>
      </c>
      <c r="H1952">
        <v>159</v>
      </c>
      <c r="I1952">
        <v>1</v>
      </c>
      <c r="J1952">
        <v>159</v>
      </c>
    </row>
    <row r="1953" spans="1:10" x14ac:dyDescent="0.35">
      <c r="A1953" s="3" t="s">
        <v>1998</v>
      </c>
      <c r="B1953" s="4">
        <v>43739</v>
      </c>
      <c r="C1953">
        <v>8</v>
      </c>
      <c r="D1953" t="s">
        <v>45</v>
      </c>
      <c r="E1953" t="s">
        <v>22</v>
      </c>
      <c r="F1953" t="s">
        <v>23</v>
      </c>
      <c r="G1953" t="s">
        <v>19</v>
      </c>
      <c r="H1953">
        <v>289</v>
      </c>
      <c r="I1953">
        <v>5</v>
      </c>
      <c r="J1953">
        <v>1445</v>
      </c>
    </row>
    <row r="1954" spans="1:10" x14ac:dyDescent="0.35">
      <c r="A1954" s="3" t="s">
        <v>1999</v>
      </c>
      <c r="B1954" s="4">
        <v>43739</v>
      </c>
      <c r="C1954">
        <v>18</v>
      </c>
      <c r="D1954" t="s">
        <v>26</v>
      </c>
      <c r="E1954" t="s">
        <v>36</v>
      </c>
      <c r="F1954" t="s">
        <v>28</v>
      </c>
      <c r="G1954" t="s">
        <v>31</v>
      </c>
      <c r="H1954">
        <v>69</v>
      </c>
      <c r="I1954">
        <v>0</v>
      </c>
      <c r="J1954">
        <v>0</v>
      </c>
    </row>
    <row r="1955" spans="1:10" x14ac:dyDescent="0.35">
      <c r="A1955" s="3" t="s">
        <v>2000</v>
      </c>
      <c r="B1955" s="4">
        <v>43739</v>
      </c>
      <c r="C1955">
        <v>2</v>
      </c>
      <c r="D1955" t="s">
        <v>106</v>
      </c>
      <c r="E1955" t="s">
        <v>17</v>
      </c>
      <c r="F1955" t="s">
        <v>18</v>
      </c>
      <c r="G1955" t="s">
        <v>41</v>
      </c>
      <c r="H1955">
        <v>399</v>
      </c>
      <c r="I1955">
        <v>2</v>
      </c>
      <c r="J1955">
        <v>798</v>
      </c>
    </row>
    <row r="1956" spans="1:10" x14ac:dyDescent="0.35">
      <c r="A1956" s="3" t="s">
        <v>2001</v>
      </c>
      <c r="B1956" s="4">
        <v>43740</v>
      </c>
      <c r="C1956">
        <v>10</v>
      </c>
      <c r="D1956" t="s">
        <v>58</v>
      </c>
      <c r="E1956" t="s">
        <v>22</v>
      </c>
      <c r="F1956" t="s">
        <v>23</v>
      </c>
      <c r="G1956" t="s">
        <v>14</v>
      </c>
      <c r="H1956">
        <v>199</v>
      </c>
      <c r="I1956">
        <v>7</v>
      </c>
      <c r="J1956">
        <v>1393</v>
      </c>
    </row>
    <row r="1957" spans="1:10" x14ac:dyDescent="0.35">
      <c r="A1957" s="3" t="s">
        <v>2002</v>
      </c>
      <c r="B1957" s="4">
        <v>43740</v>
      </c>
      <c r="C1957">
        <v>13</v>
      </c>
      <c r="D1957" t="s">
        <v>33</v>
      </c>
      <c r="E1957" t="s">
        <v>63</v>
      </c>
      <c r="F1957" t="s">
        <v>13</v>
      </c>
      <c r="G1957" t="s">
        <v>24</v>
      </c>
      <c r="H1957">
        <v>159</v>
      </c>
      <c r="I1957">
        <v>5</v>
      </c>
      <c r="J1957">
        <v>795</v>
      </c>
    </row>
    <row r="1958" spans="1:10" x14ac:dyDescent="0.35">
      <c r="A1958" s="3" t="s">
        <v>2003</v>
      </c>
      <c r="B1958" s="4">
        <v>43740</v>
      </c>
      <c r="C1958">
        <v>17</v>
      </c>
      <c r="D1958" t="s">
        <v>35</v>
      </c>
      <c r="E1958" t="s">
        <v>27</v>
      </c>
      <c r="F1958" t="s">
        <v>28</v>
      </c>
      <c r="G1958" t="s">
        <v>19</v>
      </c>
      <c r="H1958">
        <v>289</v>
      </c>
      <c r="I1958">
        <v>6</v>
      </c>
      <c r="J1958">
        <v>1734</v>
      </c>
    </row>
    <row r="1959" spans="1:10" x14ac:dyDescent="0.35">
      <c r="A1959" s="3" t="s">
        <v>2004</v>
      </c>
      <c r="B1959" s="4">
        <v>43741</v>
      </c>
      <c r="C1959">
        <v>8</v>
      </c>
      <c r="D1959" t="s">
        <v>45</v>
      </c>
      <c r="E1959" t="s">
        <v>46</v>
      </c>
      <c r="F1959" t="s">
        <v>23</v>
      </c>
      <c r="G1959" t="s">
        <v>41</v>
      </c>
      <c r="H1959">
        <v>399</v>
      </c>
      <c r="I1959">
        <v>3</v>
      </c>
      <c r="J1959">
        <v>1197</v>
      </c>
    </row>
    <row r="1960" spans="1:10" x14ac:dyDescent="0.35">
      <c r="A1960" s="3" t="s">
        <v>2005</v>
      </c>
      <c r="B1960" s="4">
        <v>43741</v>
      </c>
      <c r="C1960">
        <v>12</v>
      </c>
      <c r="D1960" t="s">
        <v>66</v>
      </c>
      <c r="E1960" t="s">
        <v>12</v>
      </c>
      <c r="F1960" t="s">
        <v>13</v>
      </c>
      <c r="G1960" t="s">
        <v>31</v>
      </c>
      <c r="H1960">
        <v>69</v>
      </c>
      <c r="I1960">
        <v>7</v>
      </c>
      <c r="J1960">
        <v>483</v>
      </c>
    </row>
    <row r="1961" spans="1:10" x14ac:dyDescent="0.35">
      <c r="A1961" s="3" t="s">
        <v>2006</v>
      </c>
      <c r="B1961" s="4">
        <v>43742</v>
      </c>
      <c r="C1961">
        <v>19</v>
      </c>
      <c r="D1961" t="s">
        <v>56</v>
      </c>
      <c r="E1961" t="s">
        <v>36</v>
      </c>
      <c r="F1961" t="s">
        <v>28</v>
      </c>
      <c r="G1961" t="s">
        <v>24</v>
      </c>
      <c r="H1961">
        <v>159</v>
      </c>
      <c r="I1961">
        <v>3</v>
      </c>
      <c r="J1961">
        <v>477</v>
      </c>
    </row>
    <row r="1962" spans="1:10" x14ac:dyDescent="0.35">
      <c r="A1962" s="3" t="s">
        <v>2007</v>
      </c>
      <c r="B1962" s="4">
        <v>43742</v>
      </c>
      <c r="C1962">
        <v>9</v>
      </c>
      <c r="D1962" t="s">
        <v>21</v>
      </c>
      <c r="E1962" t="s">
        <v>22</v>
      </c>
      <c r="F1962" t="s">
        <v>23</v>
      </c>
      <c r="G1962" t="s">
        <v>19</v>
      </c>
      <c r="H1962">
        <v>289</v>
      </c>
      <c r="I1962">
        <v>8</v>
      </c>
      <c r="J1962">
        <v>2312</v>
      </c>
    </row>
    <row r="1963" spans="1:10" x14ac:dyDescent="0.35">
      <c r="A1963" s="3" t="s">
        <v>2008</v>
      </c>
      <c r="B1963" s="4">
        <v>43742</v>
      </c>
      <c r="C1963">
        <v>20</v>
      </c>
      <c r="D1963" t="s">
        <v>40</v>
      </c>
      <c r="E1963" t="s">
        <v>27</v>
      </c>
      <c r="F1963" t="s">
        <v>28</v>
      </c>
      <c r="G1963" t="s">
        <v>41</v>
      </c>
      <c r="H1963">
        <v>399</v>
      </c>
      <c r="I1963">
        <v>3</v>
      </c>
      <c r="J1963">
        <v>1197</v>
      </c>
    </row>
    <row r="1964" spans="1:10" x14ac:dyDescent="0.35">
      <c r="A1964" s="3" t="s">
        <v>2009</v>
      </c>
      <c r="B1964" s="4">
        <v>43743</v>
      </c>
      <c r="C1964">
        <v>20</v>
      </c>
      <c r="D1964" t="s">
        <v>40</v>
      </c>
      <c r="E1964" t="s">
        <v>36</v>
      </c>
      <c r="F1964" t="s">
        <v>28</v>
      </c>
      <c r="G1964" t="s">
        <v>19</v>
      </c>
      <c r="H1964">
        <v>289</v>
      </c>
      <c r="I1964">
        <v>1</v>
      </c>
      <c r="J1964">
        <v>289</v>
      </c>
    </row>
    <row r="1965" spans="1:10" x14ac:dyDescent="0.35">
      <c r="A1965" s="3" t="s">
        <v>2010</v>
      </c>
      <c r="B1965" s="4">
        <v>43743</v>
      </c>
      <c r="C1965">
        <v>4</v>
      </c>
      <c r="D1965" t="s">
        <v>51</v>
      </c>
      <c r="E1965" t="s">
        <v>17</v>
      </c>
      <c r="F1965" t="s">
        <v>18</v>
      </c>
      <c r="G1965" t="s">
        <v>19</v>
      </c>
      <c r="H1965">
        <v>289</v>
      </c>
      <c r="I1965">
        <v>3</v>
      </c>
      <c r="J1965">
        <v>867</v>
      </c>
    </row>
    <row r="1966" spans="1:10" x14ac:dyDescent="0.35">
      <c r="A1966" s="3" t="s">
        <v>2011</v>
      </c>
      <c r="B1966" s="4">
        <v>43743</v>
      </c>
      <c r="C1966">
        <v>4</v>
      </c>
      <c r="D1966" t="s">
        <v>51</v>
      </c>
      <c r="E1966" t="s">
        <v>68</v>
      </c>
      <c r="F1966" t="s">
        <v>18</v>
      </c>
      <c r="G1966" t="s">
        <v>14</v>
      </c>
      <c r="H1966">
        <v>199</v>
      </c>
      <c r="I1966">
        <v>2</v>
      </c>
      <c r="J1966">
        <v>398</v>
      </c>
    </row>
    <row r="1967" spans="1:10" x14ac:dyDescent="0.35">
      <c r="A1967" s="3" t="s">
        <v>2012</v>
      </c>
      <c r="B1967" s="4">
        <v>43743</v>
      </c>
      <c r="C1967">
        <v>15</v>
      </c>
      <c r="D1967" t="s">
        <v>118</v>
      </c>
      <c r="E1967" t="s">
        <v>12</v>
      </c>
      <c r="F1967" t="s">
        <v>13</v>
      </c>
      <c r="G1967" t="s">
        <v>41</v>
      </c>
      <c r="H1967">
        <v>399</v>
      </c>
      <c r="I1967">
        <v>0</v>
      </c>
      <c r="J1967">
        <v>0</v>
      </c>
    </row>
    <row r="1968" spans="1:10" x14ac:dyDescent="0.35">
      <c r="A1968" s="3" t="s">
        <v>2013</v>
      </c>
      <c r="B1968" s="4">
        <v>43743</v>
      </c>
      <c r="C1968">
        <v>20</v>
      </c>
      <c r="D1968" t="s">
        <v>40</v>
      </c>
      <c r="E1968" t="s">
        <v>36</v>
      </c>
      <c r="F1968" t="s">
        <v>28</v>
      </c>
      <c r="G1968" t="s">
        <v>41</v>
      </c>
      <c r="H1968">
        <v>399</v>
      </c>
      <c r="I1968">
        <v>9</v>
      </c>
      <c r="J1968">
        <v>3591</v>
      </c>
    </row>
    <row r="1969" spans="1:10" x14ac:dyDescent="0.35">
      <c r="A1969" s="3" t="s">
        <v>2014</v>
      </c>
      <c r="B1969" s="4">
        <v>43743</v>
      </c>
      <c r="C1969">
        <v>1</v>
      </c>
      <c r="D1969" t="s">
        <v>16</v>
      </c>
      <c r="E1969" t="s">
        <v>68</v>
      </c>
      <c r="F1969" t="s">
        <v>18</v>
      </c>
      <c r="G1969" t="s">
        <v>31</v>
      </c>
      <c r="H1969">
        <v>69</v>
      </c>
      <c r="I1969">
        <v>2</v>
      </c>
      <c r="J1969">
        <v>138</v>
      </c>
    </row>
    <row r="1970" spans="1:10" x14ac:dyDescent="0.35">
      <c r="A1970" s="3" t="s">
        <v>2015</v>
      </c>
      <c r="B1970" s="4">
        <v>43743</v>
      </c>
      <c r="C1970">
        <v>3</v>
      </c>
      <c r="D1970" t="s">
        <v>43</v>
      </c>
      <c r="E1970" t="s">
        <v>68</v>
      </c>
      <c r="F1970" t="s">
        <v>18</v>
      </c>
      <c r="G1970" t="s">
        <v>14</v>
      </c>
      <c r="H1970">
        <v>199</v>
      </c>
      <c r="I1970">
        <v>1</v>
      </c>
      <c r="J1970">
        <v>199</v>
      </c>
    </row>
    <row r="1971" spans="1:10" x14ac:dyDescent="0.35">
      <c r="A1971" s="3" t="s">
        <v>2016</v>
      </c>
      <c r="B1971" s="4">
        <v>43743</v>
      </c>
      <c r="C1971">
        <v>11</v>
      </c>
      <c r="D1971" t="s">
        <v>11</v>
      </c>
      <c r="E1971" t="s">
        <v>63</v>
      </c>
      <c r="F1971" t="s">
        <v>13</v>
      </c>
      <c r="G1971" t="s">
        <v>41</v>
      </c>
      <c r="H1971">
        <v>399</v>
      </c>
      <c r="I1971">
        <v>2</v>
      </c>
      <c r="J1971">
        <v>798</v>
      </c>
    </row>
    <row r="1972" spans="1:10" x14ac:dyDescent="0.35">
      <c r="A1972" s="3" t="s">
        <v>2017</v>
      </c>
      <c r="B1972" s="4">
        <v>43743</v>
      </c>
      <c r="C1972">
        <v>17</v>
      </c>
      <c r="D1972" t="s">
        <v>35</v>
      </c>
      <c r="E1972" t="s">
        <v>27</v>
      </c>
      <c r="F1972" t="s">
        <v>28</v>
      </c>
      <c r="G1972" t="s">
        <v>31</v>
      </c>
      <c r="H1972">
        <v>69</v>
      </c>
      <c r="I1972">
        <v>6</v>
      </c>
      <c r="J1972">
        <v>414</v>
      </c>
    </row>
    <row r="1973" spans="1:10" x14ac:dyDescent="0.35">
      <c r="A1973" s="3" t="s">
        <v>2018</v>
      </c>
      <c r="B1973" s="4">
        <v>43743</v>
      </c>
      <c r="C1973">
        <v>8</v>
      </c>
      <c r="D1973" t="s">
        <v>45</v>
      </c>
      <c r="E1973" t="s">
        <v>22</v>
      </c>
      <c r="F1973" t="s">
        <v>23</v>
      </c>
      <c r="G1973" t="s">
        <v>31</v>
      </c>
      <c r="H1973">
        <v>69</v>
      </c>
      <c r="I1973">
        <v>0</v>
      </c>
      <c r="J1973">
        <v>0</v>
      </c>
    </row>
    <row r="1974" spans="1:10" x14ac:dyDescent="0.35">
      <c r="A1974" s="3" t="s">
        <v>2019</v>
      </c>
      <c r="B1974" s="4">
        <v>43743</v>
      </c>
      <c r="C1974">
        <v>12</v>
      </c>
      <c r="D1974" t="s">
        <v>66</v>
      </c>
      <c r="E1974" t="s">
        <v>12</v>
      </c>
      <c r="F1974" t="s">
        <v>13</v>
      </c>
      <c r="G1974" t="s">
        <v>41</v>
      </c>
      <c r="H1974">
        <v>399</v>
      </c>
      <c r="I1974">
        <v>6</v>
      </c>
      <c r="J1974">
        <v>2394</v>
      </c>
    </row>
    <row r="1975" spans="1:10" x14ac:dyDescent="0.35">
      <c r="A1975" s="3" t="s">
        <v>2020</v>
      </c>
      <c r="B1975" s="4">
        <v>43744</v>
      </c>
      <c r="C1975">
        <v>19</v>
      </c>
      <c r="D1975" t="s">
        <v>56</v>
      </c>
      <c r="E1975" t="s">
        <v>27</v>
      </c>
      <c r="F1975" t="s">
        <v>28</v>
      </c>
      <c r="G1975" t="s">
        <v>19</v>
      </c>
      <c r="H1975">
        <v>289</v>
      </c>
      <c r="I1975">
        <v>1</v>
      </c>
      <c r="J1975">
        <v>289</v>
      </c>
    </row>
    <row r="1976" spans="1:10" x14ac:dyDescent="0.35">
      <c r="A1976" s="3" t="s">
        <v>2021</v>
      </c>
      <c r="B1976" s="4">
        <v>43745</v>
      </c>
      <c r="C1976">
        <v>6</v>
      </c>
      <c r="D1976" t="s">
        <v>48</v>
      </c>
      <c r="E1976" t="s">
        <v>22</v>
      </c>
      <c r="F1976" t="s">
        <v>23</v>
      </c>
      <c r="G1976" t="s">
        <v>24</v>
      </c>
      <c r="H1976">
        <v>159</v>
      </c>
      <c r="I1976">
        <v>4</v>
      </c>
      <c r="J1976">
        <v>636</v>
      </c>
    </row>
    <row r="1977" spans="1:10" x14ac:dyDescent="0.35">
      <c r="A1977" s="3" t="s">
        <v>2022</v>
      </c>
      <c r="B1977" s="4">
        <v>43745</v>
      </c>
      <c r="C1977">
        <v>15</v>
      </c>
      <c r="D1977" t="s">
        <v>118</v>
      </c>
      <c r="E1977" t="s">
        <v>12</v>
      </c>
      <c r="F1977" t="s">
        <v>13</v>
      </c>
      <c r="G1977" t="s">
        <v>24</v>
      </c>
      <c r="H1977">
        <v>159</v>
      </c>
      <c r="I1977">
        <v>1</v>
      </c>
      <c r="J1977">
        <v>159</v>
      </c>
    </row>
    <row r="1978" spans="1:10" x14ac:dyDescent="0.35">
      <c r="A1978" s="3" t="s">
        <v>2023</v>
      </c>
      <c r="B1978" s="4">
        <v>43746</v>
      </c>
      <c r="C1978">
        <v>10</v>
      </c>
      <c r="D1978" t="s">
        <v>58</v>
      </c>
      <c r="E1978" t="s">
        <v>22</v>
      </c>
      <c r="F1978" t="s">
        <v>23</v>
      </c>
      <c r="G1978" t="s">
        <v>24</v>
      </c>
      <c r="H1978">
        <v>159</v>
      </c>
      <c r="I1978">
        <v>6</v>
      </c>
      <c r="J1978">
        <v>954</v>
      </c>
    </row>
    <row r="1979" spans="1:10" x14ac:dyDescent="0.35">
      <c r="A1979" s="3" t="s">
        <v>2024</v>
      </c>
      <c r="B1979" s="4">
        <v>43746</v>
      </c>
      <c r="C1979">
        <v>14</v>
      </c>
      <c r="D1979" t="s">
        <v>38</v>
      </c>
      <c r="E1979" t="s">
        <v>63</v>
      </c>
      <c r="F1979" t="s">
        <v>13</v>
      </c>
      <c r="G1979" t="s">
        <v>14</v>
      </c>
      <c r="H1979">
        <v>199</v>
      </c>
      <c r="I1979">
        <v>0</v>
      </c>
      <c r="J1979">
        <v>0</v>
      </c>
    </row>
    <row r="1980" spans="1:10" x14ac:dyDescent="0.35">
      <c r="A1980" s="3" t="s">
        <v>2025</v>
      </c>
      <c r="B1980" s="4">
        <v>43747</v>
      </c>
      <c r="C1980">
        <v>11</v>
      </c>
      <c r="D1980" t="s">
        <v>11</v>
      </c>
      <c r="E1980" t="s">
        <v>63</v>
      </c>
      <c r="F1980" t="s">
        <v>13</v>
      </c>
      <c r="G1980" t="s">
        <v>24</v>
      </c>
      <c r="H1980">
        <v>159</v>
      </c>
      <c r="I1980">
        <v>0</v>
      </c>
      <c r="J1980">
        <v>0</v>
      </c>
    </row>
    <row r="1981" spans="1:10" x14ac:dyDescent="0.35">
      <c r="A1981" s="3" t="s">
        <v>2026</v>
      </c>
      <c r="B1981" s="4">
        <v>43747</v>
      </c>
      <c r="C1981">
        <v>17</v>
      </c>
      <c r="D1981" t="s">
        <v>35</v>
      </c>
      <c r="E1981" t="s">
        <v>27</v>
      </c>
      <c r="F1981" t="s">
        <v>28</v>
      </c>
      <c r="G1981" t="s">
        <v>31</v>
      </c>
      <c r="H1981">
        <v>69</v>
      </c>
      <c r="I1981">
        <v>4</v>
      </c>
      <c r="J1981">
        <v>276</v>
      </c>
    </row>
    <row r="1982" spans="1:10" x14ac:dyDescent="0.35">
      <c r="A1982" s="3" t="s">
        <v>2027</v>
      </c>
      <c r="B1982" s="4">
        <v>43747</v>
      </c>
      <c r="C1982">
        <v>12</v>
      </c>
      <c r="D1982" t="s">
        <v>66</v>
      </c>
      <c r="E1982" t="s">
        <v>12</v>
      </c>
      <c r="F1982" t="s">
        <v>13</v>
      </c>
      <c r="G1982" t="s">
        <v>19</v>
      </c>
      <c r="H1982">
        <v>289</v>
      </c>
      <c r="I1982">
        <v>0</v>
      </c>
      <c r="J1982">
        <v>0</v>
      </c>
    </row>
    <row r="1983" spans="1:10" x14ac:dyDescent="0.35">
      <c r="A1983" s="3" t="s">
        <v>2028</v>
      </c>
      <c r="B1983" s="4">
        <v>43747</v>
      </c>
      <c r="C1983">
        <v>15</v>
      </c>
      <c r="D1983" t="s">
        <v>118</v>
      </c>
      <c r="E1983" t="s">
        <v>63</v>
      </c>
      <c r="F1983" t="s">
        <v>13</v>
      </c>
      <c r="G1983" t="s">
        <v>31</v>
      </c>
      <c r="H1983">
        <v>69</v>
      </c>
      <c r="I1983">
        <v>1</v>
      </c>
      <c r="J1983">
        <v>69</v>
      </c>
    </row>
    <row r="1984" spans="1:10" x14ac:dyDescent="0.35">
      <c r="A1984" s="3" t="s">
        <v>2029</v>
      </c>
      <c r="B1984" s="4">
        <v>43748</v>
      </c>
      <c r="C1984">
        <v>3</v>
      </c>
      <c r="D1984" t="s">
        <v>43</v>
      </c>
      <c r="E1984" t="s">
        <v>68</v>
      </c>
      <c r="F1984" t="s">
        <v>18</v>
      </c>
      <c r="G1984" t="s">
        <v>41</v>
      </c>
      <c r="H1984">
        <v>399</v>
      </c>
      <c r="I1984">
        <v>1</v>
      </c>
      <c r="J1984">
        <v>399</v>
      </c>
    </row>
    <row r="1985" spans="1:10" x14ac:dyDescent="0.35">
      <c r="A1985" s="3" t="s">
        <v>2030</v>
      </c>
      <c r="B1985" s="4">
        <v>43749</v>
      </c>
      <c r="C1985">
        <v>20</v>
      </c>
      <c r="D1985" t="s">
        <v>40</v>
      </c>
      <c r="E1985" t="s">
        <v>27</v>
      </c>
      <c r="F1985" t="s">
        <v>28</v>
      </c>
      <c r="G1985" t="s">
        <v>14</v>
      </c>
      <c r="H1985">
        <v>199</v>
      </c>
      <c r="I1985">
        <v>1</v>
      </c>
      <c r="J1985">
        <v>199</v>
      </c>
    </row>
    <row r="1986" spans="1:10" x14ac:dyDescent="0.35">
      <c r="A1986" s="3" t="s">
        <v>2031</v>
      </c>
      <c r="B1986" s="4">
        <v>43750</v>
      </c>
      <c r="C1986">
        <v>13</v>
      </c>
      <c r="D1986" t="s">
        <v>33</v>
      </c>
      <c r="E1986" t="s">
        <v>12</v>
      </c>
      <c r="F1986" t="s">
        <v>13</v>
      </c>
      <c r="G1986" t="s">
        <v>41</v>
      </c>
      <c r="H1986">
        <v>399</v>
      </c>
      <c r="I1986">
        <v>3</v>
      </c>
      <c r="J1986">
        <v>1197</v>
      </c>
    </row>
    <row r="1987" spans="1:10" x14ac:dyDescent="0.35">
      <c r="A1987" s="3" t="s">
        <v>2032</v>
      </c>
      <c r="B1987" s="4">
        <v>43750</v>
      </c>
      <c r="C1987">
        <v>1</v>
      </c>
      <c r="D1987" t="s">
        <v>16</v>
      </c>
      <c r="E1987" t="s">
        <v>17</v>
      </c>
      <c r="F1987" t="s">
        <v>18</v>
      </c>
      <c r="G1987" t="s">
        <v>31</v>
      </c>
      <c r="H1987">
        <v>69</v>
      </c>
      <c r="I1987">
        <v>8</v>
      </c>
      <c r="J1987">
        <v>552</v>
      </c>
    </row>
    <row r="1988" spans="1:10" x14ac:dyDescent="0.35">
      <c r="A1988" s="3" t="s">
        <v>2033</v>
      </c>
      <c r="B1988" s="4">
        <v>43751</v>
      </c>
      <c r="C1988">
        <v>9</v>
      </c>
      <c r="D1988" t="s">
        <v>21</v>
      </c>
      <c r="E1988" t="s">
        <v>22</v>
      </c>
      <c r="F1988" t="s">
        <v>23</v>
      </c>
      <c r="G1988" t="s">
        <v>19</v>
      </c>
      <c r="H1988">
        <v>289</v>
      </c>
      <c r="I1988">
        <v>0</v>
      </c>
      <c r="J1988">
        <v>0</v>
      </c>
    </row>
    <row r="1989" spans="1:10" x14ac:dyDescent="0.35">
      <c r="A1989" s="3" t="s">
        <v>2034</v>
      </c>
      <c r="B1989" s="4">
        <v>43751</v>
      </c>
      <c r="C1989">
        <v>2</v>
      </c>
      <c r="D1989" t="s">
        <v>106</v>
      </c>
      <c r="E1989" t="s">
        <v>68</v>
      </c>
      <c r="F1989" t="s">
        <v>18</v>
      </c>
      <c r="G1989" t="s">
        <v>14</v>
      </c>
      <c r="H1989">
        <v>199</v>
      </c>
      <c r="I1989">
        <v>5</v>
      </c>
      <c r="J1989">
        <v>995</v>
      </c>
    </row>
    <row r="1990" spans="1:10" x14ac:dyDescent="0.35">
      <c r="A1990" s="3" t="s">
        <v>2035</v>
      </c>
      <c r="B1990" s="4">
        <v>43751</v>
      </c>
      <c r="C1990">
        <v>12</v>
      </c>
      <c r="D1990" t="s">
        <v>66</v>
      </c>
      <c r="E1990" t="s">
        <v>63</v>
      </c>
      <c r="F1990" t="s">
        <v>13</v>
      </c>
      <c r="G1990" t="s">
        <v>19</v>
      </c>
      <c r="H1990">
        <v>289</v>
      </c>
      <c r="I1990">
        <v>3</v>
      </c>
      <c r="J1990">
        <v>867</v>
      </c>
    </row>
    <row r="1991" spans="1:10" x14ac:dyDescent="0.35">
      <c r="A1991" s="3" t="s">
        <v>2036</v>
      </c>
      <c r="B1991" s="4">
        <v>43751</v>
      </c>
      <c r="C1991">
        <v>11</v>
      </c>
      <c r="D1991" t="s">
        <v>11</v>
      </c>
      <c r="E1991" t="s">
        <v>12</v>
      </c>
      <c r="F1991" t="s">
        <v>13</v>
      </c>
      <c r="G1991" t="s">
        <v>14</v>
      </c>
      <c r="H1991">
        <v>199</v>
      </c>
      <c r="I1991">
        <v>4</v>
      </c>
      <c r="J1991">
        <v>796</v>
      </c>
    </row>
    <row r="1992" spans="1:10" x14ac:dyDescent="0.35">
      <c r="A1992" s="3" t="s">
        <v>2037</v>
      </c>
      <c r="B1992" s="4">
        <v>43752</v>
      </c>
      <c r="C1992">
        <v>3</v>
      </c>
      <c r="D1992" t="s">
        <v>43</v>
      </c>
      <c r="E1992" t="s">
        <v>17</v>
      </c>
      <c r="F1992" t="s">
        <v>18</v>
      </c>
      <c r="G1992" t="s">
        <v>14</v>
      </c>
      <c r="H1992">
        <v>199</v>
      </c>
      <c r="I1992">
        <v>7</v>
      </c>
      <c r="J1992">
        <v>1393</v>
      </c>
    </row>
    <row r="1993" spans="1:10" x14ac:dyDescent="0.35">
      <c r="A1993" s="3" t="s">
        <v>2038</v>
      </c>
      <c r="B1993" s="4">
        <v>43753</v>
      </c>
      <c r="C1993">
        <v>5</v>
      </c>
      <c r="D1993" t="s">
        <v>60</v>
      </c>
      <c r="E1993" t="s">
        <v>17</v>
      </c>
      <c r="F1993" t="s">
        <v>18</v>
      </c>
      <c r="G1993" t="s">
        <v>24</v>
      </c>
      <c r="H1993">
        <v>159</v>
      </c>
      <c r="I1993">
        <v>7</v>
      </c>
      <c r="J1993">
        <v>1113</v>
      </c>
    </row>
    <row r="1994" spans="1:10" x14ac:dyDescent="0.35">
      <c r="A1994" s="3" t="s">
        <v>2039</v>
      </c>
      <c r="B1994" s="4">
        <v>43754</v>
      </c>
      <c r="C1994">
        <v>15</v>
      </c>
      <c r="D1994" t="s">
        <v>118</v>
      </c>
      <c r="E1994" t="s">
        <v>63</v>
      </c>
      <c r="F1994" t="s">
        <v>13</v>
      </c>
      <c r="G1994" t="s">
        <v>14</v>
      </c>
      <c r="H1994">
        <v>199</v>
      </c>
      <c r="I1994">
        <v>1</v>
      </c>
      <c r="J1994">
        <v>199</v>
      </c>
    </row>
    <row r="1995" spans="1:10" x14ac:dyDescent="0.35">
      <c r="A1995" s="3" t="s">
        <v>2040</v>
      </c>
      <c r="B1995" s="4">
        <v>43754</v>
      </c>
      <c r="C1995">
        <v>3</v>
      </c>
      <c r="D1995" t="s">
        <v>43</v>
      </c>
      <c r="E1995" t="s">
        <v>17</v>
      </c>
      <c r="F1995" t="s">
        <v>18</v>
      </c>
      <c r="G1995" t="s">
        <v>31</v>
      </c>
      <c r="H1995">
        <v>69</v>
      </c>
      <c r="I1995">
        <v>3</v>
      </c>
      <c r="J1995">
        <v>207</v>
      </c>
    </row>
    <row r="1996" spans="1:10" x14ac:dyDescent="0.35">
      <c r="A1996" s="3" t="s">
        <v>2041</v>
      </c>
      <c r="B1996" s="4">
        <v>43754</v>
      </c>
      <c r="C1996">
        <v>1</v>
      </c>
      <c r="D1996" t="s">
        <v>16</v>
      </c>
      <c r="E1996" t="s">
        <v>17</v>
      </c>
      <c r="F1996" t="s">
        <v>18</v>
      </c>
      <c r="G1996" t="s">
        <v>14</v>
      </c>
      <c r="H1996">
        <v>199</v>
      </c>
      <c r="I1996">
        <v>8</v>
      </c>
      <c r="J1996">
        <v>1592</v>
      </c>
    </row>
    <row r="1997" spans="1:10" x14ac:dyDescent="0.35">
      <c r="A1997" s="3" t="s">
        <v>2042</v>
      </c>
      <c r="B1997" s="4">
        <v>43754</v>
      </c>
      <c r="C1997">
        <v>9</v>
      </c>
      <c r="D1997" t="s">
        <v>21</v>
      </c>
      <c r="E1997" t="s">
        <v>46</v>
      </c>
      <c r="F1997" t="s">
        <v>23</v>
      </c>
      <c r="G1997" t="s">
        <v>31</v>
      </c>
      <c r="H1997">
        <v>69</v>
      </c>
      <c r="I1997">
        <v>8</v>
      </c>
      <c r="J1997">
        <v>552</v>
      </c>
    </row>
    <row r="1998" spans="1:10" x14ac:dyDescent="0.35">
      <c r="A1998" s="3" t="s">
        <v>2043</v>
      </c>
      <c r="B1998" s="4">
        <v>43754</v>
      </c>
      <c r="C1998">
        <v>5</v>
      </c>
      <c r="D1998" t="s">
        <v>60</v>
      </c>
      <c r="E1998" t="s">
        <v>68</v>
      </c>
      <c r="F1998" t="s">
        <v>18</v>
      </c>
      <c r="G1998" t="s">
        <v>31</v>
      </c>
      <c r="H1998">
        <v>69</v>
      </c>
      <c r="I1998">
        <v>6</v>
      </c>
      <c r="J1998">
        <v>414</v>
      </c>
    </row>
    <row r="1999" spans="1:10" x14ac:dyDescent="0.35">
      <c r="A1999" s="3" t="s">
        <v>2044</v>
      </c>
      <c r="B1999" s="4">
        <v>43754</v>
      </c>
      <c r="C1999">
        <v>3</v>
      </c>
      <c r="D1999" t="s">
        <v>43</v>
      </c>
      <c r="E1999" t="s">
        <v>68</v>
      </c>
      <c r="F1999" t="s">
        <v>18</v>
      </c>
      <c r="G1999" t="s">
        <v>41</v>
      </c>
      <c r="H1999">
        <v>399</v>
      </c>
      <c r="I1999">
        <v>6</v>
      </c>
      <c r="J1999">
        <v>2394</v>
      </c>
    </row>
    <row r="2000" spans="1:10" x14ac:dyDescent="0.35">
      <c r="A2000" s="3" t="s">
        <v>2045</v>
      </c>
      <c r="B2000" s="4">
        <v>43754</v>
      </c>
      <c r="C2000">
        <v>6</v>
      </c>
      <c r="D2000" t="s">
        <v>48</v>
      </c>
      <c r="E2000" t="s">
        <v>46</v>
      </c>
      <c r="F2000" t="s">
        <v>23</v>
      </c>
      <c r="G2000" t="s">
        <v>19</v>
      </c>
      <c r="H2000">
        <v>289</v>
      </c>
      <c r="I2000">
        <v>1</v>
      </c>
      <c r="J2000">
        <v>289</v>
      </c>
    </row>
    <row r="2001" spans="1:10" x14ac:dyDescent="0.35">
      <c r="A2001" s="3" t="s">
        <v>2046</v>
      </c>
      <c r="B2001" s="4">
        <v>43754</v>
      </c>
      <c r="C2001">
        <v>14</v>
      </c>
      <c r="D2001" t="s">
        <v>38</v>
      </c>
      <c r="E2001" t="s">
        <v>12</v>
      </c>
      <c r="F2001" t="s">
        <v>13</v>
      </c>
      <c r="G2001" t="s">
        <v>14</v>
      </c>
      <c r="H2001">
        <v>199</v>
      </c>
      <c r="I2001">
        <v>4</v>
      </c>
      <c r="J2001">
        <v>796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C162A-E605-4F03-A14C-59A39B45D7CB}">
  <dimension ref="A1:V4"/>
  <sheetViews>
    <sheetView topLeftCell="A4" workbookViewId="0"/>
  </sheetViews>
  <sheetFormatPr defaultRowHeight="15.5" x14ac:dyDescent="0.35"/>
  <cols>
    <col min="1" max="1" width="14.33203125" bestFit="1" customWidth="1"/>
    <col min="2" max="2" width="15.08203125" bestFit="1" customWidth="1"/>
    <col min="3" max="4" width="10.1640625" bestFit="1" customWidth="1"/>
    <col min="5" max="5" width="10.33203125" bestFit="1" customWidth="1"/>
    <col min="6" max="6" width="10.08203125" bestFit="1" customWidth="1"/>
    <col min="7" max="7" width="10" bestFit="1" customWidth="1"/>
    <col min="8" max="9" width="10.33203125" bestFit="1" customWidth="1"/>
    <col min="10" max="10" width="9.58203125" bestFit="1" customWidth="1"/>
    <col min="11" max="11" width="9.75" bestFit="1" customWidth="1"/>
    <col min="12" max="12" width="10.1640625" bestFit="1" customWidth="1"/>
    <col min="13" max="13" width="9.9140625" bestFit="1" customWidth="1"/>
    <col min="14" max="14" width="10.83203125" bestFit="1" customWidth="1"/>
    <col min="15" max="16" width="10.4140625" bestFit="1" customWidth="1"/>
    <col min="17" max="17" width="10.1640625" bestFit="1" customWidth="1"/>
    <col min="18" max="18" width="10.4140625" bestFit="1" customWidth="1"/>
    <col min="19" max="19" width="10.25" bestFit="1" customWidth="1"/>
    <col min="20" max="20" width="10" bestFit="1" customWidth="1"/>
    <col min="21" max="21" width="10.08203125" bestFit="1" customWidth="1"/>
    <col min="22" max="22" width="10.58203125" bestFit="1" customWidth="1"/>
  </cols>
  <sheetData>
    <row r="1" spans="1:22" x14ac:dyDescent="0.35">
      <c r="A1" s="5" t="s">
        <v>2050</v>
      </c>
      <c r="B1" s="5" t="s">
        <v>2049</v>
      </c>
    </row>
    <row r="2" spans="1:22" x14ac:dyDescent="0.35">
      <c r="A2" s="5" t="s">
        <v>2047</v>
      </c>
      <c r="B2" t="s">
        <v>16</v>
      </c>
      <c r="C2" t="s">
        <v>106</v>
      </c>
      <c r="D2" t="s">
        <v>43</v>
      </c>
      <c r="E2" t="s">
        <v>51</v>
      </c>
      <c r="F2" t="s">
        <v>60</v>
      </c>
      <c r="G2" t="s">
        <v>48</v>
      </c>
      <c r="H2" t="s">
        <v>88</v>
      </c>
      <c r="I2" t="s">
        <v>45</v>
      </c>
      <c r="J2" t="s">
        <v>21</v>
      </c>
      <c r="K2" t="s">
        <v>58</v>
      </c>
      <c r="L2" t="s">
        <v>11</v>
      </c>
      <c r="M2" t="s">
        <v>66</v>
      </c>
      <c r="N2" t="s">
        <v>33</v>
      </c>
      <c r="O2" t="s">
        <v>38</v>
      </c>
      <c r="P2" t="s">
        <v>118</v>
      </c>
      <c r="Q2" t="s">
        <v>30</v>
      </c>
      <c r="R2" t="s">
        <v>35</v>
      </c>
      <c r="S2" t="s">
        <v>26</v>
      </c>
      <c r="T2" t="s">
        <v>56</v>
      </c>
      <c r="U2" t="s">
        <v>40</v>
      </c>
      <c r="V2" t="s">
        <v>2048</v>
      </c>
    </row>
    <row r="3" spans="1:22" x14ac:dyDescent="0.35">
      <c r="A3" s="6" t="s">
        <v>2052</v>
      </c>
      <c r="B3" s="8">
        <v>56412</v>
      </c>
      <c r="C3" s="8">
        <v>56126</v>
      </c>
      <c r="D3" s="8">
        <v>33943</v>
      </c>
      <c r="E3" s="8">
        <v>71600</v>
      </c>
      <c r="F3" s="8">
        <v>58988</v>
      </c>
      <c r="G3" s="8">
        <v>63768</v>
      </c>
      <c r="H3" s="8">
        <v>53198</v>
      </c>
      <c r="I3" s="8">
        <v>56858</v>
      </c>
      <c r="J3" s="8">
        <v>62879</v>
      </c>
      <c r="K3" s="8">
        <v>66479</v>
      </c>
      <c r="L3" s="8">
        <v>46286</v>
      </c>
      <c r="M3" s="8">
        <v>52031</v>
      </c>
      <c r="N3" s="8">
        <v>66617</v>
      </c>
      <c r="O3" s="8">
        <v>71546</v>
      </c>
      <c r="P3" s="8">
        <v>45776</v>
      </c>
      <c r="Q3" s="8">
        <v>52180</v>
      </c>
      <c r="R3" s="8">
        <v>59636</v>
      </c>
      <c r="S3" s="8">
        <v>59044</v>
      </c>
      <c r="T3" s="8">
        <v>74402</v>
      </c>
      <c r="U3" s="8">
        <v>50382</v>
      </c>
      <c r="V3" s="8">
        <v>1158151</v>
      </c>
    </row>
    <row r="4" spans="1:22" x14ac:dyDescent="0.35">
      <c r="A4" s="6" t="s">
        <v>2048</v>
      </c>
      <c r="B4" s="8">
        <v>56412</v>
      </c>
      <c r="C4" s="8">
        <v>56126</v>
      </c>
      <c r="D4" s="8">
        <v>33943</v>
      </c>
      <c r="E4" s="8">
        <v>71600</v>
      </c>
      <c r="F4" s="8">
        <v>58988</v>
      </c>
      <c r="G4" s="8">
        <v>63768</v>
      </c>
      <c r="H4" s="8">
        <v>53198</v>
      </c>
      <c r="I4" s="8">
        <v>56858</v>
      </c>
      <c r="J4" s="8">
        <v>62879</v>
      </c>
      <c r="K4" s="8">
        <v>66479</v>
      </c>
      <c r="L4" s="8">
        <v>46286</v>
      </c>
      <c r="M4" s="8">
        <v>52031</v>
      </c>
      <c r="N4" s="8">
        <v>66617</v>
      </c>
      <c r="O4" s="8">
        <v>71546</v>
      </c>
      <c r="P4" s="8">
        <v>45776</v>
      </c>
      <c r="Q4" s="8">
        <v>52180</v>
      </c>
      <c r="R4" s="8">
        <v>59636</v>
      </c>
      <c r="S4" s="8">
        <v>59044</v>
      </c>
      <c r="T4" s="8">
        <v>74402</v>
      </c>
      <c r="U4" s="8">
        <v>50382</v>
      </c>
      <c r="V4" s="8">
        <v>1158151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7B9E1-1D3D-4D26-BFA2-8F9DA339C538}">
  <dimension ref="A1:B15"/>
  <sheetViews>
    <sheetView topLeftCell="A7" workbookViewId="0">
      <selection activeCell="B5" sqref="B5"/>
    </sheetView>
  </sheetViews>
  <sheetFormatPr defaultRowHeight="15.5" x14ac:dyDescent="0.35"/>
  <cols>
    <col min="1" max="1" width="12.25" bestFit="1" customWidth="1"/>
    <col min="2" max="2" width="14.33203125" bestFit="1" customWidth="1"/>
    <col min="3" max="3" width="8.9140625" bestFit="1" customWidth="1"/>
    <col min="4" max="4" width="11.08203125" bestFit="1" customWidth="1"/>
    <col min="5" max="5" width="6.75" bestFit="1" customWidth="1"/>
    <col min="6" max="6" width="10.58203125" bestFit="1" customWidth="1"/>
  </cols>
  <sheetData>
    <row r="1" spans="1:2" x14ac:dyDescent="0.35">
      <c r="A1" s="5" t="s">
        <v>2047</v>
      </c>
      <c r="B1" t="s">
        <v>2050</v>
      </c>
    </row>
    <row r="2" spans="1:2" x14ac:dyDescent="0.35">
      <c r="A2" s="6" t="s">
        <v>2052</v>
      </c>
      <c r="B2" s="8">
        <v>1158151</v>
      </c>
    </row>
    <row r="3" spans="1:2" x14ac:dyDescent="0.35">
      <c r="A3" s="10" t="s">
        <v>2053</v>
      </c>
      <c r="B3" s="8">
        <v>92759</v>
      </c>
    </row>
    <row r="4" spans="1:2" x14ac:dyDescent="0.35">
      <c r="A4" s="10" t="s">
        <v>2054</v>
      </c>
      <c r="B4" s="8">
        <v>93096</v>
      </c>
    </row>
    <row r="5" spans="1:2" x14ac:dyDescent="0.35">
      <c r="A5" s="10" t="s">
        <v>2055</v>
      </c>
      <c r="B5" s="8">
        <v>103309</v>
      </c>
    </row>
    <row r="6" spans="1:2" x14ac:dyDescent="0.35">
      <c r="A6" s="10" t="s">
        <v>2056</v>
      </c>
      <c r="B6" s="8">
        <v>93392</v>
      </c>
    </row>
    <row r="7" spans="1:2" x14ac:dyDescent="0.35">
      <c r="A7" s="10" t="s">
        <v>2057</v>
      </c>
      <c r="B7" s="8">
        <v>118523</v>
      </c>
    </row>
    <row r="8" spans="1:2" x14ac:dyDescent="0.35">
      <c r="A8" s="10" t="s">
        <v>2058</v>
      </c>
      <c r="B8" s="8">
        <v>105113</v>
      </c>
    </row>
    <row r="9" spans="1:2" x14ac:dyDescent="0.35">
      <c r="A9" s="10" t="s">
        <v>2059</v>
      </c>
      <c r="B9" s="8">
        <v>86694</v>
      </c>
    </row>
    <row r="10" spans="1:2" x14ac:dyDescent="0.35">
      <c r="A10" s="10" t="s">
        <v>2060</v>
      </c>
      <c r="B10" s="8">
        <v>96143</v>
      </c>
    </row>
    <row r="11" spans="1:2" x14ac:dyDescent="0.35">
      <c r="A11" s="10" t="s">
        <v>2061</v>
      </c>
      <c r="B11" s="8">
        <v>89459</v>
      </c>
    </row>
    <row r="12" spans="1:2" x14ac:dyDescent="0.35">
      <c r="A12" s="10" t="s">
        <v>2062</v>
      </c>
      <c r="B12" s="8">
        <v>88891</v>
      </c>
    </row>
    <row r="13" spans="1:2" x14ac:dyDescent="0.35">
      <c r="A13" s="10" t="s">
        <v>2063</v>
      </c>
      <c r="B13" s="8">
        <v>99699</v>
      </c>
    </row>
    <row r="14" spans="1:2" x14ac:dyDescent="0.35">
      <c r="A14" s="10" t="s">
        <v>2064</v>
      </c>
      <c r="B14" s="8">
        <v>91073</v>
      </c>
    </row>
    <row r="15" spans="1:2" x14ac:dyDescent="0.35">
      <c r="A15" s="6" t="s">
        <v>2048</v>
      </c>
      <c r="B15" s="8">
        <v>1158151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EEA1B-452D-41F1-BEF0-A113B1D4CE40}">
  <dimension ref="F1:O16"/>
  <sheetViews>
    <sheetView topLeftCell="G1" workbookViewId="0">
      <selection activeCell="O2" sqref="O2"/>
    </sheetView>
  </sheetViews>
  <sheetFormatPr defaultRowHeight="15.5" x14ac:dyDescent="0.35"/>
  <cols>
    <col min="1" max="1" width="14.33203125" bestFit="1" customWidth="1"/>
    <col min="2" max="2" width="15.08203125" bestFit="1" customWidth="1"/>
    <col min="3" max="3" width="11.25" bestFit="1" customWidth="1"/>
    <col min="4" max="4" width="8.4140625" bestFit="1" customWidth="1"/>
    <col min="5" max="5" width="11" bestFit="1" customWidth="1"/>
    <col min="6" max="6" width="14.33203125" bestFit="1" customWidth="1"/>
    <col min="7" max="7" width="15.08203125" bestFit="1" customWidth="1"/>
    <col min="8" max="8" width="11.25" bestFit="1" customWidth="1"/>
    <col min="9" max="9" width="8.4140625" bestFit="1" customWidth="1"/>
    <col min="10" max="10" width="11" bestFit="1" customWidth="1"/>
    <col min="11" max="11" width="11.5" bestFit="1" customWidth="1"/>
    <col min="12" max="12" width="11.33203125" bestFit="1" customWidth="1"/>
    <col min="13" max="13" width="10.75" bestFit="1" customWidth="1"/>
    <col min="14" max="14" width="10.08203125" bestFit="1" customWidth="1"/>
    <col min="15" max="15" width="10.58203125" bestFit="1" customWidth="1"/>
  </cols>
  <sheetData>
    <row r="1" spans="6:15" x14ac:dyDescent="0.35">
      <c r="F1" s="5" t="s">
        <v>5</v>
      </c>
      <c r="G1" t="s">
        <v>2066</v>
      </c>
    </row>
    <row r="3" spans="6:15" x14ac:dyDescent="0.35">
      <c r="F3" s="5" t="s">
        <v>2050</v>
      </c>
      <c r="G3" s="5" t="s">
        <v>2049</v>
      </c>
    </row>
    <row r="4" spans="6:15" x14ac:dyDescent="0.35">
      <c r="F4" s="5" t="s">
        <v>2047</v>
      </c>
      <c r="G4" t="s">
        <v>36</v>
      </c>
      <c r="H4" t="s">
        <v>17</v>
      </c>
      <c r="I4" t="s">
        <v>63</v>
      </c>
      <c r="J4" t="s">
        <v>68</v>
      </c>
      <c r="K4" t="s">
        <v>22</v>
      </c>
      <c r="L4" t="s">
        <v>46</v>
      </c>
      <c r="M4" t="s">
        <v>12</v>
      </c>
      <c r="N4" t="s">
        <v>27</v>
      </c>
      <c r="O4" t="s">
        <v>2048</v>
      </c>
    </row>
    <row r="5" spans="6:15" x14ac:dyDescent="0.35">
      <c r="F5" s="6" t="s">
        <v>2052</v>
      </c>
      <c r="G5" s="8">
        <v>138437</v>
      </c>
      <c r="H5" s="8">
        <v>141614</v>
      </c>
      <c r="I5" s="8">
        <v>127145</v>
      </c>
      <c r="J5" s="8">
        <v>135455</v>
      </c>
      <c r="K5" s="8">
        <v>126344</v>
      </c>
      <c r="L5" s="8">
        <v>176838</v>
      </c>
      <c r="M5" s="8">
        <v>155111</v>
      </c>
      <c r="N5" s="8">
        <v>157207</v>
      </c>
      <c r="O5" s="8">
        <v>1158151</v>
      </c>
    </row>
    <row r="6" spans="6:15" x14ac:dyDescent="0.35">
      <c r="F6" s="6" t="s">
        <v>2048</v>
      </c>
      <c r="G6" s="8">
        <v>138437</v>
      </c>
      <c r="H6" s="8">
        <v>141614</v>
      </c>
      <c r="I6" s="8">
        <v>127145</v>
      </c>
      <c r="J6" s="8">
        <v>135455</v>
      </c>
      <c r="K6" s="8">
        <v>126344</v>
      </c>
      <c r="L6" s="8">
        <v>176838</v>
      </c>
      <c r="M6" s="8">
        <v>155111</v>
      </c>
      <c r="N6" s="8">
        <v>157207</v>
      </c>
      <c r="O6" s="8">
        <v>1158151</v>
      </c>
    </row>
    <row r="16" spans="6:15" x14ac:dyDescent="0.35">
      <c r="L16" t="s">
        <v>2051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48B19-A044-461B-B9DD-B6CC0AD679C1}">
  <dimension ref="A1:B13"/>
  <sheetViews>
    <sheetView workbookViewId="0"/>
  </sheetViews>
  <sheetFormatPr defaultRowHeight="15.5" x14ac:dyDescent="0.35"/>
  <cols>
    <col min="1" max="1" width="12.25" bestFit="1" customWidth="1"/>
    <col min="2" max="2" width="14.33203125" bestFit="1" customWidth="1"/>
  </cols>
  <sheetData>
    <row r="1" spans="1:2" x14ac:dyDescent="0.35">
      <c r="A1" s="5" t="s">
        <v>2047</v>
      </c>
      <c r="B1" t="s">
        <v>2050</v>
      </c>
    </row>
    <row r="2" spans="1:2" x14ac:dyDescent="0.35">
      <c r="A2" s="6" t="s">
        <v>18</v>
      </c>
      <c r="B2" s="8">
        <v>277069</v>
      </c>
    </row>
    <row r="3" spans="1:2" x14ac:dyDescent="0.35">
      <c r="A3" s="12" t="s">
        <v>41</v>
      </c>
      <c r="B3" s="8">
        <v>87780</v>
      </c>
    </row>
    <row r="4" spans="1:2" x14ac:dyDescent="0.35">
      <c r="A4" s="13" t="s">
        <v>2052</v>
      </c>
      <c r="B4" s="8">
        <v>87780</v>
      </c>
    </row>
    <row r="5" spans="1:2" x14ac:dyDescent="0.35">
      <c r="A5" s="12" t="s">
        <v>14</v>
      </c>
      <c r="B5" s="8">
        <v>57113</v>
      </c>
    </row>
    <row r="6" spans="1:2" x14ac:dyDescent="0.35">
      <c r="A6" s="13" t="s">
        <v>2052</v>
      </c>
      <c r="B6" s="8">
        <v>57113</v>
      </c>
    </row>
    <row r="7" spans="1:2" x14ac:dyDescent="0.35">
      <c r="A7" s="12" t="s">
        <v>31</v>
      </c>
      <c r="B7" s="8">
        <v>18009</v>
      </c>
    </row>
    <row r="8" spans="1:2" x14ac:dyDescent="0.35">
      <c r="A8" s="13" t="s">
        <v>2052</v>
      </c>
      <c r="B8" s="8">
        <v>18009</v>
      </c>
    </row>
    <row r="9" spans="1:2" x14ac:dyDescent="0.35">
      <c r="A9" s="12" t="s">
        <v>24</v>
      </c>
      <c r="B9" s="8">
        <v>38160</v>
      </c>
    </row>
    <row r="10" spans="1:2" x14ac:dyDescent="0.35">
      <c r="A10" s="13" t="s">
        <v>2052</v>
      </c>
      <c r="B10" s="8">
        <v>38160</v>
      </c>
    </row>
    <row r="11" spans="1:2" x14ac:dyDescent="0.35">
      <c r="A11" s="12" t="s">
        <v>19</v>
      </c>
      <c r="B11" s="8">
        <v>76007</v>
      </c>
    </row>
    <row r="12" spans="1:2" x14ac:dyDescent="0.35">
      <c r="A12" s="13" t="s">
        <v>2052</v>
      </c>
      <c r="B12" s="8">
        <v>76007</v>
      </c>
    </row>
    <row r="13" spans="1:2" x14ac:dyDescent="0.35">
      <c r="A13" s="6" t="s">
        <v>2048</v>
      </c>
      <c r="B13" s="8">
        <v>277069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7F906-D7BA-47FE-83DF-8D10DE77C0B1}">
  <dimension ref="A3:F8"/>
  <sheetViews>
    <sheetView workbookViewId="0">
      <selection activeCell="C17" sqref="C17"/>
    </sheetView>
  </sheetViews>
  <sheetFormatPr defaultRowHeight="15.5" x14ac:dyDescent="0.35"/>
  <cols>
    <col min="1" max="1" width="14.33203125" bestFit="1" customWidth="1"/>
    <col min="2" max="2" width="15.08203125" bestFit="1" customWidth="1"/>
    <col min="3" max="3" width="10.58203125" bestFit="1" customWidth="1"/>
    <col min="4" max="4" width="11.08203125" bestFit="1" customWidth="1"/>
    <col min="5" max="5" width="6.75" bestFit="1" customWidth="1"/>
    <col min="6" max="6" width="10.58203125" bestFit="1" customWidth="1"/>
  </cols>
  <sheetData>
    <row r="3" spans="1:6" x14ac:dyDescent="0.35">
      <c r="B3" s="5" t="s">
        <v>2049</v>
      </c>
    </row>
    <row r="4" spans="1:6" x14ac:dyDescent="0.35">
      <c r="B4" t="s">
        <v>18</v>
      </c>
      <c r="C4" t="s">
        <v>2048</v>
      </c>
    </row>
    <row r="5" spans="1:6" x14ac:dyDescent="0.35">
      <c r="A5" t="s">
        <v>2050</v>
      </c>
      <c r="B5" s="8">
        <v>532135</v>
      </c>
      <c r="C5" s="8">
        <v>532135</v>
      </c>
    </row>
    <row r="7" spans="1:6" x14ac:dyDescent="0.35">
      <c r="A7" s="7"/>
      <c r="B7" s="7" t="s">
        <v>28</v>
      </c>
      <c r="C7" s="7" t="s">
        <v>23</v>
      </c>
      <c r="D7" s="7" t="s">
        <v>13</v>
      </c>
      <c r="E7" s="7" t="s">
        <v>18</v>
      </c>
      <c r="F7" s="7"/>
    </row>
    <row r="8" spans="1:6" x14ac:dyDescent="0.35">
      <c r="A8" s="11" t="s">
        <v>2065</v>
      </c>
      <c r="B8" s="9" t="e">
        <f>GETPIVOTDATA("Revenue",$A$3,"Region","Arizona")</f>
        <v>#REF!</v>
      </c>
      <c r="C8" s="9" t="e">
        <f>GETPIVOTDATA("Revenue",$A$3,"Region","California")</f>
        <v>#REF!</v>
      </c>
      <c r="D8" s="9" t="e">
        <f>GETPIVOTDATA("Revenue",$A$3,"Region","New Mexico")</f>
        <v>#REF!</v>
      </c>
      <c r="E8" s="9">
        <f>GETPIVOTDATA("Revenue",$A$3,"Region","Texas")</f>
        <v>532135</v>
      </c>
      <c r="F8" s="9"/>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67F7-05D9-42F0-A784-295E7D9336D1}">
  <dimension ref="A1"/>
  <sheetViews>
    <sheetView showGridLines="0" tabSelected="1" zoomScale="80" zoomScaleNormal="80" workbookViewId="0">
      <selection activeCell="P63" sqref="P63"/>
    </sheetView>
  </sheetViews>
  <sheetFormatPr defaultRowHeight="15.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 Data</vt:lpstr>
      <vt:lpstr>Company_Revenue</vt:lpstr>
      <vt:lpstr>Yearly_Revenue</vt:lpstr>
      <vt:lpstr>Sales_Made</vt:lpstr>
      <vt:lpstr>Product_Revenue</vt:lpstr>
      <vt:lpstr>State_Revenue</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Interactive Excel Dashboard</dc:title>
  <dc:subject/>
  <dc:creator>The Office Lab | ExcelFind.com</dc:creator>
  <cp:keywords/>
  <dc:description>Downloaded from excelfind.com</dc:description>
  <cp:lastModifiedBy>Christian</cp:lastModifiedBy>
  <dcterms:created xsi:type="dcterms:W3CDTF">2018-08-24T06:50:59Z</dcterms:created>
  <dcterms:modified xsi:type="dcterms:W3CDTF">2022-01-05T02:02:57Z</dcterms:modified>
  <cp:category/>
</cp:coreProperties>
</file>